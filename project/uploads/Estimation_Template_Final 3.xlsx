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mc:AlternateContent xmlns:mc="http://schemas.openxmlformats.org/markup-compatibility/2006">
    <mc:Choice Requires="x15">
      <x15ac:absPath xmlns:x15ac="http://schemas.microsoft.com/office/spreadsheetml/2010/11/ac" url="D:\working\waccache\PN1PEPF00015E29\EXCELCNV\3124aad2-4172-46e9-be67-06edd36aa7d8\"/>
    </mc:Choice>
  </mc:AlternateContent>
  <xr:revisionPtr revIDLastSave="0" documentId="8_{C3B0106A-3242-434C-9410-1DB4D248288C}" xr6:coauthVersionLast="47" xr6:coauthVersionMax="47" xr10:uidLastSave="{00000000-0000-0000-0000-000000000000}"/>
  <bookViews>
    <workbookView xWindow="-60" yWindow="-60" windowWidth="15480" windowHeight="11640" tabRatio="707" xr2:uid="{00000000-000D-0000-FFFF-FFFF00000000}"/>
  </bookViews>
  <sheets>
    <sheet name="Sales Entry" sheetId="1" r:id="rId1"/>
    <sheet name="Estimation Sheet" sheetId="2" r:id="rId2"/>
    <sheet name="User Training" sheetId="3" r:id="rId3"/>
    <sheet name="Drop Downs" sheetId="4" r:id="rId4"/>
    <sheet name="Machine Shop Rates" sheetId="5" r:id="rId5"/>
    <sheet name="Sheet1" sheetId="6" r:id="rId6"/>
    <sheet name="Wax Shell Rate" sheetId="7" r:id="rId7"/>
    <sheet name="Testing Charges Calculations" sheetId="8" r:id="rId8"/>
    <sheet name="Exchange Rate" sheetId="9" r:id="rId9"/>
    <sheet name="Master" sheetId="10" r:id="rId10"/>
    <sheet name="Nasik Ledger" sheetId="11" r:id="rId11"/>
    <sheet name="Mn Ledger" sheetId="12" r:id="rId12"/>
  </sheets>
  <definedNames>
    <definedName name="_xlnm._FilterDatabase" localSheetId="11" hidden="1">'Mn Ledger'!$A$1:$Z$1365</definedName>
    <definedName name="_xlnm._FilterDatabase" localSheetId="10" hidden="1">'Nasik Ledger'!$A$1:$Z$2481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365" i="12" l="1"/>
  <c r="Z1364" i="12"/>
  <c r="Z1363" i="12"/>
  <c r="Z1362" i="12"/>
  <c r="Z1361" i="12"/>
  <c r="Z1360" i="12"/>
  <c r="Z1359" i="12"/>
  <c r="Z1358" i="12"/>
  <c r="Z1357" i="12"/>
  <c r="Z1356" i="12"/>
  <c r="Z1355" i="12"/>
  <c r="Z1354" i="12"/>
  <c r="Z1353" i="12"/>
  <c r="Z1352" i="12"/>
  <c r="Z1351" i="12"/>
  <c r="Z1350" i="12"/>
  <c r="Z1349" i="12"/>
  <c r="Z1348" i="12"/>
  <c r="Z1347" i="12"/>
  <c r="Z1346" i="12"/>
  <c r="Z1345" i="12"/>
  <c r="Z1344" i="12"/>
  <c r="Z1343" i="12"/>
  <c r="Z1342" i="12"/>
  <c r="Z1341" i="12"/>
  <c r="Z1340" i="12"/>
  <c r="Z1339" i="12"/>
  <c r="Z1338" i="12"/>
  <c r="Z1337" i="12"/>
  <c r="Z1336" i="12"/>
  <c r="Z1335" i="12"/>
  <c r="Z1334" i="12"/>
  <c r="Z1333" i="12"/>
  <c r="Z1332" i="12"/>
  <c r="Z1331" i="12"/>
  <c r="Z1330" i="12"/>
  <c r="Z1329" i="12"/>
  <c r="Z1328" i="12"/>
  <c r="Z1327" i="12"/>
  <c r="Z1326" i="12"/>
  <c r="Z1325" i="12"/>
  <c r="Z1324" i="12"/>
  <c r="Z1323" i="12"/>
  <c r="Z1322" i="12"/>
  <c r="Z1321" i="12"/>
  <c r="Z1320" i="12"/>
  <c r="Z1319" i="12"/>
  <c r="Z1318" i="12"/>
  <c r="Z1317" i="12"/>
  <c r="Z1316" i="12"/>
  <c r="Z1315" i="12"/>
  <c r="Z1314" i="12"/>
  <c r="Z1313" i="12"/>
  <c r="Z1312" i="12"/>
  <c r="Z1311" i="12"/>
  <c r="Z1310" i="12"/>
  <c r="Z1309" i="12"/>
  <c r="Z1308" i="12"/>
  <c r="Z1307" i="12"/>
  <c r="Z1306" i="12"/>
  <c r="Z1305" i="12"/>
  <c r="Z1304" i="12"/>
  <c r="Z1303" i="12"/>
  <c r="Z1302" i="12"/>
  <c r="Z1301" i="12"/>
  <c r="Z1300" i="12"/>
  <c r="Z1299" i="12"/>
  <c r="Z1298" i="12"/>
  <c r="Z1297" i="12"/>
  <c r="Z1296" i="12"/>
  <c r="Z1295" i="12"/>
  <c r="Z1294" i="12"/>
  <c r="Z1293" i="12"/>
  <c r="Z1292" i="12"/>
  <c r="Z1291" i="12"/>
  <c r="Z1290" i="12"/>
  <c r="Z1289" i="12"/>
  <c r="Z1288" i="12"/>
  <c r="Z1287" i="12"/>
  <c r="Z1286" i="12"/>
  <c r="Z1285" i="12"/>
  <c r="Z1284" i="12"/>
  <c r="Z1283" i="12"/>
  <c r="Z1282" i="12"/>
  <c r="Z1281" i="12"/>
  <c r="Z1280" i="12"/>
  <c r="Z1279" i="12"/>
  <c r="Z1278" i="12"/>
  <c r="Z1277" i="12"/>
  <c r="Z1276" i="12"/>
  <c r="Z1275" i="12"/>
  <c r="Z1274" i="12"/>
  <c r="Z1273" i="12"/>
  <c r="Z1272" i="12"/>
  <c r="Z1271" i="12"/>
  <c r="Z1270" i="12"/>
  <c r="Z1269" i="12"/>
  <c r="Z1268" i="12"/>
  <c r="Z1267" i="12"/>
  <c r="Z1266" i="12"/>
  <c r="Z1265" i="12"/>
  <c r="Z1264" i="12"/>
  <c r="Z1263" i="12"/>
  <c r="Z1262" i="12"/>
  <c r="Z1261" i="12"/>
  <c r="Z1260" i="12"/>
  <c r="Z1259" i="12"/>
  <c r="Z1258" i="12"/>
  <c r="Z1257" i="12"/>
  <c r="Z1256" i="12"/>
  <c r="Z1255" i="12"/>
  <c r="Z1254" i="12"/>
  <c r="Z1253" i="12"/>
  <c r="Z1252" i="12"/>
  <c r="Z1251" i="12"/>
  <c r="Z1250" i="12"/>
  <c r="Z1249" i="12"/>
  <c r="Z1248" i="12"/>
  <c r="Z1247" i="12"/>
  <c r="Z1246" i="12"/>
  <c r="Z1245" i="12"/>
  <c r="Z1244" i="12"/>
  <c r="Z1243" i="12"/>
  <c r="Z1242" i="12"/>
  <c r="Z1241" i="12"/>
  <c r="Z1240" i="12"/>
  <c r="Z1239" i="12"/>
  <c r="Z1238" i="12"/>
  <c r="Z1237" i="12"/>
  <c r="Z1236" i="12"/>
  <c r="Z1235" i="12"/>
  <c r="Z1234" i="12"/>
  <c r="Z1233" i="12"/>
  <c r="Z1232" i="12"/>
  <c r="Z1231" i="12"/>
  <c r="Z1230" i="12"/>
  <c r="Z1229" i="12"/>
  <c r="Z1228" i="12"/>
  <c r="Z1227" i="12"/>
  <c r="Z1226" i="12"/>
  <c r="Z1225" i="12"/>
  <c r="Z1224" i="12"/>
  <c r="Z1223" i="12"/>
  <c r="Z1222" i="12"/>
  <c r="Z1221" i="12"/>
  <c r="Z1220" i="12"/>
  <c r="Z1219" i="12"/>
  <c r="Z1218" i="12"/>
  <c r="Z1217" i="12"/>
  <c r="Z1216" i="12"/>
  <c r="Z1215" i="12"/>
  <c r="Z1214" i="12"/>
  <c r="Z1213" i="12"/>
  <c r="Z1212" i="12"/>
  <c r="Z1211" i="12"/>
  <c r="Z1210" i="12"/>
  <c r="Z1209" i="12"/>
  <c r="Z1208" i="12"/>
  <c r="Z1207" i="12"/>
  <c r="Z1206" i="12"/>
  <c r="Z1205" i="12"/>
  <c r="Z1204" i="12"/>
  <c r="Z1203" i="12"/>
  <c r="Z1202" i="12"/>
  <c r="Z1201" i="12"/>
  <c r="Z1200" i="12"/>
  <c r="Z1199" i="12"/>
  <c r="Z1198" i="12"/>
  <c r="Z1197" i="12"/>
  <c r="Z1196" i="12"/>
  <c r="Z1195" i="12"/>
  <c r="Z1194" i="12"/>
  <c r="Z1193" i="12"/>
  <c r="Z1192" i="12"/>
  <c r="Z1191" i="12"/>
  <c r="Z1190" i="12"/>
  <c r="Z1189" i="12"/>
  <c r="Z1188" i="12"/>
  <c r="Z1187" i="12"/>
  <c r="Z1186" i="12"/>
  <c r="Z1185" i="12"/>
  <c r="Z1184" i="12"/>
  <c r="Z1183" i="12"/>
  <c r="Z1182" i="12"/>
  <c r="Z1181" i="12"/>
  <c r="Z1180" i="12"/>
  <c r="Z1179" i="12"/>
  <c r="Z1178" i="12"/>
  <c r="Z1177" i="12"/>
  <c r="Z1176" i="12"/>
  <c r="Z1175" i="12"/>
  <c r="Z1174" i="12"/>
  <c r="Z1173" i="12"/>
  <c r="Z1172" i="12"/>
  <c r="Z1171" i="12"/>
  <c r="Z1170" i="12"/>
  <c r="Z1169" i="12"/>
  <c r="Z1168" i="12"/>
  <c r="Z1167" i="12"/>
  <c r="Z1166" i="12"/>
  <c r="Z1165" i="12"/>
  <c r="Z1164" i="12"/>
  <c r="Z1163" i="12"/>
  <c r="Z1162" i="12"/>
  <c r="Z1161" i="12"/>
  <c r="Z1160" i="12"/>
  <c r="Z1159" i="12"/>
  <c r="Z1158" i="12"/>
  <c r="Z1157" i="12"/>
  <c r="Z1156" i="12"/>
  <c r="Z1155" i="12"/>
  <c r="Z1154" i="12"/>
  <c r="Z1153" i="12"/>
  <c r="Z1152" i="12"/>
  <c r="Z1151" i="12"/>
  <c r="Z1150" i="12"/>
  <c r="Z1149" i="12"/>
  <c r="Z1148" i="12"/>
  <c r="Z1147" i="12"/>
  <c r="Z1146" i="12"/>
  <c r="Z1145" i="12"/>
  <c r="Z1144" i="12"/>
  <c r="Z1143" i="12"/>
  <c r="Z1142" i="12"/>
  <c r="Z1141" i="12"/>
  <c r="Z1140" i="12"/>
  <c r="Z1139" i="12"/>
  <c r="Z1138" i="12"/>
  <c r="Z1137" i="12"/>
  <c r="Z1136" i="12"/>
  <c r="Z1135" i="12"/>
  <c r="Z1134" i="12"/>
  <c r="Z1133" i="12"/>
  <c r="Z1132" i="12"/>
  <c r="Z1131" i="12"/>
  <c r="Z1130" i="12"/>
  <c r="Z1129" i="12"/>
  <c r="Z1128" i="12"/>
  <c r="Z1127" i="12"/>
  <c r="Z1126" i="12"/>
  <c r="Z1125" i="12"/>
  <c r="Z1124" i="12"/>
  <c r="Z1123" i="12"/>
  <c r="Z1122" i="12"/>
  <c r="Z1121" i="12"/>
  <c r="Z1120" i="12"/>
  <c r="Z1119" i="12"/>
  <c r="Z1118" i="12"/>
  <c r="Z1117" i="12"/>
  <c r="Z1116" i="12"/>
  <c r="Z1115" i="12"/>
  <c r="Z1114" i="12"/>
  <c r="Z1113" i="12"/>
  <c r="Z1112" i="12"/>
  <c r="Z1111" i="12"/>
  <c r="Z1110" i="12"/>
  <c r="Z1109" i="12"/>
  <c r="Z1108" i="12"/>
  <c r="Z1107" i="12"/>
  <c r="Z1106" i="12"/>
  <c r="Z1105" i="12"/>
  <c r="Z1104" i="12"/>
  <c r="Z1103" i="12"/>
  <c r="Z1102" i="12"/>
  <c r="Z1101" i="12"/>
  <c r="Z1100" i="12"/>
  <c r="Z1099" i="12"/>
  <c r="Z1098" i="12"/>
  <c r="Z1097" i="12"/>
  <c r="Z1096" i="12"/>
  <c r="Z1095" i="12"/>
  <c r="Z1094" i="12"/>
  <c r="Z1093" i="12"/>
  <c r="Z1092" i="12"/>
  <c r="Z1091" i="12"/>
  <c r="Z1090" i="12"/>
  <c r="Z1089" i="12"/>
  <c r="Z1088" i="12"/>
  <c r="Z1087" i="12"/>
  <c r="Z1086" i="12"/>
  <c r="Z1085" i="12"/>
  <c r="Z1084" i="12"/>
  <c r="Z1083" i="12"/>
  <c r="Z1082" i="12"/>
  <c r="Z1081" i="12"/>
  <c r="Z1080" i="12"/>
  <c r="Z1079" i="12"/>
  <c r="Z1078" i="12"/>
  <c r="Z1077" i="12"/>
  <c r="Z1076" i="12"/>
  <c r="Z1075" i="12"/>
  <c r="Z1074" i="12"/>
  <c r="Z1073" i="12"/>
  <c r="Z1072" i="12"/>
  <c r="Z1071" i="12"/>
  <c r="Z1070" i="12"/>
  <c r="Z1069" i="12"/>
  <c r="Z1068" i="12"/>
  <c r="Z1067" i="12"/>
  <c r="Z1066" i="12"/>
  <c r="Z1065" i="12"/>
  <c r="Z1064" i="12"/>
  <c r="Z1063" i="12"/>
  <c r="Z1062" i="12"/>
  <c r="Z1061" i="12"/>
  <c r="Z1060" i="12"/>
  <c r="Z1059" i="12"/>
  <c r="Z1058" i="12"/>
  <c r="Z1057" i="12"/>
  <c r="Z1056" i="12"/>
  <c r="Z1055" i="12"/>
  <c r="Z1054" i="12"/>
  <c r="Z1053" i="12"/>
  <c r="Z1052" i="12"/>
  <c r="Z1051" i="12"/>
  <c r="Z1050" i="12"/>
  <c r="Z1049" i="12"/>
  <c r="Z1048" i="12"/>
  <c r="Z1047" i="12"/>
  <c r="Z1046" i="12"/>
  <c r="Z1045" i="12"/>
  <c r="Z1044" i="12"/>
  <c r="Z1043" i="12"/>
  <c r="Z1042" i="12"/>
  <c r="Z1041" i="12"/>
  <c r="Z1040" i="12"/>
  <c r="Z1039" i="12"/>
  <c r="Z1038" i="12"/>
  <c r="Z1037" i="12"/>
  <c r="Z1036" i="12"/>
  <c r="Z1035" i="12"/>
  <c r="Z1034" i="12"/>
  <c r="Z1033" i="12"/>
  <c r="Z1032" i="12"/>
  <c r="Z1031" i="12"/>
  <c r="Z1030" i="12"/>
  <c r="Z1029" i="12"/>
  <c r="Z1028" i="12"/>
  <c r="Z1027" i="12"/>
  <c r="Z1026" i="12"/>
  <c r="Z1025" i="12"/>
  <c r="Z1024" i="12"/>
  <c r="Z1023" i="12"/>
  <c r="Z1022" i="12"/>
  <c r="Z1021" i="12"/>
  <c r="Z1020" i="12"/>
  <c r="Z1019" i="12"/>
  <c r="Z1018" i="12"/>
  <c r="Z1017" i="12"/>
  <c r="Z1016" i="12"/>
  <c r="Z1015" i="12"/>
  <c r="Z1014" i="12"/>
  <c r="Z1013" i="12"/>
  <c r="Z1012" i="12"/>
  <c r="Z1011" i="12"/>
  <c r="Z1010" i="12"/>
  <c r="Z1009" i="12"/>
  <c r="Z1008" i="12"/>
  <c r="Z1007" i="12"/>
  <c r="Z1006" i="12"/>
  <c r="Z1005" i="12"/>
  <c r="Z1004" i="12"/>
  <c r="Z1003" i="12"/>
  <c r="Z1002" i="12"/>
  <c r="Z1001" i="12"/>
  <c r="Z1000" i="12"/>
  <c r="Z999" i="12"/>
  <c r="Z998" i="12"/>
  <c r="Z997" i="12"/>
  <c r="Z996" i="12"/>
  <c r="Z995" i="12"/>
  <c r="Z994" i="12"/>
  <c r="Z993" i="12"/>
  <c r="Z992" i="12"/>
  <c r="Z991" i="12"/>
  <c r="Z990" i="12"/>
  <c r="Z989" i="12"/>
  <c r="Z988" i="12"/>
  <c r="Z987" i="12"/>
  <c r="Z986" i="12"/>
  <c r="Z985" i="12"/>
  <c r="Z984" i="12"/>
  <c r="Z983" i="12"/>
  <c r="Z982" i="12"/>
  <c r="Z981" i="12"/>
  <c r="Z980" i="12"/>
  <c r="Z979" i="12"/>
  <c r="Z978" i="12"/>
  <c r="Z977" i="12"/>
  <c r="Z976" i="12"/>
  <c r="Z975" i="12"/>
  <c r="Z974" i="12"/>
  <c r="Z973" i="12"/>
  <c r="Z972" i="12"/>
  <c r="Z971" i="12"/>
  <c r="Z970" i="12"/>
  <c r="Z969" i="12"/>
  <c r="Z968" i="12"/>
  <c r="Z967" i="12"/>
  <c r="Z966" i="12"/>
  <c r="Z965" i="12"/>
  <c r="Z964" i="12"/>
  <c r="Z963" i="12"/>
  <c r="Z962" i="12"/>
  <c r="Z961" i="12"/>
  <c r="Z960" i="12"/>
  <c r="Z959" i="12"/>
  <c r="Z958" i="12"/>
  <c r="Z957" i="12"/>
  <c r="Z956" i="12"/>
  <c r="Z955" i="12"/>
  <c r="Z954" i="12"/>
  <c r="Z953" i="12"/>
  <c r="Z952" i="12"/>
  <c r="Z951" i="12"/>
  <c r="Z950" i="12"/>
  <c r="Z949" i="12"/>
  <c r="Z948" i="12"/>
  <c r="Z947" i="12"/>
  <c r="Z946" i="12"/>
  <c r="Z945" i="12"/>
  <c r="Z944" i="12"/>
  <c r="Z943" i="12"/>
  <c r="Z942" i="12"/>
  <c r="Z941" i="12"/>
  <c r="Z940" i="12"/>
  <c r="Z939" i="12"/>
  <c r="Z938" i="12"/>
  <c r="Z937" i="12"/>
  <c r="Z936" i="12"/>
  <c r="Z935" i="12"/>
  <c r="Z934" i="12"/>
  <c r="Z933" i="12"/>
  <c r="Z932" i="12"/>
  <c r="Z931" i="12"/>
  <c r="Z930" i="12"/>
  <c r="Z929" i="12"/>
  <c r="Z928" i="12"/>
  <c r="Z927" i="12"/>
  <c r="Z926" i="12"/>
  <c r="Z925" i="12"/>
  <c r="Z924" i="12"/>
  <c r="Z923" i="12"/>
  <c r="Z922" i="12"/>
  <c r="Z921" i="12"/>
  <c r="Z920" i="12"/>
  <c r="Z919" i="12"/>
  <c r="Z918" i="12"/>
  <c r="Z917" i="12"/>
  <c r="Z916" i="12"/>
  <c r="Z915" i="12"/>
  <c r="Z914" i="12"/>
  <c r="Z913" i="12"/>
  <c r="Z912" i="12"/>
  <c r="Z911" i="12"/>
  <c r="Z910" i="12"/>
  <c r="Z909" i="12"/>
  <c r="Z908" i="12"/>
  <c r="Z907" i="12"/>
  <c r="Z906" i="12"/>
  <c r="Z905" i="12"/>
  <c r="Z904" i="12"/>
  <c r="Z903" i="12"/>
  <c r="Z902" i="12"/>
  <c r="Z901" i="12"/>
  <c r="Z900" i="12"/>
  <c r="Z899" i="12"/>
  <c r="Z898" i="12"/>
  <c r="Z897" i="12"/>
  <c r="Z896" i="12"/>
  <c r="Z895" i="12"/>
  <c r="Z894" i="12"/>
  <c r="Z893" i="12"/>
  <c r="Z892" i="12"/>
  <c r="Z891" i="12"/>
  <c r="Z890" i="12"/>
  <c r="Z889" i="12"/>
  <c r="Z888" i="12"/>
  <c r="Z887" i="12"/>
  <c r="Z886" i="12"/>
  <c r="Z885" i="12"/>
  <c r="Z884" i="12"/>
  <c r="Z883" i="12"/>
  <c r="Z882" i="12"/>
  <c r="Z881" i="12"/>
  <c r="Z880" i="12"/>
  <c r="Z879" i="12"/>
  <c r="Z878" i="12"/>
  <c r="Z877" i="12"/>
  <c r="Z876" i="12"/>
  <c r="Z875" i="12"/>
  <c r="Z874" i="12"/>
  <c r="Z873" i="12"/>
  <c r="Z872" i="12"/>
  <c r="Z871" i="12"/>
  <c r="Z870" i="12"/>
  <c r="Z869" i="12"/>
  <c r="Z868" i="12"/>
  <c r="Z867" i="12"/>
  <c r="Z866" i="12"/>
  <c r="Z865" i="12"/>
  <c r="Z864" i="12"/>
  <c r="Z863" i="12"/>
  <c r="Z862" i="12"/>
  <c r="Z861" i="12"/>
  <c r="Z860" i="12"/>
  <c r="Z859" i="12"/>
  <c r="Z858" i="12"/>
  <c r="Z857" i="12"/>
  <c r="Z856" i="12"/>
  <c r="Z855" i="12"/>
  <c r="Z854" i="12"/>
  <c r="Z853" i="12"/>
  <c r="Z852" i="12"/>
  <c r="Z851" i="12"/>
  <c r="Z850" i="12"/>
  <c r="Z849" i="12"/>
  <c r="Z848" i="12"/>
  <c r="Z847" i="12"/>
  <c r="Z846" i="12"/>
  <c r="Z845" i="12"/>
  <c r="Z844" i="12"/>
  <c r="Z843" i="12"/>
  <c r="Z842" i="12"/>
  <c r="Z841" i="12"/>
  <c r="Z840" i="12"/>
  <c r="Z839" i="12"/>
  <c r="Z838" i="12"/>
  <c r="Z837" i="12"/>
  <c r="Z836" i="12"/>
  <c r="Z835" i="12"/>
  <c r="Z834" i="12"/>
  <c r="Z833" i="12"/>
  <c r="Z832" i="12"/>
  <c r="Z831" i="12"/>
  <c r="Z830" i="12"/>
  <c r="Z829" i="12"/>
  <c r="Z828" i="12"/>
  <c r="Z827" i="12"/>
  <c r="Z826" i="12"/>
  <c r="Z825" i="12"/>
  <c r="Z824" i="12"/>
  <c r="Z823" i="12"/>
  <c r="Z822" i="12"/>
  <c r="Z821" i="12"/>
  <c r="Z820" i="12"/>
  <c r="Z819" i="12"/>
  <c r="Z818" i="12"/>
  <c r="Z817" i="12"/>
  <c r="Z816" i="12"/>
  <c r="Z815" i="12"/>
  <c r="Z814" i="12"/>
  <c r="Z813" i="12"/>
  <c r="Z812" i="12"/>
  <c r="Z811" i="12"/>
  <c r="Z810" i="12"/>
  <c r="Z809" i="12"/>
  <c r="Z808" i="12"/>
  <c r="Z807" i="12"/>
  <c r="Z806" i="12"/>
  <c r="Z805" i="12"/>
  <c r="Z804" i="12"/>
  <c r="Z803" i="12"/>
  <c r="Z802" i="12"/>
  <c r="Z801" i="12"/>
  <c r="Z800" i="12"/>
  <c r="Z799" i="12"/>
  <c r="Z798" i="12"/>
  <c r="Z797" i="12"/>
  <c r="Z796" i="12"/>
  <c r="Z795" i="12"/>
  <c r="Z794" i="12"/>
  <c r="Z793" i="12"/>
  <c r="Z792" i="12"/>
  <c r="Z791" i="12"/>
  <c r="Z790" i="12"/>
  <c r="Z789" i="12"/>
  <c r="Z788" i="12"/>
  <c r="Z787" i="12"/>
  <c r="Z786" i="12"/>
  <c r="Z785" i="12"/>
  <c r="Z784" i="12"/>
  <c r="Z783" i="12"/>
  <c r="Z782" i="12"/>
  <c r="Z781" i="12"/>
  <c r="Z780" i="12"/>
  <c r="Z779" i="12"/>
  <c r="Z778" i="12"/>
  <c r="Z777" i="12"/>
  <c r="Z776" i="12"/>
  <c r="Z775" i="12"/>
  <c r="Z774" i="12"/>
  <c r="Z773" i="12"/>
  <c r="Z772" i="12"/>
  <c r="Z771" i="12"/>
  <c r="Z770" i="12"/>
  <c r="Z769" i="12"/>
  <c r="Z768" i="12"/>
  <c r="Z767" i="12"/>
  <c r="Z766" i="12"/>
  <c r="Z765" i="12"/>
  <c r="Z764" i="12"/>
  <c r="Z763" i="12"/>
  <c r="Z762" i="12"/>
  <c r="Z761" i="12"/>
  <c r="Z760" i="12"/>
  <c r="Z759" i="12"/>
  <c r="Z758" i="12"/>
  <c r="Z757" i="12"/>
  <c r="Z756" i="12"/>
  <c r="Z755" i="12"/>
  <c r="Z754" i="12"/>
  <c r="Z753" i="12"/>
  <c r="Z752" i="12"/>
  <c r="Z751" i="12"/>
  <c r="Z750" i="12"/>
  <c r="Z749" i="12"/>
  <c r="Z748" i="12"/>
  <c r="Z747" i="12"/>
  <c r="Z746" i="12"/>
  <c r="Z745" i="12"/>
  <c r="Z744" i="12"/>
  <c r="Z743" i="12"/>
  <c r="Z742" i="12"/>
  <c r="Z741" i="12"/>
  <c r="Z740" i="12"/>
  <c r="Z739" i="12"/>
  <c r="Z738" i="12"/>
  <c r="Z737" i="12"/>
  <c r="Z736" i="12"/>
  <c r="Z735" i="12"/>
  <c r="Z734" i="12"/>
  <c r="Z733" i="12"/>
  <c r="Z732" i="12"/>
  <c r="Z731" i="12"/>
  <c r="Z730" i="12"/>
  <c r="Z729" i="12"/>
  <c r="Z728" i="12"/>
  <c r="Z727" i="12"/>
  <c r="Z726" i="12"/>
  <c r="Z725" i="12"/>
  <c r="Z724" i="12"/>
  <c r="Z723" i="12"/>
  <c r="Z722" i="12"/>
  <c r="Z721" i="12"/>
  <c r="Z720" i="12"/>
  <c r="Z719" i="12"/>
  <c r="Z718" i="12"/>
  <c r="Z717" i="12"/>
  <c r="Z716" i="12"/>
  <c r="Z715" i="12"/>
  <c r="Z714" i="12"/>
  <c r="Z713" i="12"/>
  <c r="Z712" i="12"/>
  <c r="Z711" i="12"/>
  <c r="Z710" i="12"/>
  <c r="Z709" i="12"/>
  <c r="Z708" i="12"/>
  <c r="Z707" i="12"/>
  <c r="Z706" i="12"/>
  <c r="Z705" i="12"/>
  <c r="Z704" i="12"/>
  <c r="Z703" i="12"/>
  <c r="Z702" i="12"/>
  <c r="Z701" i="12"/>
  <c r="Z700" i="12"/>
  <c r="Z699" i="12"/>
  <c r="Z698" i="12"/>
  <c r="Z697" i="12"/>
  <c r="Z696" i="12"/>
  <c r="Z695" i="12"/>
  <c r="Z694" i="12"/>
  <c r="Z693" i="12"/>
  <c r="Z692" i="12"/>
  <c r="Z691" i="12"/>
  <c r="Z690" i="12"/>
  <c r="Z689" i="12"/>
  <c r="Z688" i="12"/>
  <c r="Z687" i="12"/>
  <c r="Z686" i="12"/>
  <c r="Z685" i="12"/>
  <c r="Z684" i="12"/>
  <c r="Z683" i="12"/>
  <c r="Z682" i="12"/>
  <c r="Z681" i="12"/>
  <c r="Z680" i="12"/>
  <c r="Z679" i="12"/>
  <c r="Z678" i="12"/>
  <c r="Z677" i="12"/>
  <c r="Z676" i="12"/>
  <c r="Z675" i="12"/>
  <c r="Z674" i="12"/>
  <c r="Z673" i="12"/>
  <c r="Z672" i="12"/>
  <c r="Z671" i="12"/>
  <c r="Z670" i="12"/>
  <c r="Z669" i="12"/>
  <c r="Z668" i="12"/>
  <c r="Z667" i="12"/>
  <c r="Z666" i="12"/>
  <c r="Z665" i="12"/>
  <c r="Z664" i="12"/>
  <c r="Z663" i="12"/>
  <c r="Z662" i="12"/>
  <c r="Z661" i="12"/>
  <c r="Z660" i="12"/>
  <c r="Z659" i="12"/>
  <c r="Z658" i="12"/>
  <c r="Z657" i="12"/>
  <c r="Z656" i="12"/>
  <c r="Z655" i="12"/>
  <c r="Z654" i="12"/>
  <c r="Z653" i="12"/>
  <c r="Z652" i="12"/>
  <c r="Z651" i="12"/>
  <c r="Z650" i="12"/>
  <c r="Z649" i="12"/>
  <c r="Z648" i="12"/>
  <c r="Z647" i="12"/>
  <c r="Z646" i="12"/>
  <c r="Z645" i="12"/>
  <c r="Z644" i="12"/>
  <c r="Z643" i="12"/>
  <c r="Z642" i="12"/>
  <c r="Z641" i="12"/>
  <c r="Z640" i="12"/>
  <c r="Z639" i="12"/>
  <c r="Z638" i="12"/>
  <c r="Z637" i="12"/>
  <c r="Z636" i="12"/>
  <c r="Z635" i="12"/>
  <c r="Z634" i="12"/>
  <c r="Z633" i="12"/>
  <c r="Z632" i="12"/>
  <c r="Z631" i="12"/>
  <c r="Z630" i="12"/>
  <c r="Z629" i="12"/>
  <c r="Z628" i="12"/>
  <c r="Z627" i="12"/>
  <c r="Z626" i="12"/>
  <c r="Z625" i="12"/>
  <c r="Z624" i="12"/>
  <c r="Z623" i="12"/>
  <c r="Z622" i="12"/>
  <c r="Z621" i="12"/>
  <c r="Z620" i="12"/>
  <c r="Z619" i="12"/>
  <c r="Z618" i="12"/>
  <c r="Z617" i="12"/>
  <c r="Z616" i="12"/>
  <c r="Z615" i="12"/>
  <c r="Z614" i="12"/>
  <c r="Z613" i="12"/>
  <c r="Z612" i="12"/>
  <c r="Z611" i="12"/>
  <c r="Z610" i="12"/>
  <c r="Z609" i="12"/>
  <c r="Z608" i="12"/>
  <c r="Z607" i="12"/>
  <c r="Z606" i="12"/>
  <c r="Z605" i="12"/>
  <c r="Z604" i="12"/>
  <c r="Z603" i="12"/>
  <c r="Z602" i="12"/>
  <c r="Z601" i="12"/>
  <c r="Z600" i="12"/>
  <c r="Z599" i="12"/>
  <c r="Z598" i="12"/>
  <c r="Z597" i="12"/>
  <c r="Z596" i="12"/>
  <c r="Z595" i="12"/>
  <c r="Z594" i="12"/>
  <c r="Z593" i="12"/>
  <c r="Z592" i="12"/>
  <c r="Z591" i="12"/>
  <c r="Z590" i="12"/>
  <c r="Z589" i="12"/>
  <c r="Z588" i="12"/>
  <c r="Z587" i="12"/>
  <c r="Z586" i="12"/>
  <c r="Z585" i="12"/>
  <c r="Z584" i="12"/>
  <c r="Z583" i="12"/>
  <c r="Z582" i="12"/>
  <c r="Z581" i="12"/>
  <c r="Z580" i="12"/>
  <c r="Z579" i="12"/>
  <c r="Z578" i="12"/>
  <c r="Z577" i="12"/>
  <c r="Z576" i="12"/>
  <c r="Z575" i="12"/>
  <c r="Z574" i="12"/>
  <c r="Z573" i="12"/>
  <c r="Z572" i="12"/>
  <c r="Z571" i="12"/>
  <c r="Z570" i="12"/>
  <c r="Z569" i="12"/>
  <c r="Z568" i="12"/>
  <c r="Z567" i="12"/>
  <c r="Z566" i="12"/>
  <c r="Z565" i="12"/>
  <c r="Z564" i="12"/>
  <c r="Z563" i="12"/>
  <c r="Z562" i="12"/>
  <c r="Z561" i="12"/>
  <c r="Z560" i="12"/>
  <c r="Z559" i="12"/>
  <c r="Z558" i="12"/>
  <c r="Z557" i="12"/>
  <c r="Z556" i="12"/>
  <c r="Z555" i="12"/>
  <c r="Z554" i="12"/>
  <c r="Z553" i="12"/>
  <c r="Z552" i="12"/>
  <c r="Z551" i="12"/>
  <c r="Z550" i="12"/>
  <c r="Z549" i="12"/>
  <c r="Z548" i="12"/>
  <c r="Z547" i="12"/>
  <c r="Z546" i="12"/>
  <c r="Z545" i="12"/>
  <c r="Z544" i="12"/>
  <c r="Z543" i="12"/>
  <c r="Z542" i="12"/>
  <c r="Z541" i="12"/>
  <c r="Z540" i="12"/>
  <c r="Z539" i="12"/>
  <c r="Z538" i="12"/>
  <c r="Z537" i="12"/>
  <c r="Z536" i="12"/>
  <c r="Z535" i="12"/>
  <c r="Z534" i="12"/>
  <c r="Z533" i="12"/>
  <c r="Z532" i="12"/>
  <c r="Z531" i="12"/>
  <c r="Z530" i="12"/>
  <c r="Z529" i="12"/>
  <c r="Z528" i="12"/>
  <c r="Z527" i="12"/>
  <c r="Z526" i="12"/>
  <c r="Z525" i="12"/>
  <c r="Z524" i="12"/>
  <c r="Z523" i="12"/>
  <c r="Z522" i="12"/>
  <c r="Z521" i="12"/>
  <c r="Z520" i="12"/>
  <c r="Z519" i="12"/>
  <c r="Z518" i="12"/>
  <c r="Z517" i="12"/>
  <c r="Z516" i="12"/>
  <c r="Z515" i="12"/>
  <c r="Z514" i="12"/>
  <c r="Z513" i="12"/>
  <c r="Z512" i="12"/>
  <c r="Z511" i="12"/>
  <c r="Z510" i="12"/>
  <c r="Z509" i="12"/>
  <c r="Z508" i="12"/>
  <c r="Z507" i="12"/>
  <c r="Z506" i="12"/>
  <c r="Z505" i="12"/>
  <c r="Z504" i="12"/>
  <c r="Z503" i="12"/>
  <c r="Z502" i="12"/>
  <c r="Z501" i="12"/>
  <c r="Z500" i="12"/>
  <c r="Z499" i="12"/>
  <c r="Z498" i="12"/>
  <c r="Z497" i="12"/>
  <c r="Z496" i="12"/>
  <c r="Z495" i="12"/>
  <c r="Z494" i="12"/>
  <c r="Z493" i="12"/>
  <c r="Z492" i="12"/>
  <c r="Z491" i="12"/>
  <c r="Z490" i="12"/>
  <c r="Z489" i="12"/>
  <c r="Z488" i="12"/>
  <c r="Z487" i="12"/>
  <c r="Z486" i="12"/>
  <c r="Z485" i="12"/>
  <c r="Z484" i="12"/>
  <c r="Z483" i="12"/>
  <c r="Z482" i="12"/>
  <c r="Z481" i="12"/>
  <c r="Z480" i="12"/>
  <c r="Z479" i="12"/>
  <c r="Z478" i="12"/>
  <c r="Z477" i="12"/>
  <c r="Z476" i="12"/>
  <c r="Z475" i="12"/>
  <c r="Z474" i="12"/>
  <c r="Z473" i="12"/>
  <c r="Z472" i="12"/>
  <c r="Z471" i="12"/>
  <c r="Z470" i="12"/>
  <c r="Z469" i="12"/>
  <c r="Z468" i="12"/>
  <c r="Z467" i="12"/>
  <c r="Z466" i="12"/>
  <c r="Z465" i="12"/>
  <c r="Z464" i="12"/>
  <c r="Z463" i="12"/>
  <c r="Z462" i="12"/>
  <c r="Z461" i="12"/>
  <c r="Z460" i="12"/>
  <c r="Z459" i="12"/>
  <c r="Z458" i="12"/>
  <c r="Z457" i="12"/>
  <c r="Z456" i="12"/>
  <c r="Z455" i="12"/>
  <c r="Z454" i="12"/>
  <c r="Z453" i="12"/>
  <c r="Z452" i="12"/>
  <c r="Z451" i="12"/>
  <c r="Z450" i="12"/>
  <c r="Z449" i="12"/>
  <c r="Z448" i="12"/>
  <c r="Z447" i="12"/>
  <c r="Z446" i="12"/>
  <c r="Z445" i="12"/>
  <c r="Z444" i="12"/>
  <c r="Z443" i="12"/>
  <c r="Z442" i="12"/>
  <c r="Z441" i="12"/>
  <c r="Z440" i="12"/>
  <c r="Z439" i="12"/>
  <c r="Z438" i="12"/>
  <c r="Z437" i="12"/>
  <c r="Z436" i="12"/>
  <c r="Z435" i="12"/>
  <c r="Z434" i="12"/>
  <c r="Z433" i="12"/>
  <c r="Z432" i="12"/>
  <c r="Z431" i="12"/>
  <c r="Z430" i="12"/>
  <c r="Z429" i="12"/>
  <c r="Z428" i="12"/>
  <c r="Z427" i="12"/>
  <c r="Z426" i="12"/>
  <c r="Z425" i="12"/>
  <c r="Z424" i="12"/>
  <c r="Z423" i="12"/>
  <c r="Z422" i="12"/>
  <c r="Z421" i="12"/>
  <c r="Z420" i="12"/>
  <c r="Z419" i="12"/>
  <c r="Z418" i="12"/>
  <c r="Z417" i="12"/>
  <c r="Z416" i="12"/>
  <c r="Z415" i="12"/>
  <c r="Z414" i="12"/>
  <c r="Z413" i="12"/>
  <c r="Z412" i="12"/>
  <c r="Z411" i="12"/>
  <c r="Z410" i="12"/>
  <c r="Z409" i="12"/>
  <c r="Z408" i="12"/>
  <c r="Z407" i="12"/>
  <c r="Z406" i="12"/>
  <c r="Z405" i="12"/>
  <c r="Z404" i="12"/>
  <c r="Z403" i="12"/>
  <c r="Z402" i="12"/>
  <c r="Z401" i="12"/>
  <c r="Z400" i="12"/>
  <c r="Z399" i="12"/>
  <c r="Z398" i="12"/>
  <c r="Z397" i="12"/>
  <c r="Z396" i="12"/>
  <c r="Z395" i="12"/>
  <c r="Z394" i="12"/>
  <c r="Z393" i="12"/>
  <c r="Z392" i="12"/>
  <c r="Z391" i="12"/>
  <c r="Z390" i="12"/>
  <c r="Z389" i="12"/>
  <c r="Z388" i="12"/>
  <c r="Z387" i="12"/>
  <c r="Z386" i="12"/>
  <c r="Z385" i="12"/>
  <c r="Z384" i="12"/>
  <c r="Z383" i="12"/>
  <c r="Z382" i="12"/>
  <c r="Z381" i="12"/>
  <c r="Z380" i="12"/>
  <c r="Z379" i="12"/>
  <c r="Z378" i="12"/>
  <c r="Z377" i="12"/>
  <c r="Z376" i="12"/>
  <c r="Z375" i="12"/>
  <c r="Z374" i="12"/>
  <c r="Z373" i="12"/>
  <c r="Z372" i="12"/>
  <c r="Z371" i="12"/>
  <c r="Z370" i="12"/>
  <c r="Z369" i="12"/>
  <c r="Z368" i="12"/>
  <c r="Z367" i="12"/>
  <c r="Z366" i="12"/>
  <c r="Z365" i="12"/>
  <c r="Z364" i="12"/>
  <c r="Z363" i="12"/>
  <c r="Z362" i="12"/>
  <c r="Z361" i="12"/>
  <c r="Z360" i="12"/>
  <c r="Z359" i="12"/>
  <c r="Z358" i="12"/>
  <c r="Z357" i="12"/>
  <c r="Z356" i="12"/>
  <c r="Z355" i="12"/>
  <c r="Z354" i="12"/>
  <c r="Z353" i="12"/>
  <c r="Z352" i="12"/>
  <c r="Z351" i="12"/>
  <c r="Z350" i="12"/>
  <c r="Z349" i="12"/>
  <c r="Z348" i="12"/>
  <c r="Z347" i="12"/>
  <c r="Z346" i="12"/>
  <c r="Z345" i="12"/>
  <c r="Z344" i="12"/>
  <c r="Z343" i="12"/>
  <c r="Z342" i="12"/>
  <c r="Z341" i="12"/>
  <c r="Z340" i="12"/>
  <c r="Z339" i="12"/>
  <c r="Z338" i="12"/>
  <c r="Z337" i="12"/>
  <c r="Z336" i="12"/>
  <c r="Z335" i="12"/>
  <c r="Z334" i="12"/>
  <c r="Z333" i="12"/>
  <c r="Z332" i="12"/>
  <c r="Z331" i="12"/>
  <c r="Z330" i="12"/>
  <c r="Z329" i="12"/>
  <c r="Z328" i="12"/>
  <c r="Z327" i="12"/>
  <c r="Z326" i="12"/>
  <c r="Z325" i="12"/>
  <c r="Z324" i="12"/>
  <c r="Z323" i="12"/>
  <c r="Z322" i="12"/>
  <c r="Z321" i="12"/>
  <c r="Z320" i="12"/>
  <c r="Z319" i="12"/>
  <c r="Z318" i="12"/>
  <c r="Z317" i="12"/>
  <c r="Z316" i="12"/>
  <c r="Z315" i="12"/>
  <c r="Z314" i="12"/>
  <c r="Z313" i="12"/>
  <c r="Z312" i="12"/>
  <c r="Z311" i="12"/>
  <c r="Z310" i="12"/>
  <c r="Z309" i="12"/>
  <c r="Z308" i="12"/>
  <c r="Z307" i="12"/>
  <c r="Z306" i="12"/>
  <c r="Z305" i="12"/>
  <c r="Z304" i="12"/>
  <c r="Z303" i="12"/>
  <c r="Z302" i="12"/>
  <c r="Z301" i="12"/>
  <c r="Z300" i="12"/>
  <c r="Z299" i="12"/>
  <c r="Z298" i="12"/>
  <c r="Z297" i="12"/>
  <c r="Z296" i="12"/>
  <c r="Z295" i="12"/>
  <c r="Z294" i="12"/>
  <c r="Z293" i="12"/>
  <c r="Z292" i="12"/>
  <c r="Z291" i="12"/>
  <c r="Z290" i="12"/>
  <c r="Z289" i="12"/>
  <c r="Z288" i="12"/>
  <c r="Z287" i="12"/>
  <c r="Z286" i="12"/>
  <c r="Z285" i="12"/>
  <c r="Z284" i="12"/>
  <c r="Z283" i="12"/>
  <c r="Z282" i="12"/>
  <c r="Z281" i="12"/>
  <c r="Z280" i="12"/>
  <c r="Z279" i="12"/>
  <c r="Z278" i="12"/>
  <c r="Z277" i="12"/>
  <c r="Z276" i="12"/>
  <c r="Z275" i="12"/>
  <c r="Z274" i="12"/>
  <c r="Z273" i="12"/>
  <c r="Z272" i="12"/>
  <c r="Z271" i="12"/>
  <c r="Z270" i="12"/>
  <c r="Z269" i="12"/>
  <c r="Z268" i="12"/>
  <c r="Z267" i="12"/>
  <c r="Z266" i="12"/>
  <c r="Z265" i="12"/>
  <c r="Z264" i="12"/>
  <c r="Z263" i="12"/>
  <c r="Z262" i="12"/>
  <c r="Z261" i="12"/>
  <c r="Z260" i="12"/>
  <c r="Z259" i="12"/>
  <c r="Z258" i="12"/>
  <c r="Z257" i="12"/>
  <c r="Z256" i="12"/>
  <c r="Z255" i="12"/>
  <c r="Z254" i="12"/>
  <c r="Z253" i="12"/>
  <c r="Z252" i="12"/>
  <c r="Z251" i="12"/>
  <c r="Z250" i="12"/>
  <c r="Z249" i="12"/>
  <c r="Z248" i="12"/>
  <c r="Z247" i="12"/>
  <c r="Z246" i="12"/>
  <c r="Z245" i="12"/>
  <c r="Z244" i="12"/>
  <c r="Z243" i="12"/>
  <c r="Z242" i="12"/>
  <c r="Z241" i="12"/>
  <c r="Z240" i="12"/>
  <c r="Z239" i="12"/>
  <c r="Z238" i="12"/>
  <c r="Z237" i="12"/>
  <c r="Z236" i="12"/>
  <c r="Z235" i="12"/>
  <c r="Z234" i="12"/>
  <c r="Z233" i="12"/>
  <c r="Z232" i="12"/>
  <c r="Z231" i="12"/>
  <c r="Z230" i="12"/>
  <c r="Z229" i="12"/>
  <c r="Z228" i="12"/>
  <c r="Z227" i="12"/>
  <c r="Z226" i="12"/>
  <c r="Z225" i="12"/>
  <c r="Z224" i="12"/>
  <c r="Z223" i="12"/>
  <c r="Z222" i="12"/>
  <c r="Z221" i="12"/>
  <c r="Z220" i="12"/>
  <c r="Z219" i="12"/>
  <c r="Z218" i="12"/>
  <c r="Z217" i="12"/>
  <c r="Z216" i="12"/>
  <c r="Z215" i="12"/>
  <c r="Z214" i="12"/>
  <c r="Z213" i="12"/>
  <c r="Z212" i="12"/>
  <c r="Z211" i="12"/>
  <c r="Z210" i="12"/>
  <c r="Z209" i="12"/>
  <c r="Z208" i="12"/>
  <c r="Z207" i="12"/>
  <c r="Z206" i="12"/>
  <c r="Z205" i="12"/>
  <c r="Z204" i="12"/>
  <c r="Z203" i="12"/>
  <c r="Z202" i="12"/>
  <c r="Z201" i="12"/>
  <c r="Z200" i="12"/>
  <c r="Z199" i="12"/>
  <c r="Z198" i="12"/>
  <c r="Z197" i="12"/>
  <c r="Z196" i="12"/>
  <c r="Z195" i="12"/>
  <c r="Z194" i="12"/>
  <c r="Z193" i="12"/>
  <c r="Z192" i="12"/>
  <c r="Z191" i="12"/>
  <c r="Z190" i="12"/>
  <c r="Z189" i="12"/>
  <c r="Z188" i="12"/>
  <c r="Z187" i="12"/>
  <c r="Z186" i="12"/>
  <c r="Z185" i="12"/>
  <c r="Z184" i="12"/>
  <c r="Z183" i="12"/>
  <c r="Z182" i="12"/>
  <c r="Z181" i="12"/>
  <c r="Z180" i="12"/>
  <c r="Z179" i="12"/>
  <c r="Z178" i="12"/>
  <c r="Z177" i="12"/>
  <c r="Z176" i="12"/>
  <c r="Z175" i="12"/>
  <c r="Z174" i="12"/>
  <c r="Z173" i="12"/>
  <c r="Z172" i="12"/>
  <c r="Z171" i="12"/>
  <c r="Z170" i="12"/>
  <c r="Z169" i="12"/>
  <c r="Z168" i="12"/>
  <c r="Z167" i="12"/>
  <c r="Z166" i="12"/>
  <c r="Z165" i="12"/>
  <c r="Z164" i="12"/>
  <c r="Z163" i="12"/>
  <c r="Z162" i="12"/>
  <c r="Z161" i="12"/>
  <c r="Z160" i="12"/>
  <c r="Z159" i="12"/>
  <c r="Z158" i="12"/>
  <c r="Z157" i="12"/>
  <c r="Z156" i="12"/>
  <c r="Z155" i="12"/>
  <c r="Z154" i="12"/>
  <c r="Z153" i="12"/>
  <c r="Z152" i="12"/>
  <c r="Z151" i="12"/>
  <c r="Z150" i="12"/>
  <c r="Z149" i="12"/>
  <c r="Z148" i="12"/>
  <c r="Z147" i="12"/>
  <c r="Z146" i="12"/>
  <c r="Z145" i="12"/>
  <c r="Z144" i="12"/>
  <c r="Z143" i="12"/>
  <c r="Z142" i="12"/>
  <c r="Z141" i="12"/>
  <c r="Z140" i="12"/>
  <c r="Z139" i="12"/>
  <c r="Z138" i="12"/>
  <c r="Z137" i="12"/>
  <c r="Z136" i="12"/>
  <c r="Z135" i="12"/>
  <c r="Z134" i="12"/>
  <c r="Z133" i="12"/>
  <c r="Z132" i="12"/>
  <c r="Z131" i="12"/>
  <c r="Z130" i="12"/>
  <c r="Z129" i="12"/>
  <c r="Z128" i="12"/>
  <c r="Z127" i="12"/>
  <c r="Z126" i="12"/>
  <c r="Z125" i="12"/>
  <c r="Z124" i="12"/>
  <c r="Z123" i="12"/>
  <c r="Z122" i="12"/>
  <c r="Z121" i="12"/>
  <c r="Z120" i="12"/>
  <c r="Z119" i="12"/>
  <c r="Z118" i="12"/>
  <c r="Z117" i="12"/>
  <c r="Z116" i="12"/>
  <c r="Z115" i="12"/>
  <c r="Z114" i="12"/>
  <c r="Z113" i="12"/>
  <c r="Z112" i="12"/>
  <c r="Z111" i="12"/>
  <c r="Z110" i="12"/>
  <c r="Z109" i="12"/>
  <c r="Z108" i="12"/>
  <c r="Z107" i="12"/>
  <c r="Z106" i="12"/>
  <c r="Z105" i="12"/>
  <c r="Z104" i="12"/>
  <c r="Z103" i="12"/>
  <c r="Z102" i="12"/>
  <c r="Z101" i="12"/>
  <c r="Z100" i="12"/>
  <c r="Z99" i="12"/>
  <c r="Z98" i="12"/>
  <c r="Z97" i="12"/>
  <c r="Z96" i="12"/>
  <c r="Z95" i="12"/>
  <c r="Z94" i="12"/>
  <c r="Z93" i="12"/>
  <c r="Z92" i="12"/>
  <c r="Z91" i="12"/>
  <c r="Z90" i="12"/>
  <c r="Z89" i="12"/>
  <c r="Z88" i="12"/>
  <c r="Z87" i="12"/>
  <c r="Z86" i="12"/>
  <c r="Z85" i="12"/>
  <c r="Z84" i="12"/>
  <c r="Z83" i="12"/>
  <c r="Z82" i="12"/>
  <c r="Z81" i="12"/>
  <c r="Z80" i="12"/>
  <c r="Z79" i="12"/>
  <c r="Z78" i="12"/>
  <c r="Z77" i="12"/>
  <c r="Z76" i="12"/>
  <c r="Z75" i="12"/>
  <c r="Z74" i="12"/>
  <c r="Z73" i="12"/>
  <c r="Z72" i="12"/>
  <c r="Z71" i="12"/>
  <c r="Z70" i="12"/>
  <c r="Z69" i="12"/>
  <c r="Z68" i="12"/>
  <c r="Z67" i="12"/>
  <c r="Z66" i="12"/>
  <c r="Z65" i="12"/>
  <c r="Z64" i="12"/>
  <c r="Z63" i="12"/>
  <c r="Z62" i="12"/>
  <c r="Z61" i="12"/>
  <c r="Z60" i="12"/>
  <c r="Z59" i="12"/>
  <c r="Z58" i="12"/>
  <c r="Z57" i="12"/>
  <c r="Z56" i="12"/>
  <c r="Z55" i="12"/>
  <c r="Z54" i="12"/>
  <c r="Z53" i="12"/>
  <c r="Z52" i="12"/>
  <c r="Z51" i="12"/>
  <c r="Z50" i="12"/>
  <c r="Z49" i="12"/>
  <c r="Z48" i="12"/>
  <c r="Z47" i="12"/>
  <c r="Z46" i="12"/>
  <c r="Z45" i="12"/>
  <c r="Z44" i="12"/>
  <c r="Z43" i="12"/>
  <c r="Z42" i="12"/>
  <c r="Z41" i="12"/>
  <c r="Z40" i="12"/>
  <c r="Z39" i="12"/>
  <c r="Z38" i="12"/>
  <c r="Z37" i="12"/>
  <c r="Z36" i="12"/>
  <c r="Z35" i="12"/>
  <c r="Z34" i="12"/>
  <c r="Z33" i="12"/>
  <c r="Z32" i="12"/>
  <c r="Z31" i="12"/>
  <c r="Z30" i="12"/>
  <c r="Z29" i="12"/>
  <c r="Z28" i="12"/>
  <c r="Z27" i="12"/>
  <c r="Z26" i="12"/>
  <c r="Z25" i="12"/>
  <c r="Z24" i="12"/>
  <c r="Z23" i="12"/>
  <c r="Z22" i="12"/>
  <c r="Z21" i="12"/>
  <c r="Z20" i="12"/>
  <c r="Z19" i="12"/>
  <c r="Z18" i="12"/>
  <c r="Z17" i="12"/>
  <c r="Z16" i="12"/>
  <c r="Z15" i="12"/>
  <c r="Z14" i="12"/>
  <c r="Z13" i="12"/>
  <c r="Z12" i="12"/>
  <c r="Z11" i="12"/>
  <c r="Z10" i="12"/>
  <c r="Z9" i="12"/>
  <c r="Z8" i="12"/>
  <c r="Z7" i="12"/>
  <c r="Z6" i="12"/>
  <c r="Z5" i="12"/>
  <c r="Z4" i="12"/>
  <c r="Z3" i="12"/>
  <c r="Z2481" i="11"/>
  <c r="Z2480" i="11"/>
  <c r="Z2479" i="11"/>
  <c r="Z2478" i="11"/>
  <c r="Z2477" i="11"/>
  <c r="Z2476" i="11"/>
  <c r="Z2475" i="11"/>
  <c r="Z2474" i="11"/>
  <c r="Z2473" i="11"/>
  <c r="Z2472" i="11"/>
  <c r="Z2471" i="11"/>
  <c r="Z2470" i="11"/>
  <c r="Z2469" i="11"/>
  <c r="Z2468" i="11"/>
  <c r="Z2467" i="11"/>
  <c r="Z2466" i="11"/>
  <c r="Z2465" i="11"/>
  <c r="Z2464" i="11"/>
  <c r="Z2463" i="11"/>
  <c r="Z2462" i="11"/>
  <c r="Z2461" i="11"/>
  <c r="Z2460" i="11"/>
  <c r="Z2459" i="11"/>
  <c r="Z2458" i="11"/>
  <c r="Z2457" i="11"/>
  <c r="Z2456" i="11"/>
  <c r="Z2455" i="11"/>
  <c r="Z2454" i="11"/>
  <c r="Z2453" i="11"/>
  <c r="Z2452" i="11"/>
  <c r="Z2451" i="11"/>
  <c r="Z2450" i="11"/>
  <c r="Z2449" i="11"/>
  <c r="Z2448" i="11"/>
  <c r="Z2447" i="11"/>
  <c r="Z2446" i="11"/>
  <c r="Z2445" i="11"/>
  <c r="Z2444" i="11"/>
  <c r="Z2443" i="11"/>
  <c r="Z2442" i="11"/>
  <c r="Z2441" i="11"/>
  <c r="Z2440" i="11"/>
  <c r="Z2439" i="11"/>
  <c r="Z2438" i="11"/>
  <c r="Z2437" i="11"/>
  <c r="Z2436" i="11"/>
  <c r="Z2435" i="11"/>
  <c r="Z2434" i="11"/>
  <c r="Z2433" i="11"/>
  <c r="Z2432" i="11"/>
  <c r="Z2431" i="11"/>
  <c r="Z2430" i="11"/>
  <c r="Z2429" i="11"/>
  <c r="Z2428" i="11"/>
  <c r="Z2427" i="11"/>
  <c r="Z2426" i="11"/>
  <c r="Z2425" i="11"/>
  <c r="Z2424" i="11"/>
  <c r="Z2423" i="11"/>
  <c r="Z2422" i="11"/>
  <c r="Z2421" i="11"/>
  <c r="Z2420" i="11"/>
  <c r="Z2419" i="11"/>
  <c r="Z2418" i="11"/>
  <c r="Z2417" i="11"/>
  <c r="Z2416" i="11"/>
  <c r="Z2415" i="11"/>
  <c r="Z2414" i="11"/>
  <c r="Z2413" i="11"/>
  <c r="Z2412" i="11"/>
  <c r="Z2411" i="11"/>
  <c r="Z2410" i="11"/>
  <c r="Z2409" i="11"/>
  <c r="Z2408" i="11"/>
  <c r="Z2407" i="11"/>
  <c r="Z2406" i="11"/>
  <c r="Z2405" i="11"/>
  <c r="Z2404" i="11"/>
  <c r="Z2403" i="11"/>
  <c r="Z2402" i="11"/>
  <c r="Z2401" i="11"/>
  <c r="Z2400" i="11"/>
  <c r="Z2399" i="11"/>
  <c r="Z2398" i="11"/>
  <c r="Z2397" i="11"/>
  <c r="Z2396" i="11"/>
  <c r="Z2395" i="11"/>
  <c r="Z2394" i="11"/>
  <c r="Z2393" i="11"/>
  <c r="Z2392" i="11"/>
  <c r="Z2391" i="11"/>
  <c r="Z2390" i="11"/>
  <c r="Z2389" i="11"/>
  <c r="Z2388" i="11"/>
  <c r="Z2387" i="11"/>
  <c r="Z2386" i="11"/>
  <c r="Z2385" i="11"/>
  <c r="Z2384" i="11"/>
  <c r="Z2383" i="11"/>
  <c r="Z2382" i="11"/>
  <c r="Z2381" i="11"/>
  <c r="Z2380" i="11"/>
  <c r="Z2379" i="11"/>
  <c r="Z2378" i="11"/>
  <c r="Z2377" i="11"/>
  <c r="Z2376" i="11"/>
  <c r="Z2375" i="11"/>
  <c r="Z2374" i="11"/>
  <c r="Z2373" i="11"/>
  <c r="Z2372" i="11"/>
  <c r="Z2371" i="11"/>
  <c r="Z2370" i="11"/>
  <c r="Z2369" i="11"/>
  <c r="Z2368" i="11"/>
  <c r="Z2367" i="11"/>
  <c r="Z2366" i="11"/>
  <c r="Z2365" i="11"/>
  <c r="Z2364" i="11"/>
  <c r="Z2363" i="11"/>
  <c r="Z2362" i="11"/>
  <c r="Z2361" i="11"/>
  <c r="Z2360" i="11"/>
  <c r="Z2359" i="11"/>
  <c r="Z2358" i="11"/>
  <c r="Z2357" i="11"/>
  <c r="Z2356" i="11"/>
  <c r="Z2355" i="11"/>
  <c r="Z2354" i="11"/>
  <c r="Z2353" i="11"/>
  <c r="Z2352" i="11"/>
  <c r="Z2351" i="11"/>
  <c r="Z2350" i="11"/>
  <c r="Z2349" i="11"/>
  <c r="Z2348" i="11"/>
  <c r="Z2347" i="11"/>
  <c r="Z2346" i="11"/>
  <c r="Z2345" i="11"/>
  <c r="Z2344" i="11"/>
  <c r="Z2343" i="11"/>
  <c r="Z2342" i="11"/>
  <c r="Z2341" i="11"/>
  <c r="Z2340" i="11"/>
  <c r="Z2339" i="11"/>
  <c r="Z2338" i="11"/>
  <c r="Z2337" i="11"/>
  <c r="Z2336" i="11"/>
  <c r="Z2335" i="11"/>
  <c r="Z2334" i="11"/>
  <c r="Z2333" i="11"/>
  <c r="Z2332" i="11"/>
  <c r="Z2331" i="11"/>
  <c r="Z2330" i="11"/>
  <c r="Z2329" i="11"/>
  <c r="Z2328" i="11"/>
  <c r="Z2327" i="11"/>
  <c r="Z2326" i="11"/>
  <c r="Z2325" i="11"/>
  <c r="Z2324" i="11"/>
  <c r="Z2323" i="11"/>
  <c r="Z2322" i="11"/>
  <c r="Z2321" i="11"/>
  <c r="Z2320" i="11"/>
  <c r="Z2319" i="11"/>
  <c r="Z2318" i="11"/>
  <c r="Z2317" i="11"/>
  <c r="Z2316" i="11"/>
  <c r="Z2315" i="11"/>
  <c r="Z2314" i="11"/>
  <c r="Z2313" i="11"/>
  <c r="Z2312" i="11"/>
  <c r="Z2311" i="11"/>
  <c r="Z2310" i="11"/>
  <c r="Z2309" i="11"/>
  <c r="Z2308" i="11"/>
  <c r="Z2307" i="11"/>
  <c r="Z2306" i="11"/>
  <c r="Z2305" i="11"/>
  <c r="Z2304" i="11"/>
  <c r="Z2303" i="11"/>
  <c r="Z2302" i="11"/>
  <c r="Z2301" i="11"/>
  <c r="Z2300" i="11"/>
  <c r="Z2299" i="11"/>
  <c r="Z2298" i="11"/>
  <c r="Z2297" i="11"/>
  <c r="Z2296" i="11"/>
  <c r="Z2295" i="11"/>
  <c r="Z2294" i="11"/>
  <c r="Z2293" i="11"/>
  <c r="Z2292" i="11"/>
  <c r="Z2291" i="11"/>
  <c r="Z2290" i="11"/>
  <c r="Z2289" i="11"/>
  <c r="Z2288" i="11"/>
  <c r="Z2287" i="11"/>
  <c r="Z2286" i="11"/>
  <c r="Z2285" i="11"/>
  <c r="Z2284" i="11"/>
  <c r="Z2283" i="11"/>
  <c r="Z2282" i="11"/>
  <c r="Z2281" i="11"/>
  <c r="Z2280" i="11"/>
  <c r="Z2279" i="11"/>
  <c r="Z2278" i="11"/>
  <c r="Z2277" i="11"/>
  <c r="Z2276" i="11"/>
  <c r="Z2275" i="11"/>
  <c r="Z2274" i="11"/>
  <c r="Z2273" i="11"/>
  <c r="Z2272" i="11"/>
  <c r="Z2271" i="11"/>
  <c r="Z2270" i="11"/>
  <c r="Z2269" i="11"/>
  <c r="Z2268" i="11"/>
  <c r="Z2267" i="11"/>
  <c r="Z2266" i="11"/>
  <c r="Z2265" i="11"/>
  <c r="Z2264" i="11"/>
  <c r="Z2263" i="11"/>
  <c r="Z2262" i="11"/>
  <c r="Z2261" i="11"/>
  <c r="Z2260" i="11"/>
  <c r="Z2259" i="11"/>
  <c r="Z2258" i="11"/>
  <c r="Z2257" i="11"/>
  <c r="Z2256" i="11"/>
  <c r="Z2255" i="11"/>
  <c r="Z2254" i="11"/>
  <c r="Z2253" i="11"/>
  <c r="Z2252" i="11"/>
  <c r="Z2251" i="11"/>
  <c r="Z2250" i="11"/>
  <c r="Z2249" i="11"/>
  <c r="Z2248" i="11"/>
  <c r="Z2247" i="11"/>
  <c r="Z2246" i="11"/>
  <c r="Z2245" i="11"/>
  <c r="Z2244" i="11"/>
  <c r="Z2243" i="11"/>
  <c r="Z2242" i="11"/>
  <c r="Z2241" i="11"/>
  <c r="Z2240" i="11"/>
  <c r="Z2239" i="11"/>
  <c r="Z2238" i="11"/>
  <c r="Z2237" i="11"/>
  <c r="Z2236" i="11"/>
  <c r="Z2235" i="11"/>
  <c r="Z2234" i="11"/>
  <c r="Z2233" i="11"/>
  <c r="Z2232" i="11"/>
  <c r="Z2231" i="11"/>
  <c r="Z2230" i="11"/>
  <c r="Z2229" i="11"/>
  <c r="Z2228" i="11"/>
  <c r="Z2227" i="11"/>
  <c r="Z2226" i="11"/>
  <c r="Z2225" i="11"/>
  <c r="Z2224" i="11"/>
  <c r="Z2223" i="11"/>
  <c r="Z2222" i="11"/>
  <c r="Z2221" i="11"/>
  <c r="Z2220" i="11"/>
  <c r="Z2219" i="11"/>
  <c r="Z2218" i="11"/>
  <c r="Z2217" i="11"/>
  <c r="Z2216" i="11"/>
  <c r="Z2215" i="11"/>
  <c r="Z2214" i="11"/>
  <c r="Z2213" i="11"/>
  <c r="Z2212" i="11"/>
  <c r="Z2211" i="11"/>
  <c r="Z2210" i="11"/>
  <c r="Z2209" i="11"/>
  <c r="Z2208" i="11"/>
  <c r="Z2207" i="11"/>
  <c r="Z2206" i="11"/>
  <c r="Z2205" i="11"/>
  <c r="Z2204" i="11"/>
  <c r="Z2203" i="11"/>
  <c r="Z2202" i="11"/>
  <c r="Z2201" i="11"/>
  <c r="Z2200" i="11"/>
  <c r="Z2199" i="11"/>
  <c r="Z2198" i="11"/>
  <c r="Z2197" i="11"/>
  <c r="Z2196" i="11"/>
  <c r="Z2195" i="11"/>
  <c r="Z2194" i="11"/>
  <c r="Z2193" i="11"/>
  <c r="Z2192" i="11"/>
  <c r="Z2191" i="11"/>
  <c r="Z2190" i="11"/>
  <c r="Z2189" i="11"/>
  <c r="Z2188" i="11"/>
  <c r="Z2187" i="11"/>
  <c r="Z2186" i="11"/>
  <c r="Z2185" i="11"/>
  <c r="Z2184" i="11"/>
  <c r="Z2183" i="11"/>
  <c r="Z2182" i="11"/>
  <c r="Z2181" i="11"/>
  <c r="Z2180" i="11"/>
  <c r="Z2179" i="11"/>
  <c r="Z2178" i="11"/>
  <c r="Z2177" i="11"/>
  <c r="Z2176" i="11"/>
  <c r="Z2175" i="11"/>
  <c r="Z2174" i="11"/>
  <c r="Z2173" i="11"/>
  <c r="Z2172" i="11"/>
  <c r="Z2171" i="11"/>
  <c r="Z2170" i="11"/>
  <c r="Z2169" i="11"/>
  <c r="Z2168" i="11"/>
  <c r="Z2167" i="11"/>
  <c r="Z2166" i="11"/>
  <c r="Z2165" i="11"/>
  <c r="Z2164" i="11"/>
  <c r="Z2163" i="11"/>
  <c r="Z2162" i="11"/>
  <c r="Z2161" i="11"/>
  <c r="Z2160" i="11"/>
  <c r="Z2159" i="11"/>
  <c r="Z2158" i="11"/>
  <c r="Z2157" i="11"/>
  <c r="Z2156" i="11"/>
  <c r="Z2155" i="11"/>
  <c r="Z2154" i="11"/>
  <c r="Z2153" i="11"/>
  <c r="Z2152" i="11"/>
  <c r="Z2151" i="11"/>
  <c r="Z2150" i="11"/>
  <c r="Z2149" i="11"/>
  <c r="Z2148" i="11"/>
  <c r="Z2147" i="11"/>
  <c r="Z2146" i="11"/>
  <c r="Z2145" i="11"/>
  <c r="Z2144" i="11"/>
  <c r="Z2143" i="11"/>
  <c r="Z2142" i="11"/>
  <c r="Z2141" i="11"/>
  <c r="Z2140" i="11"/>
  <c r="Z2139" i="11"/>
  <c r="Z2138" i="11"/>
  <c r="Z2137" i="11"/>
  <c r="Z2136" i="11"/>
  <c r="Z2135" i="11"/>
  <c r="Z2134" i="11"/>
  <c r="Z2133" i="11"/>
  <c r="Z2132" i="11"/>
  <c r="Z2131" i="11"/>
  <c r="Z2130" i="11"/>
  <c r="Z2129" i="11"/>
  <c r="Z2128" i="11"/>
  <c r="Z2127" i="11"/>
  <c r="Z2126" i="11"/>
  <c r="Z2125" i="11"/>
  <c r="Z2124" i="11"/>
  <c r="Z2123" i="11"/>
  <c r="Z2122" i="11"/>
  <c r="Z2121" i="11"/>
  <c r="Z2120" i="11"/>
  <c r="Z2119" i="11"/>
  <c r="Z2118" i="11"/>
  <c r="Z2117" i="11"/>
  <c r="Z2116" i="11"/>
  <c r="Z2115" i="11"/>
  <c r="Z2114" i="11"/>
  <c r="Z2113" i="11"/>
  <c r="Z2112" i="11"/>
  <c r="Z2111" i="11"/>
  <c r="Z2110" i="11"/>
  <c r="Z2109" i="11"/>
  <c r="Z2108" i="11"/>
  <c r="Z2107" i="11"/>
  <c r="Z2106" i="11"/>
  <c r="Z2105" i="11"/>
  <c r="Z2104" i="11"/>
  <c r="Z2103" i="11"/>
  <c r="Z2102" i="11"/>
  <c r="Z2101" i="11"/>
  <c r="Z2100" i="11"/>
  <c r="Z2099" i="11"/>
  <c r="Z2098" i="11"/>
  <c r="Z2097" i="11"/>
  <c r="Z2096" i="11"/>
  <c r="Z2095" i="11"/>
  <c r="Z2094" i="11"/>
  <c r="Z2093" i="11"/>
  <c r="Z2092" i="11"/>
  <c r="Z2091" i="11"/>
  <c r="Z2090" i="11"/>
  <c r="Z2089" i="11"/>
  <c r="Z2088" i="11"/>
  <c r="Z2087" i="11"/>
  <c r="Z2086" i="11"/>
  <c r="Z2085" i="11"/>
  <c r="Z2084" i="11"/>
  <c r="Z2083" i="11"/>
  <c r="Z2082" i="11"/>
  <c r="Z2081" i="11"/>
  <c r="Z2080" i="11"/>
  <c r="Z2079" i="11"/>
  <c r="Z2078" i="11"/>
  <c r="Z2077" i="11"/>
  <c r="Z2076" i="11"/>
  <c r="Z2075" i="11"/>
  <c r="Z2074" i="11"/>
  <c r="Z2073" i="11"/>
  <c r="Z2072" i="11"/>
  <c r="Z2071" i="11"/>
  <c r="Z2070" i="11"/>
  <c r="Z2069" i="11"/>
  <c r="Z2068" i="11"/>
  <c r="Z2067" i="11"/>
  <c r="Z2066" i="11"/>
  <c r="Z2065" i="11"/>
  <c r="Z2064" i="11"/>
  <c r="Z2063" i="11"/>
  <c r="Z2062" i="11"/>
  <c r="Z2061" i="11"/>
  <c r="Z2060" i="11"/>
  <c r="Z2059" i="11"/>
  <c r="Z2058" i="11"/>
  <c r="Z2057" i="11"/>
  <c r="Z2056" i="11"/>
  <c r="Z2055" i="11"/>
  <c r="Z2054" i="11"/>
  <c r="Z2053" i="11"/>
  <c r="Z2052" i="11"/>
  <c r="Z2051" i="11"/>
  <c r="Z2050" i="11"/>
  <c r="Z2049" i="11"/>
  <c r="Z2048" i="11"/>
  <c r="Z2047" i="11"/>
  <c r="Z2046" i="11"/>
  <c r="Z2045" i="11"/>
  <c r="Z2044" i="11"/>
  <c r="Z2043" i="11"/>
  <c r="Z2042" i="11"/>
  <c r="Z2041" i="11"/>
  <c r="Z2040" i="11"/>
  <c r="Z2039" i="11"/>
  <c r="Z2038" i="11"/>
  <c r="Z2037" i="11"/>
  <c r="Z2036" i="11"/>
  <c r="Z2035" i="11"/>
  <c r="Z2034" i="11"/>
  <c r="Z2033" i="11"/>
  <c r="Z2032" i="11"/>
  <c r="Z2031" i="11"/>
  <c r="Z2030" i="11"/>
  <c r="Z2029" i="11"/>
  <c r="Z2028" i="11"/>
  <c r="Z2027" i="11"/>
  <c r="Z2026" i="11"/>
  <c r="Z2025" i="11"/>
  <c r="Z2024" i="11"/>
  <c r="Z2023" i="11"/>
  <c r="Z2022" i="11"/>
  <c r="Z2021" i="11"/>
  <c r="Z2020" i="11"/>
  <c r="Z2019" i="11"/>
  <c r="Z2018" i="11"/>
  <c r="Z2017" i="11"/>
  <c r="Z2016" i="11"/>
  <c r="Z2015" i="11"/>
  <c r="Z2014" i="11"/>
  <c r="Z2013" i="11"/>
  <c r="Z2012" i="11"/>
  <c r="Z2011" i="11"/>
  <c r="Z2010" i="11"/>
  <c r="Z2009" i="11"/>
  <c r="Z2008" i="11"/>
  <c r="Z2007" i="11"/>
  <c r="Z2006" i="11"/>
  <c r="Z2005" i="11"/>
  <c r="Z2004" i="11"/>
  <c r="Z2003" i="11"/>
  <c r="Z2002" i="11"/>
  <c r="Z2001" i="11"/>
  <c r="Z2000" i="11"/>
  <c r="Z1999" i="11"/>
  <c r="Z1998" i="11"/>
  <c r="Z1997" i="11"/>
  <c r="Z1996" i="11"/>
  <c r="Z1995" i="11"/>
  <c r="Z1994" i="11"/>
  <c r="Z1993" i="11"/>
  <c r="Z1992" i="11"/>
  <c r="Z1991" i="11"/>
  <c r="Z1990" i="11"/>
  <c r="Z1989" i="11"/>
  <c r="Z1988" i="11"/>
  <c r="Z1987" i="11"/>
  <c r="Z1986" i="11"/>
  <c r="Z1985" i="11"/>
  <c r="Z1984" i="11"/>
  <c r="Z1983" i="11"/>
  <c r="Z1982" i="11"/>
  <c r="Z1981" i="11"/>
  <c r="Z1980" i="11"/>
  <c r="Z1979" i="11"/>
  <c r="Z1978" i="11"/>
  <c r="Z1977" i="11"/>
  <c r="Z1976" i="11"/>
  <c r="Z1975" i="11"/>
  <c r="Z1974" i="11"/>
  <c r="Z1973" i="11"/>
  <c r="Z1972" i="11"/>
  <c r="Z1971" i="11"/>
  <c r="Z1970" i="11"/>
  <c r="Z1969" i="11"/>
  <c r="Z1968" i="11"/>
  <c r="Z1967" i="11"/>
  <c r="Z1966" i="11"/>
  <c r="Z1965" i="11"/>
  <c r="Z1964" i="11"/>
  <c r="Z1963" i="11"/>
  <c r="Z1962" i="11"/>
  <c r="Z1961" i="11"/>
  <c r="Z1960" i="11"/>
  <c r="Z1959" i="11"/>
  <c r="Z1958" i="11"/>
  <c r="Z1957" i="11"/>
  <c r="Z1956" i="11"/>
  <c r="Z1955" i="11"/>
  <c r="Z1954" i="11"/>
  <c r="Z1953" i="11"/>
  <c r="Z1952" i="11"/>
  <c r="Z1951" i="11"/>
  <c r="Z1950" i="11"/>
  <c r="Z1949" i="11"/>
  <c r="Z1948" i="11"/>
  <c r="Z1947" i="11"/>
  <c r="Z1946" i="11"/>
  <c r="Z1945" i="11"/>
  <c r="Z1944" i="11"/>
  <c r="Z1943" i="11"/>
  <c r="Z1942" i="11"/>
  <c r="Z1941" i="11"/>
  <c r="Z1940" i="11"/>
  <c r="Z1939" i="11"/>
  <c r="Z1938" i="11"/>
  <c r="Z1937" i="11"/>
  <c r="Z1936" i="11"/>
  <c r="Z1935" i="11"/>
  <c r="Z1934" i="11"/>
  <c r="Z1933" i="11"/>
  <c r="Z1932" i="11"/>
  <c r="Z1931" i="11"/>
  <c r="Z1930" i="11"/>
  <c r="Z1929" i="11"/>
  <c r="Z1928" i="11"/>
  <c r="Z1927" i="11"/>
  <c r="Z1926" i="11"/>
  <c r="Z1925" i="11"/>
  <c r="Z1924" i="11"/>
  <c r="Z1923" i="11"/>
  <c r="Z1922" i="11"/>
  <c r="Z1921" i="11"/>
  <c r="Z1920" i="11"/>
  <c r="Z1919" i="11"/>
  <c r="Z1918" i="11"/>
  <c r="Z1917" i="11"/>
  <c r="Z1916" i="11"/>
  <c r="Z1915" i="11"/>
  <c r="Z1914" i="11"/>
  <c r="Z1913" i="11"/>
  <c r="Z1912" i="11"/>
  <c r="Z1911" i="11"/>
  <c r="Z1910" i="11"/>
  <c r="Z1909" i="11"/>
  <c r="Z1908" i="11"/>
  <c r="Z1907" i="11"/>
  <c r="Z1906" i="11"/>
  <c r="Z1905" i="11"/>
  <c r="Z1904" i="11"/>
  <c r="Z1903" i="11"/>
  <c r="Z1902" i="11"/>
  <c r="Z1901" i="11"/>
  <c r="Z1900" i="11"/>
  <c r="Z1899" i="11"/>
  <c r="Z1898" i="11"/>
  <c r="Z1897" i="11"/>
  <c r="Z1896" i="11"/>
  <c r="Z1895" i="11"/>
  <c r="Z1894" i="11"/>
  <c r="Z1893" i="11"/>
  <c r="Z1892" i="11"/>
  <c r="Z1891" i="11"/>
  <c r="Z1890" i="11"/>
  <c r="Z1889" i="11"/>
  <c r="Z1888" i="11"/>
  <c r="Z1887" i="11"/>
  <c r="Z1886" i="11"/>
  <c r="Z1885" i="11"/>
  <c r="Z1884" i="11"/>
  <c r="Z1883" i="11"/>
  <c r="Z1882" i="11"/>
  <c r="Z1881" i="11"/>
  <c r="Z1880" i="11"/>
  <c r="Z1879" i="11"/>
  <c r="Z1878" i="11"/>
  <c r="Z1877" i="11"/>
  <c r="Z1876" i="11"/>
  <c r="Z1875" i="11"/>
  <c r="Z1874" i="11"/>
  <c r="Z1873" i="11"/>
  <c r="Z1872" i="11"/>
  <c r="Z1871" i="11"/>
  <c r="Z1870" i="11"/>
  <c r="Z1869" i="11"/>
  <c r="Z1868" i="11"/>
  <c r="Z1867" i="11"/>
  <c r="Z1866" i="11"/>
  <c r="Z1865" i="11"/>
  <c r="Z1864" i="11"/>
  <c r="Z1863" i="11"/>
  <c r="Z1862" i="11"/>
  <c r="Z1861" i="11"/>
  <c r="Z1860" i="11"/>
  <c r="Z1859" i="11"/>
  <c r="Z1858" i="11"/>
  <c r="Z1857" i="11"/>
  <c r="Z1856" i="11"/>
  <c r="Z1855" i="11"/>
  <c r="Z1854" i="11"/>
  <c r="Z1853" i="11"/>
  <c r="Z1852" i="11"/>
  <c r="Z1851" i="11"/>
  <c r="Z1850" i="11"/>
  <c r="Z1849" i="11"/>
  <c r="Z1848" i="11"/>
  <c r="Z1847" i="11"/>
  <c r="Z1846" i="11"/>
  <c r="Z1845" i="11"/>
  <c r="Z1844" i="11"/>
  <c r="Z1843" i="11"/>
  <c r="Z1842" i="11"/>
  <c r="Z1841" i="11"/>
  <c r="Z1840" i="11"/>
  <c r="Z1839" i="11"/>
  <c r="Z1838" i="11"/>
  <c r="Z1837" i="11"/>
  <c r="Z1836" i="11"/>
  <c r="Z1835" i="11"/>
  <c r="Z1834" i="11"/>
  <c r="Z1833" i="11"/>
  <c r="Z1832" i="11"/>
  <c r="Z1831" i="11"/>
  <c r="Z1830" i="11"/>
  <c r="Z1829" i="11"/>
  <c r="Z1828" i="11"/>
  <c r="Z1827" i="11"/>
  <c r="Z1826" i="11"/>
  <c r="Z1825" i="11"/>
  <c r="Z1824" i="11"/>
  <c r="Z1823" i="11"/>
  <c r="Z1822" i="11"/>
  <c r="Z1821" i="11"/>
  <c r="Z1820" i="11"/>
  <c r="Z1819" i="11"/>
  <c r="Z1818" i="11"/>
  <c r="Z1817" i="11"/>
  <c r="Z1816" i="11"/>
  <c r="Z1815" i="11"/>
  <c r="Z1814" i="11"/>
  <c r="Z1813" i="11"/>
  <c r="Z1812" i="11"/>
  <c r="Z1811" i="11"/>
  <c r="Z1810" i="11"/>
  <c r="Z1809" i="11"/>
  <c r="Z1808" i="11"/>
  <c r="Z1807" i="11"/>
  <c r="Z1806" i="11"/>
  <c r="Z1805" i="11"/>
  <c r="Z1804" i="11"/>
  <c r="Z1803" i="11"/>
  <c r="Z1802" i="11"/>
  <c r="Z1801" i="11"/>
  <c r="Z1800" i="11"/>
  <c r="Z1799" i="11"/>
  <c r="Z1798" i="11"/>
  <c r="Z1797" i="11"/>
  <c r="Z1796" i="11"/>
  <c r="Z1795" i="11"/>
  <c r="Z1794" i="11"/>
  <c r="Z1793" i="11"/>
  <c r="Z1792" i="11"/>
  <c r="Z1791" i="11"/>
  <c r="Z1790" i="11"/>
  <c r="Z1789" i="11"/>
  <c r="Z1788" i="11"/>
  <c r="Z1787" i="11"/>
  <c r="Z1786" i="11"/>
  <c r="Z1785" i="11"/>
  <c r="Z1784" i="11"/>
  <c r="Z1783" i="11"/>
  <c r="Z1782" i="11"/>
  <c r="Z1781" i="11"/>
  <c r="Z1780" i="11"/>
  <c r="Z1779" i="11"/>
  <c r="Z1778" i="11"/>
  <c r="Z1777" i="11"/>
  <c r="Z1776" i="11"/>
  <c r="Z1775" i="11"/>
  <c r="Z1774" i="11"/>
  <c r="Z1773" i="11"/>
  <c r="Z1772" i="11"/>
  <c r="Z1771" i="11"/>
  <c r="Z1770" i="11"/>
  <c r="Z1769" i="11"/>
  <c r="Z1768" i="11"/>
  <c r="Z1767" i="11"/>
  <c r="Z1766" i="11"/>
  <c r="Z1765" i="11"/>
  <c r="Z1764" i="11"/>
  <c r="Z1763" i="11"/>
  <c r="Z1762" i="11"/>
  <c r="Z1761" i="11"/>
  <c r="Z1760" i="11"/>
  <c r="Z1759" i="11"/>
  <c r="Z1758" i="11"/>
  <c r="Z1757" i="11"/>
  <c r="Z1756" i="11"/>
  <c r="Z1755" i="11"/>
  <c r="Z1754" i="11"/>
  <c r="Z1753" i="11"/>
  <c r="Z1752" i="11"/>
  <c r="Z1751" i="11"/>
  <c r="Z1750" i="11"/>
  <c r="Z1749" i="11"/>
  <c r="Z1748" i="11"/>
  <c r="Z1747" i="11"/>
  <c r="Z1746" i="11"/>
  <c r="Z1745" i="11"/>
  <c r="Z1744" i="11"/>
  <c r="Z1743" i="11"/>
  <c r="Z1742" i="11"/>
  <c r="Z1741" i="11"/>
  <c r="Z1740" i="11"/>
  <c r="Z1739" i="11"/>
  <c r="Z1738" i="11"/>
  <c r="Z1737" i="11"/>
  <c r="Z1736" i="11"/>
  <c r="Z1735" i="11"/>
  <c r="Z1734" i="11"/>
  <c r="Z1733" i="11"/>
  <c r="Z1732" i="11"/>
  <c r="Z1731" i="11"/>
  <c r="Z1730" i="11"/>
  <c r="Z1729" i="11"/>
  <c r="Z1728" i="11"/>
  <c r="Z1727" i="11"/>
  <c r="Z1726" i="11"/>
  <c r="Z1725" i="11"/>
  <c r="Z1724" i="11"/>
  <c r="Z1723" i="11"/>
  <c r="Z1722" i="11"/>
  <c r="Z1721" i="11"/>
  <c r="Z1720" i="11"/>
  <c r="Z1719" i="11"/>
  <c r="Z1718" i="11"/>
  <c r="Z1717" i="11"/>
  <c r="Z1716" i="11"/>
  <c r="Z1715" i="11"/>
  <c r="Z1714" i="11"/>
  <c r="Z1713" i="11"/>
  <c r="Z1712" i="11"/>
  <c r="Z1711" i="11"/>
  <c r="Z1710" i="11"/>
  <c r="Z1709" i="11"/>
  <c r="Z1708" i="11"/>
  <c r="Z1707" i="11"/>
  <c r="Z1706" i="11"/>
  <c r="Z1705" i="11"/>
  <c r="Z1704" i="11"/>
  <c r="Z1703" i="11"/>
  <c r="Z1702" i="11"/>
  <c r="Z1701" i="11"/>
  <c r="Z1700" i="11"/>
  <c r="Z1699" i="11"/>
  <c r="Z1698" i="11"/>
  <c r="Z1697" i="11"/>
  <c r="Z1696" i="11"/>
  <c r="Z1695" i="11"/>
  <c r="Z1694" i="11"/>
  <c r="Z1693" i="11"/>
  <c r="Z1692" i="11"/>
  <c r="Z1691" i="11"/>
  <c r="Z1690" i="11"/>
  <c r="Z1689" i="11"/>
  <c r="Z1688" i="11"/>
  <c r="Z1687" i="11"/>
  <c r="Z1686" i="11"/>
  <c r="Z1685" i="11"/>
  <c r="Z1684" i="11"/>
  <c r="Z1683" i="11"/>
  <c r="Z1682" i="11"/>
  <c r="Z1681" i="11"/>
  <c r="Z1680" i="11"/>
  <c r="Z1679" i="11"/>
  <c r="Z1678" i="11"/>
  <c r="Z1677" i="11"/>
  <c r="Z1676" i="11"/>
  <c r="Z1675" i="11"/>
  <c r="Z1674" i="11"/>
  <c r="Z1673" i="11"/>
  <c r="Z1672" i="11"/>
  <c r="Z1671" i="11"/>
  <c r="Z1670" i="11"/>
  <c r="Z1669" i="11"/>
  <c r="Z1668" i="11"/>
  <c r="Z1667" i="11"/>
  <c r="Z1666" i="11"/>
  <c r="Z1665" i="11"/>
  <c r="Z1664" i="11"/>
  <c r="Z1663" i="11"/>
  <c r="Z1662" i="11"/>
  <c r="Z1661" i="11"/>
  <c r="Z1660" i="11"/>
  <c r="Z1659" i="11"/>
  <c r="Z1658" i="11"/>
  <c r="Z1657" i="11"/>
  <c r="Z1656" i="11"/>
  <c r="Z1655" i="11"/>
  <c r="Z1654" i="11"/>
  <c r="Z1653" i="11"/>
  <c r="Z1652" i="11"/>
  <c r="Z1651" i="11"/>
  <c r="Z1650" i="11"/>
  <c r="Z1649" i="11"/>
  <c r="Z1648" i="11"/>
  <c r="Z1647" i="11"/>
  <c r="Z1646" i="11"/>
  <c r="Z1645" i="11"/>
  <c r="Z1644" i="11"/>
  <c r="Z1643" i="11"/>
  <c r="Z1642" i="11"/>
  <c r="Z1641" i="11"/>
  <c r="Z1640" i="11"/>
  <c r="Z1639" i="11"/>
  <c r="Z1638" i="11"/>
  <c r="Z1637" i="11"/>
  <c r="Z1636" i="11"/>
  <c r="Z1635" i="11"/>
  <c r="Z1634" i="11"/>
  <c r="Z1633" i="11"/>
  <c r="Z1632" i="11"/>
  <c r="Z1631" i="11"/>
  <c r="Z1630" i="11"/>
  <c r="Z1629" i="11"/>
  <c r="Z1628" i="11"/>
  <c r="Z1627" i="11"/>
  <c r="Z1626" i="11"/>
  <c r="Z1625" i="11"/>
  <c r="Z1624" i="11"/>
  <c r="Z1623" i="11"/>
  <c r="Z1622" i="11"/>
  <c r="Z1621" i="11"/>
  <c r="Z1620" i="11"/>
  <c r="Z1619" i="11"/>
  <c r="Z1618" i="11"/>
  <c r="Z1617" i="11"/>
  <c r="Z1616" i="11"/>
  <c r="Z1615" i="11"/>
  <c r="Z1614" i="11"/>
  <c r="Z1613" i="11"/>
  <c r="Z1612" i="11"/>
  <c r="Z1611" i="11"/>
  <c r="Z1610" i="11"/>
  <c r="Z1609" i="11"/>
  <c r="Z1608" i="11"/>
  <c r="Z1607" i="11"/>
  <c r="Z1606" i="11"/>
  <c r="Z1605" i="11"/>
  <c r="Z1604" i="11"/>
  <c r="Z1603" i="11"/>
  <c r="Z1602" i="11"/>
  <c r="Z1601" i="11"/>
  <c r="Z1600" i="11"/>
  <c r="Z1599" i="11"/>
  <c r="Z1598" i="11"/>
  <c r="Z1597" i="11"/>
  <c r="Z1596" i="11"/>
  <c r="Z1595" i="11"/>
  <c r="Z1594" i="11"/>
  <c r="Z1593" i="11"/>
  <c r="Z1592" i="11"/>
  <c r="Z1591" i="11"/>
  <c r="Z1590" i="11"/>
  <c r="Z1589" i="11"/>
  <c r="Z1588" i="11"/>
  <c r="Z1587" i="11"/>
  <c r="Z1586" i="11"/>
  <c r="Z1585" i="11"/>
  <c r="Z1584" i="11"/>
  <c r="Z1583" i="11"/>
  <c r="Z1582" i="11"/>
  <c r="Z1581" i="11"/>
  <c r="Z1580" i="11"/>
  <c r="Z1579" i="11"/>
  <c r="Z1578" i="11"/>
  <c r="Z1577" i="11"/>
  <c r="Z1576" i="11"/>
  <c r="Z1575" i="11"/>
  <c r="Z1574" i="11"/>
  <c r="Z1573" i="11"/>
  <c r="Z1572" i="11"/>
  <c r="Z1571" i="11"/>
  <c r="Z1570" i="11"/>
  <c r="Z1569" i="11"/>
  <c r="Z1568" i="11"/>
  <c r="Z1567" i="11"/>
  <c r="Z1566" i="11"/>
  <c r="Z1565" i="11"/>
  <c r="Z1564" i="11"/>
  <c r="Z1563" i="11"/>
  <c r="Z1562" i="11"/>
  <c r="Z1561" i="11"/>
  <c r="Z1560" i="11"/>
  <c r="Z1559" i="11"/>
  <c r="Z1558" i="11"/>
  <c r="Z1557" i="11"/>
  <c r="Z1556" i="11"/>
  <c r="Z1555" i="11"/>
  <c r="Z1554" i="11"/>
  <c r="Z1553" i="11"/>
  <c r="Z1552" i="11"/>
  <c r="Z1551" i="11"/>
  <c r="Z1550" i="11"/>
  <c r="Z1549" i="11"/>
  <c r="Z1548" i="11"/>
  <c r="Z1547" i="11"/>
  <c r="Z1546" i="11"/>
  <c r="Z1545" i="11"/>
  <c r="Z1544" i="11"/>
  <c r="Z1543" i="11"/>
  <c r="Z1542" i="11"/>
  <c r="Z1541" i="11"/>
  <c r="Z1540" i="11"/>
  <c r="Z1539" i="11"/>
  <c r="Z1538" i="11"/>
  <c r="Z1537" i="11"/>
  <c r="Z1536" i="11"/>
  <c r="Z1535" i="11"/>
  <c r="Z1534" i="11"/>
  <c r="Z1533" i="11"/>
  <c r="Z1532" i="11"/>
  <c r="Z1531" i="11"/>
  <c r="Z1530" i="11"/>
  <c r="Z1529" i="11"/>
  <c r="Z1528" i="11"/>
  <c r="Z1527" i="11"/>
  <c r="Z1526" i="11"/>
  <c r="Z1525" i="11"/>
  <c r="Z1524" i="11"/>
  <c r="Z1523" i="11"/>
  <c r="Z1522" i="11"/>
  <c r="Z1521" i="11"/>
  <c r="Z1520" i="11"/>
  <c r="Z1519" i="11"/>
  <c r="Z1518" i="11"/>
  <c r="Z1517" i="11"/>
  <c r="Z1516" i="11"/>
  <c r="Z1515" i="11"/>
  <c r="Z1514" i="11"/>
  <c r="Z1513" i="11"/>
  <c r="Z1512" i="11"/>
  <c r="Z1511" i="11"/>
  <c r="Z1510" i="11"/>
  <c r="Z1509" i="11"/>
  <c r="Z1508" i="11"/>
  <c r="Z1507" i="11"/>
  <c r="Z1506" i="11"/>
  <c r="Z1505" i="11"/>
  <c r="Z1504" i="11"/>
  <c r="Z1503" i="11"/>
  <c r="Z1502" i="11"/>
  <c r="Z1501" i="11"/>
  <c r="Z1500" i="11"/>
  <c r="Z1499" i="11"/>
  <c r="Z1498" i="11"/>
  <c r="Z1497" i="11"/>
  <c r="Z1496" i="11"/>
  <c r="Z1495" i="11"/>
  <c r="Z1494" i="11"/>
  <c r="Z1493" i="11"/>
  <c r="Z1492" i="11"/>
  <c r="Z1491" i="11"/>
  <c r="Z1490" i="11"/>
  <c r="Z1489" i="11"/>
  <c r="Z1488" i="11"/>
  <c r="Z1487" i="11"/>
  <c r="Z1486" i="11"/>
  <c r="Z1485" i="11"/>
  <c r="Z1484" i="11"/>
  <c r="Z1483" i="11"/>
  <c r="Z1482" i="11"/>
  <c r="Z1481" i="11"/>
  <c r="Z1480" i="11"/>
  <c r="Z1479" i="11"/>
  <c r="Z1478" i="11"/>
  <c r="Z1477" i="11"/>
  <c r="Z1476" i="11"/>
  <c r="Z1475" i="11"/>
  <c r="Z1474" i="11"/>
  <c r="Z1473" i="11"/>
  <c r="Z1472" i="11"/>
  <c r="Z1471" i="11"/>
  <c r="Z1470" i="11"/>
  <c r="Z1469" i="11"/>
  <c r="Z1468" i="11"/>
  <c r="Z1467" i="11"/>
  <c r="Z1466" i="11"/>
  <c r="Z1465" i="11"/>
  <c r="Z1464" i="11"/>
  <c r="Z1463" i="11"/>
  <c r="Z1462" i="11"/>
  <c r="Z1461" i="11"/>
  <c r="Z1460" i="11"/>
  <c r="Z1459" i="11"/>
  <c r="Z1458" i="11"/>
  <c r="Z1457" i="11"/>
  <c r="Z1456" i="11"/>
  <c r="Z1455" i="11"/>
  <c r="Z1454" i="11"/>
  <c r="Z1453" i="11"/>
  <c r="Z1452" i="11"/>
  <c r="Z1451" i="11"/>
  <c r="Z1450" i="11"/>
  <c r="Z1449" i="11"/>
  <c r="Z1448" i="11"/>
  <c r="Z1447" i="11"/>
  <c r="Z1446" i="11"/>
  <c r="Z1445" i="11"/>
  <c r="Z1444" i="11"/>
  <c r="Z1443" i="11"/>
  <c r="Z1442" i="11"/>
  <c r="Z1441" i="11"/>
  <c r="Z1440" i="11"/>
  <c r="Z1439" i="11"/>
  <c r="Z1438" i="11"/>
  <c r="Z1437" i="11"/>
  <c r="Z1436" i="11"/>
  <c r="Z1435" i="11"/>
  <c r="Z1434" i="11"/>
  <c r="Z1433" i="11"/>
  <c r="Z1432" i="11"/>
  <c r="Z1431" i="11"/>
  <c r="Z1430" i="11"/>
  <c r="Z1429" i="11"/>
  <c r="Z1428" i="11"/>
  <c r="Z1427" i="11"/>
  <c r="Z1426" i="11"/>
  <c r="Z1425" i="11"/>
  <c r="Z1424" i="11"/>
  <c r="Z1423" i="11"/>
  <c r="Z1422" i="11"/>
  <c r="Z1421" i="11"/>
  <c r="Z1420" i="11"/>
  <c r="Z1419" i="11"/>
  <c r="Z1418" i="11"/>
  <c r="Z1417" i="11"/>
  <c r="Z1416" i="11"/>
  <c r="Z1415" i="11"/>
  <c r="Z1414" i="11"/>
  <c r="Z1413" i="11"/>
  <c r="Z1412" i="11"/>
  <c r="Z1411" i="11"/>
  <c r="Z1410" i="11"/>
  <c r="Z1409" i="11"/>
  <c r="Z1408" i="11"/>
  <c r="Z1407" i="11"/>
  <c r="Z1406" i="11"/>
  <c r="Z1405" i="11"/>
  <c r="Z1404" i="11"/>
  <c r="Z1403" i="11"/>
  <c r="Z1402" i="11"/>
  <c r="Z1401" i="11"/>
  <c r="Z1400" i="11"/>
  <c r="Z1399" i="11"/>
  <c r="Z1398" i="11"/>
  <c r="Z1397" i="11"/>
  <c r="Z1396" i="11"/>
  <c r="Z1395" i="11"/>
  <c r="Z1394" i="11"/>
  <c r="Z1393" i="11"/>
  <c r="Z1392" i="11"/>
  <c r="Z1391" i="11"/>
  <c r="Z1390" i="11"/>
  <c r="Z1389" i="11"/>
  <c r="Z1388" i="11"/>
  <c r="Z1387" i="11"/>
  <c r="Z1386" i="11"/>
  <c r="Z1385" i="11"/>
  <c r="Z1384" i="11"/>
  <c r="Z1383" i="11"/>
  <c r="Z1382" i="11"/>
  <c r="Z1381" i="11"/>
  <c r="Z1380" i="11"/>
  <c r="Z1379" i="11"/>
  <c r="Z1378" i="11"/>
  <c r="Z1377" i="11"/>
  <c r="Z1376" i="11"/>
  <c r="Z1375" i="11"/>
  <c r="Z1374" i="11"/>
  <c r="Z1373" i="11"/>
  <c r="Z1372" i="11"/>
  <c r="Z1371" i="11"/>
  <c r="Z1370" i="11"/>
  <c r="Z1369" i="11"/>
  <c r="Z1368" i="11"/>
  <c r="Z1367" i="11"/>
  <c r="Z1366" i="11"/>
  <c r="Z1365" i="11"/>
  <c r="Z1364" i="11"/>
  <c r="Z1363" i="11"/>
  <c r="Z1362" i="11"/>
  <c r="Z1361" i="11"/>
  <c r="Z1360" i="11"/>
  <c r="Z1359" i="11"/>
  <c r="Z1358" i="11"/>
  <c r="Z1357" i="11"/>
  <c r="Z1356" i="11"/>
  <c r="Z1355" i="11"/>
  <c r="Z1354" i="11"/>
  <c r="Z1353" i="11"/>
  <c r="Z1352" i="11"/>
  <c r="Z1351" i="11"/>
  <c r="Z1350" i="11"/>
  <c r="Z1349" i="11"/>
  <c r="Z1348" i="11"/>
  <c r="Z1347" i="11"/>
  <c r="Z1346" i="11"/>
  <c r="Z1345" i="11"/>
  <c r="Z1344" i="11"/>
  <c r="Z1343" i="11"/>
  <c r="Z1342" i="11"/>
  <c r="Z1341" i="11"/>
  <c r="Z1340" i="11"/>
  <c r="Z1339" i="11"/>
  <c r="Z1338" i="11"/>
  <c r="Z1337" i="11"/>
  <c r="Z1336" i="11"/>
  <c r="Z1335" i="11"/>
  <c r="Z1334" i="11"/>
  <c r="Z1333" i="11"/>
  <c r="Z1332" i="11"/>
  <c r="Z1331" i="11"/>
  <c r="Z1330" i="11"/>
  <c r="Z1329" i="11"/>
  <c r="Z1328" i="11"/>
  <c r="Z1327" i="11"/>
  <c r="Z1326" i="11"/>
  <c r="Z1325" i="11"/>
  <c r="Z1324" i="11"/>
  <c r="Z1323" i="11"/>
  <c r="Z1322" i="11"/>
  <c r="Z1321" i="11"/>
  <c r="Z1320" i="11"/>
  <c r="Z1319" i="11"/>
  <c r="Z1318" i="11"/>
  <c r="Z1317" i="11"/>
  <c r="Z1316" i="11"/>
  <c r="Z1315" i="11"/>
  <c r="Z1314" i="11"/>
  <c r="Z1313" i="11"/>
  <c r="Z1312" i="11"/>
  <c r="Z1311" i="11"/>
  <c r="Z1310" i="11"/>
  <c r="Z1309" i="11"/>
  <c r="Z1308" i="11"/>
  <c r="Z1307" i="11"/>
  <c r="Z1306" i="11"/>
  <c r="Z1305" i="11"/>
  <c r="Z1304" i="11"/>
  <c r="Z1303" i="11"/>
  <c r="Z1302" i="11"/>
  <c r="Z1301" i="11"/>
  <c r="Z1300" i="11"/>
  <c r="Z1299" i="11"/>
  <c r="Z1298" i="11"/>
  <c r="Z1297" i="11"/>
  <c r="Z1296" i="11"/>
  <c r="Z1295" i="11"/>
  <c r="Z1294" i="11"/>
  <c r="Z1293" i="11"/>
  <c r="Z1292" i="11"/>
  <c r="Z1291" i="11"/>
  <c r="Z1290" i="11"/>
  <c r="Z1289" i="11"/>
  <c r="Z1288" i="11"/>
  <c r="Z1287" i="11"/>
  <c r="Z1286" i="11"/>
  <c r="Z1285" i="11"/>
  <c r="Z1284" i="11"/>
  <c r="Z1283" i="11"/>
  <c r="Z1282" i="11"/>
  <c r="Z1281" i="11"/>
  <c r="Z1280" i="11"/>
  <c r="Z1279" i="11"/>
  <c r="Z1278" i="11"/>
  <c r="Z1277" i="11"/>
  <c r="Z1276" i="11"/>
  <c r="Z1275" i="11"/>
  <c r="Z1274" i="11"/>
  <c r="Z1273" i="11"/>
  <c r="Z1272" i="11"/>
  <c r="Z1271" i="11"/>
  <c r="Z1270" i="11"/>
  <c r="Z1269" i="11"/>
  <c r="Z1268" i="11"/>
  <c r="Z1267" i="11"/>
  <c r="Z1266" i="11"/>
  <c r="Z1265" i="11"/>
  <c r="Z1264" i="11"/>
  <c r="Z1263" i="11"/>
  <c r="Z1262" i="11"/>
  <c r="Z1261" i="11"/>
  <c r="Z1260" i="11"/>
  <c r="Z1259" i="11"/>
  <c r="Z1258" i="11"/>
  <c r="Z1257" i="11"/>
  <c r="Z1256" i="11"/>
  <c r="Z1255" i="11"/>
  <c r="Z1254" i="11"/>
  <c r="Z1253" i="11"/>
  <c r="Z1252" i="11"/>
  <c r="Z1251" i="11"/>
  <c r="Z1250" i="11"/>
  <c r="Z1249" i="11"/>
  <c r="Z1248" i="11"/>
  <c r="Z1247" i="11"/>
  <c r="Z1246" i="11"/>
  <c r="Z1245" i="11"/>
  <c r="Z1244" i="11"/>
  <c r="Z1243" i="11"/>
  <c r="Z1242" i="11"/>
  <c r="Z1241" i="11"/>
  <c r="Z1240" i="11"/>
  <c r="Z1239" i="11"/>
  <c r="Z1238" i="11"/>
  <c r="Z1237" i="11"/>
  <c r="Z1236" i="11"/>
  <c r="Z1235" i="11"/>
  <c r="Z1234" i="11"/>
  <c r="Z1233" i="11"/>
  <c r="Z1232" i="11"/>
  <c r="Z1231" i="11"/>
  <c r="Z1230" i="11"/>
  <c r="Z1229" i="11"/>
  <c r="Z1228" i="11"/>
  <c r="Z1227" i="11"/>
  <c r="Z1226" i="11"/>
  <c r="Z1225" i="11"/>
  <c r="Z1224" i="11"/>
  <c r="Z1223" i="11"/>
  <c r="Z1222" i="11"/>
  <c r="Z1221" i="11"/>
  <c r="Z1220" i="11"/>
  <c r="Z1219" i="11"/>
  <c r="Z1218" i="11"/>
  <c r="Z1217" i="11"/>
  <c r="Z1216" i="11"/>
  <c r="Z1215" i="11"/>
  <c r="Z1214" i="11"/>
  <c r="Z1213" i="11"/>
  <c r="Z1212" i="11"/>
  <c r="Z1211" i="11"/>
  <c r="Z1210" i="11"/>
  <c r="Z1209" i="11"/>
  <c r="Z1208" i="11"/>
  <c r="Z1207" i="11"/>
  <c r="Z1206" i="11"/>
  <c r="Z1205" i="11"/>
  <c r="Z1204" i="11"/>
  <c r="Z1203" i="11"/>
  <c r="Z1202" i="11"/>
  <c r="Z1201" i="11"/>
  <c r="Z1200" i="11"/>
  <c r="Z1199" i="11"/>
  <c r="Z1198" i="11"/>
  <c r="Z1197" i="11"/>
  <c r="Z1196" i="11"/>
  <c r="Z1195" i="11"/>
  <c r="Z1194" i="11"/>
  <c r="Z1193" i="11"/>
  <c r="Z1192" i="11"/>
  <c r="Z1191" i="11"/>
  <c r="Z1190" i="11"/>
  <c r="Z1189" i="11"/>
  <c r="Z1188" i="11"/>
  <c r="Z1187" i="11"/>
  <c r="Z1186" i="11"/>
  <c r="Z1185" i="11"/>
  <c r="Z1184" i="11"/>
  <c r="Z1183" i="11"/>
  <c r="Z1182" i="11"/>
  <c r="Z1181" i="11"/>
  <c r="Z1180" i="11"/>
  <c r="Z1179" i="11"/>
  <c r="Z1178" i="11"/>
  <c r="Z1177" i="11"/>
  <c r="Z1176" i="11"/>
  <c r="Z1175" i="11"/>
  <c r="Z1174" i="11"/>
  <c r="Z1173" i="11"/>
  <c r="Z1172" i="11"/>
  <c r="Z1171" i="11"/>
  <c r="Z1170" i="11"/>
  <c r="Z1169" i="11"/>
  <c r="Z1168" i="11"/>
  <c r="Z1167" i="11"/>
  <c r="Z1166" i="11"/>
  <c r="Z1165" i="11"/>
  <c r="Z1164" i="11"/>
  <c r="Z1163" i="11"/>
  <c r="Z1162" i="11"/>
  <c r="Z1161" i="11"/>
  <c r="Z1160" i="11"/>
  <c r="Z1159" i="11"/>
  <c r="Z1158" i="11"/>
  <c r="Z1157" i="11"/>
  <c r="Z1156" i="11"/>
  <c r="Z1155" i="11"/>
  <c r="Z1154" i="11"/>
  <c r="Z1153" i="11"/>
  <c r="Z1152" i="11"/>
  <c r="Z1151" i="11"/>
  <c r="Z1150" i="11"/>
  <c r="Z1149" i="11"/>
  <c r="Z1148" i="11"/>
  <c r="Z1147" i="11"/>
  <c r="Z1146" i="11"/>
  <c r="Z1145" i="11"/>
  <c r="Z1144" i="11"/>
  <c r="Z1143" i="11"/>
  <c r="Z1142" i="11"/>
  <c r="Z1141" i="11"/>
  <c r="Z1140" i="11"/>
  <c r="Z1139" i="11"/>
  <c r="Z1138" i="11"/>
  <c r="Z1137" i="11"/>
  <c r="Z1136" i="11"/>
  <c r="Z1135" i="11"/>
  <c r="Z1134" i="11"/>
  <c r="Z1133" i="11"/>
  <c r="Z1132" i="11"/>
  <c r="Z1131" i="11"/>
  <c r="Z1130" i="11"/>
  <c r="Z1129" i="11"/>
  <c r="Z1128" i="11"/>
  <c r="Z1127" i="11"/>
  <c r="Z1126" i="11"/>
  <c r="Z1125" i="11"/>
  <c r="Z1124" i="11"/>
  <c r="Z1123" i="11"/>
  <c r="Z1122" i="11"/>
  <c r="Z1121" i="11"/>
  <c r="Z1120" i="11"/>
  <c r="Z1119" i="11"/>
  <c r="Z1118" i="11"/>
  <c r="Z1117" i="11"/>
  <c r="Z1116" i="11"/>
  <c r="Z1115" i="11"/>
  <c r="Z1114" i="11"/>
  <c r="Z1113" i="11"/>
  <c r="Z1112" i="11"/>
  <c r="Z1111" i="11"/>
  <c r="Z1110" i="11"/>
  <c r="Z1109" i="11"/>
  <c r="Z1108" i="11"/>
  <c r="Z1107" i="11"/>
  <c r="Z1106" i="11"/>
  <c r="Z1105" i="11"/>
  <c r="Z1104" i="11"/>
  <c r="Z1103" i="11"/>
  <c r="Z1102" i="11"/>
  <c r="Z1101" i="11"/>
  <c r="Z1100" i="11"/>
  <c r="Z1099" i="11"/>
  <c r="Z1098" i="11"/>
  <c r="Z1097" i="11"/>
  <c r="Z1096" i="11"/>
  <c r="Z1095" i="11"/>
  <c r="Z1094" i="11"/>
  <c r="Z1093" i="11"/>
  <c r="Z1092" i="11"/>
  <c r="Z1091" i="11"/>
  <c r="Z1090" i="11"/>
  <c r="Z1089" i="11"/>
  <c r="Z1088" i="11"/>
  <c r="Z1087" i="11"/>
  <c r="Z1086" i="11"/>
  <c r="Z1085" i="11"/>
  <c r="Z1084" i="11"/>
  <c r="Z1083" i="11"/>
  <c r="Z1082" i="11"/>
  <c r="Z1081" i="11"/>
  <c r="Z1080" i="11"/>
  <c r="Z1079" i="11"/>
  <c r="Z1078" i="11"/>
  <c r="Z1077" i="11"/>
  <c r="Z1076" i="11"/>
  <c r="Z1075" i="11"/>
  <c r="Z1074" i="11"/>
  <c r="Z1073" i="11"/>
  <c r="Z1072" i="11"/>
  <c r="Z1071" i="11"/>
  <c r="Z1070" i="11"/>
  <c r="Z1069" i="11"/>
  <c r="Z1068" i="11"/>
  <c r="Z1067" i="11"/>
  <c r="Z1066" i="11"/>
  <c r="Z1065" i="11"/>
  <c r="Z1064" i="11"/>
  <c r="Z1063" i="11"/>
  <c r="Z1062" i="11"/>
  <c r="Z1061" i="11"/>
  <c r="Z1060" i="11"/>
  <c r="Z1059" i="11"/>
  <c r="Z1058" i="11"/>
  <c r="Z1057" i="11"/>
  <c r="Z1056" i="11"/>
  <c r="Z1055" i="11"/>
  <c r="Z1054" i="11"/>
  <c r="Z1053" i="11"/>
  <c r="Z1052" i="11"/>
  <c r="Z1051" i="11"/>
  <c r="Z1050" i="11"/>
  <c r="Z1049" i="11"/>
  <c r="Z1048" i="11"/>
  <c r="Z1047" i="11"/>
  <c r="Z1046" i="11"/>
  <c r="Z1045" i="11"/>
  <c r="Z1044" i="11"/>
  <c r="Z1043" i="11"/>
  <c r="Z1042" i="11"/>
  <c r="Z1041" i="11"/>
  <c r="Z1040" i="11"/>
  <c r="Z1039" i="11"/>
  <c r="Z1038" i="11"/>
  <c r="Z1037" i="11"/>
  <c r="Z1036" i="11"/>
  <c r="Z1035" i="11"/>
  <c r="Z1034" i="11"/>
  <c r="Z1033" i="11"/>
  <c r="Z1032" i="11"/>
  <c r="Z1031" i="11"/>
  <c r="Z1030" i="11"/>
  <c r="Z1029" i="11"/>
  <c r="Z1028" i="11"/>
  <c r="Z1027" i="11"/>
  <c r="Z1026" i="11"/>
  <c r="Z1025" i="11"/>
  <c r="Z1024" i="11"/>
  <c r="Z1023" i="11"/>
  <c r="Z1022" i="11"/>
  <c r="Z1021" i="11"/>
  <c r="Z1020" i="11"/>
  <c r="Z1019" i="11"/>
  <c r="Z1018" i="11"/>
  <c r="Z1017" i="11"/>
  <c r="Z1016" i="11"/>
  <c r="Z1015" i="11"/>
  <c r="Z1014" i="11"/>
  <c r="Z1013" i="11"/>
  <c r="Z1012" i="11"/>
  <c r="Z1011" i="11"/>
  <c r="Z1010" i="11"/>
  <c r="Z1009" i="11"/>
  <c r="Z1008" i="11"/>
  <c r="Z1007" i="11"/>
  <c r="Z1006" i="11"/>
  <c r="Z1005" i="11"/>
  <c r="Z1004" i="11"/>
  <c r="Z1003" i="11"/>
  <c r="Z1002" i="11"/>
  <c r="Z1001" i="11"/>
  <c r="Z1000" i="11"/>
  <c r="Z999" i="11"/>
  <c r="Z998" i="11"/>
  <c r="Z997" i="11"/>
  <c r="Z996" i="11"/>
  <c r="Z995" i="11"/>
  <c r="Z994" i="11"/>
  <c r="Z993" i="11"/>
  <c r="Z992" i="11"/>
  <c r="Z991" i="11"/>
  <c r="Z990" i="11"/>
  <c r="Z989" i="11"/>
  <c r="Z988" i="11"/>
  <c r="Z987" i="11"/>
  <c r="Z986" i="11"/>
  <c r="Z985" i="11"/>
  <c r="Z984" i="11"/>
  <c r="Z983" i="11"/>
  <c r="Z982" i="11"/>
  <c r="Z981" i="11"/>
  <c r="Z980" i="11"/>
  <c r="Z979" i="11"/>
  <c r="Z978" i="11"/>
  <c r="Z977" i="11"/>
  <c r="Z976" i="11"/>
  <c r="Z975" i="11"/>
  <c r="Z974" i="11"/>
  <c r="Z973" i="11"/>
  <c r="Z972" i="11"/>
  <c r="Z971" i="11"/>
  <c r="Z970" i="11"/>
  <c r="Z969" i="11"/>
  <c r="Z968" i="11"/>
  <c r="Z967" i="11"/>
  <c r="Z966" i="11"/>
  <c r="Z965" i="11"/>
  <c r="Z964" i="11"/>
  <c r="Z963" i="11"/>
  <c r="Z962" i="11"/>
  <c r="Z961" i="11"/>
  <c r="Z960" i="11"/>
  <c r="Z959" i="11"/>
  <c r="Z958" i="11"/>
  <c r="Z957" i="11"/>
  <c r="Z956" i="11"/>
  <c r="Z955" i="11"/>
  <c r="Z954" i="11"/>
  <c r="Z953" i="11"/>
  <c r="Z952" i="11"/>
  <c r="Z951" i="11"/>
  <c r="Z950" i="11"/>
  <c r="Z949" i="11"/>
  <c r="Z948" i="11"/>
  <c r="Z947" i="11"/>
  <c r="Z946" i="11"/>
  <c r="Z945" i="11"/>
  <c r="Z944" i="11"/>
  <c r="Z943" i="11"/>
  <c r="Z942" i="11"/>
  <c r="Z941" i="11"/>
  <c r="Z940" i="11"/>
  <c r="Z939" i="11"/>
  <c r="Z938" i="11"/>
  <c r="Z937" i="11"/>
  <c r="Z936" i="11"/>
  <c r="Z935" i="11"/>
  <c r="Z934" i="11"/>
  <c r="Z933" i="11"/>
  <c r="Z932" i="11"/>
  <c r="Z931" i="11"/>
  <c r="Z930" i="11"/>
  <c r="Z929" i="11"/>
  <c r="Z928" i="11"/>
  <c r="Z927" i="11"/>
  <c r="Z926" i="11"/>
  <c r="Z925" i="11"/>
  <c r="Z924" i="11"/>
  <c r="Z923" i="11"/>
  <c r="Z922" i="11"/>
  <c r="Z921" i="11"/>
  <c r="Z920" i="11"/>
  <c r="Z919" i="11"/>
  <c r="Z918" i="11"/>
  <c r="Z917" i="11"/>
  <c r="Z916" i="11"/>
  <c r="Z915" i="11"/>
  <c r="Z914" i="11"/>
  <c r="Z913" i="11"/>
  <c r="Z912" i="11"/>
  <c r="Z911" i="11"/>
  <c r="Z910" i="11"/>
  <c r="Z909" i="11"/>
  <c r="Z908" i="11"/>
  <c r="Z907" i="11"/>
  <c r="Z906" i="11"/>
  <c r="Z905" i="11"/>
  <c r="Z904" i="11"/>
  <c r="Z903" i="11"/>
  <c r="Z902" i="11"/>
  <c r="Z901" i="11"/>
  <c r="Z900" i="11"/>
  <c r="Z899" i="11"/>
  <c r="Z898" i="11"/>
  <c r="Z897" i="11"/>
  <c r="Z896" i="11"/>
  <c r="Z895" i="11"/>
  <c r="Z894" i="11"/>
  <c r="Z893" i="11"/>
  <c r="Z892" i="11"/>
  <c r="Z891" i="11"/>
  <c r="Z890" i="11"/>
  <c r="Z889" i="11"/>
  <c r="Z888" i="11"/>
  <c r="Z887" i="11"/>
  <c r="Z886" i="11"/>
  <c r="Z885" i="11"/>
  <c r="Z884" i="11"/>
  <c r="Z883" i="11"/>
  <c r="Z882" i="11"/>
  <c r="Z881" i="11"/>
  <c r="Z880" i="11"/>
  <c r="Z879" i="11"/>
  <c r="Z878" i="11"/>
  <c r="Z877" i="11"/>
  <c r="Z876" i="11"/>
  <c r="Z875" i="11"/>
  <c r="Z874" i="11"/>
  <c r="Z873" i="11"/>
  <c r="Z872" i="11"/>
  <c r="Z871" i="11"/>
  <c r="Z870" i="11"/>
  <c r="Z869" i="11"/>
  <c r="Z868" i="11"/>
  <c r="Z867" i="11"/>
  <c r="Z866" i="11"/>
  <c r="Z865" i="11"/>
  <c r="Z864" i="11"/>
  <c r="Z863" i="11"/>
  <c r="Z862" i="11"/>
  <c r="Z861" i="11"/>
  <c r="Z860" i="11"/>
  <c r="Z859" i="11"/>
  <c r="Z858" i="11"/>
  <c r="Z857" i="11"/>
  <c r="Z856" i="11"/>
  <c r="Z855" i="11"/>
  <c r="Z854" i="11"/>
  <c r="Z853" i="11"/>
  <c r="Z852" i="11"/>
  <c r="Z851" i="11"/>
  <c r="Z850" i="11"/>
  <c r="Z849" i="11"/>
  <c r="Z848" i="11"/>
  <c r="Z847" i="11"/>
  <c r="Z846" i="11"/>
  <c r="Z845" i="11"/>
  <c r="Z844" i="11"/>
  <c r="Z843" i="11"/>
  <c r="Z842" i="11"/>
  <c r="Z841" i="11"/>
  <c r="Z840" i="11"/>
  <c r="Z839" i="11"/>
  <c r="Z838" i="11"/>
  <c r="Z837" i="11"/>
  <c r="Z836" i="11"/>
  <c r="Z835" i="11"/>
  <c r="Z834" i="11"/>
  <c r="Z833" i="11"/>
  <c r="Z832" i="11"/>
  <c r="Z831" i="11"/>
  <c r="Z830" i="11"/>
  <c r="Z829" i="11"/>
  <c r="Z828" i="11"/>
  <c r="Z827" i="11"/>
  <c r="Z826" i="11"/>
  <c r="Z825" i="11"/>
  <c r="Z824" i="11"/>
  <c r="Z823" i="11"/>
  <c r="Z822" i="11"/>
  <c r="Z821" i="11"/>
  <c r="Z820" i="11"/>
  <c r="Z819" i="11"/>
  <c r="Z818" i="11"/>
  <c r="Z817" i="11"/>
  <c r="Z816" i="11"/>
  <c r="Z815" i="11"/>
  <c r="Z814" i="11"/>
  <c r="Z813" i="11"/>
  <c r="Z812" i="11"/>
  <c r="Z811" i="11"/>
  <c r="Z810" i="11"/>
  <c r="Z809" i="11"/>
  <c r="Z808" i="11"/>
  <c r="Z807" i="11"/>
  <c r="Z806" i="11"/>
  <c r="Z805" i="11"/>
  <c r="Z804" i="11"/>
  <c r="Z803" i="11"/>
  <c r="Z802" i="11"/>
  <c r="Z801" i="11"/>
  <c r="Z800" i="11"/>
  <c r="Z799" i="11"/>
  <c r="Z798" i="11"/>
  <c r="Z797" i="11"/>
  <c r="Z796" i="11"/>
  <c r="Z795" i="11"/>
  <c r="Z794" i="11"/>
  <c r="Z793" i="11"/>
  <c r="Z792" i="11"/>
  <c r="Z791" i="11"/>
  <c r="Z790" i="11"/>
  <c r="Z789" i="11"/>
  <c r="Z788" i="11"/>
  <c r="Z787" i="11"/>
  <c r="Z786" i="11"/>
  <c r="Z785" i="11"/>
  <c r="Z784" i="11"/>
  <c r="Z783" i="11"/>
  <c r="Z782" i="11"/>
  <c r="Z781" i="11"/>
  <c r="Z780" i="11"/>
  <c r="Z779" i="11"/>
  <c r="Z778" i="11"/>
  <c r="Z777" i="11"/>
  <c r="Z776" i="11"/>
  <c r="Z775" i="11"/>
  <c r="Z774" i="11"/>
  <c r="Z773" i="11"/>
  <c r="Z772" i="11"/>
  <c r="Z771" i="11"/>
  <c r="Z770" i="11"/>
  <c r="Z769" i="11"/>
  <c r="Z768" i="11"/>
  <c r="Z767" i="11"/>
  <c r="Z766" i="11"/>
  <c r="Z765" i="11"/>
  <c r="Z764" i="11"/>
  <c r="Z763" i="11"/>
  <c r="Z762" i="11"/>
  <c r="Z761" i="11"/>
  <c r="Z760" i="11"/>
  <c r="Z759" i="11"/>
  <c r="Z758" i="11"/>
  <c r="Z757" i="11"/>
  <c r="Z756" i="11"/>
  <c r="Z755" i="11"/>
  <c r="Z754" i="11"/>
  <c r="Z753" i="11"/>
  <c r="Z752" i="11"/>
  <c r="Z751" i="11"/>
  <c r="Z750" i="11"/>
  <c r="Z749" i="11"/>
  <c r="Z748" i="11"/>
  <c r="Z747" i="11"/>
  <c r="Z746" i="11"/>
  <c r="Z745" i="11"/>
  <c r="Z744" i="11"/>
  <c r="Z743" i="11"/>
  <c r="Z742" i="11"/>
  <c r="Z741" i="11"/>
  <c r="Z740" i="11"/>
  <c r="Z739" i="11"/>
  <c r="Z738" i="11"/>
  <c r="Z737" i="11"/>
  <c r="Z736" i="11"/>
  <c r="Z735" i="11"/>
  <c r="Z734" i="11"/>
  <c r="Z733" i="11"/>
  <c r="Z732" i="11"/>
  <c r="Z731" i="11"/>
  <c r="Z730" i="11"/>
  <c r="Z729" i="11"/>
  <c r="Z728" i="11"/>
  <c r="Z727" i="11"/>
  <c r="Z726" i="11"/>
  <c r="Z725" i="11"/>
  <c r="Z724" i="11"/>
  <c r="Z723" i="11"/>
  <c r="Z722" i="11"/>
  <c r="Z721" i="11"/>
  <c r="Z720" i="11"/>
  <c r="Z719" i="11"/>
  <c r="Z718" i="11"/>
  <c r="Z717" i="11"/>
  <c r="Z716" i="11"/>
  <c r="Z715" i="11"/>
  <c r="Z714" i="11"/>
  <c r="Z713" i="11"/>
  <c r="Z712" i="11"/>
  <c r="Z711" i="11"/>
  <c r="Z710" i="11"/>
  <c r="Z709" i="11"/>
  <c r="Z708" i="11"/>
  <c r="Z707" i="11"/>
  <c r="Z706" i="11"/>
  <c r="Z705" i="11"/>
  <c r="Z704" i="11"/>
  <c r="Z703" i="11"/>
  <c r="Z702" i="11"/>
  <c r="Z701" i="11"/>
  <c r="Z700" i="11"/>
  <c r="Z699" i="11"/>
  <c r="Z698" i="11"/>
  <c r="Z697" i="11"/>
  <c r="Z696" i="11"/>
  <c r="Z695" i="11"/>
  <c r="Z694" i="11"/>
  <c r="Z693" i="11"/>
  <c r="Z692" i="11"/>
  <c r="Z691" i="11"/>
  <c r="Z690" i="11"/>
  <c r="Z689" i="11"/>
  <c r="Z688" i="11"/>
  <c r="Z687" i="11"/>
  <c r="Z686" i="11"/>
  <c r="Z685" i="11"/>
  <c r="Z684" i="11"/>
  <c r="Z683" i="11"/>
  <c r="Z682" i="11"/>
  <c r="Z681" i="11"/>
  <c r="Z680" i="11"/>
  <c r="Z679" i="11"/>
  <c r="Z678" i="11"/>
  <c r="Z677" i="11"/>
  <c r="Z676" i="11"/>
  <c r="Z675" i="11"/>
  <c r="Z674" i="11"/>
  <c r="Z673" i="11"/>
  <c r="Z672" i="11"/>
  <c r="Z671" i="11"/>
  <c r="Z670" i="11"/>
  <c r="Z669" i="11"/>
  <c r="Z668" i="11"/>
  <c r="Z667" i="11"/>
  <c r="Z666" i="11"/>
  <c r="Z665" i="11"/>
  <c r="Z664" i="11"/>
  <c r="Z663" i="11"/>
  <c r="Z662" i="11"/>
  <c r="Z661" i="11"/>
  <c r="Z660" i="11"/>
  <c r="Z659" i="11"/>
  <c r="Z658" i="11"/>
  <c r="Z657" i="11"/>
  <c r="Z656" i="11"/>
  <c r="Z655" i="11"/>
  <c r="Z654" i="11"/>
  <c r="Z653" i="11"/>
  <c r="Z652" i="11"/>
  <c r="Z651" i="11"/>
  <c r="Z650" i="11"/>
  <c r="Z649" i="11"/>
  <c r="Z648" i="11"/>
  <c r="Z647" i="11"/>
  <c r="Z646" i="11"/>
  <c r="Z645" i="11"/>
  <c r="Z644" i="11"/>
  <c r="Z643" i="11"/>
  <c r="Z642" i="11"/>
  <c r="Z641" i="11"/>
  <c r="Z640" i="11"/>
  <c r="Z639" i="11"/>
  <c r="Z638" i="11"/>
  <c r="Z637" i="11"/>
  <c r="Z636" i="11"/>
  <c r="Z635" i="11"/>
  <c r="Z634" i="11"/>
  <c r="Z633" i="11"/>
  <c r="Z632" i="11"/>
  <c r="Z631" i="11"/>
  <c r="Z630" i="11"/>
  <c r="Z629" i="11"/>
  <c r="Z628" i="11"/>
  <c r="Z627" i="11"/>
  <c r="Z626" i="11"/>
  <c r="Z625" i="11"/>
  <c r="Z624" i="11"/>
  <c r="Z623" i="11"/>
  <c r="Z622" i="11"/>
  <c r="Z621" i="11"/>
  <c r="Z620" i="11"/>
  <c r="Z619" i="11"/>
  <c r="Z618" i="11"/>
  <c r="Z617" i="11"/>
  <c r="Z616" i="11"/>
  <c r="Z615" i="11"/>
  <c r="Z614" i="11"/>
  <c r="Z613" i="11"/>
  <c r="Z612" i="11"/>
  <c r="Z611" i="11"/>
  <c r="Z610" i="11"/>
  <c r="Z609" i="11"/>
  <c r="Z608" i="11"/>
  <c r="Z607" i="11"/>
  <c r="Z606" i="11"/>
  <c r="Z605" i="11"/>
  <c r="Z604" i="11"/>
  <c r="Z603" i="11"/>
  <c r="Z602" i="11"/>
  <c r="Z601" i="11"/>
  <c r="Z600" i="11"/>
  <c r="Z599" i="11"/>
  <c r="Z598" i="11"/>
  <c r="Z597" i="11"/>
  <c r="Z596" i="11"/>
  <c r="Z595" i="11"/>
  <c r="Z594" i="11"/>
  <c r="Z593" i="11"/>
  <c r="Z592" i="11"/>
  <c r="Z591" i="11"/>
  <c r="Z590" i="11"/>
  <c r="Z589" i="11"/>
  <c r="Z588" i="11"/>
  <c r="Z587" i="11"/>
  <c r="Z586" i="11"/>
  <c r="Z585" i="11"/>
  <c r="Z584" i="11"/>
  <c r="Z583" i="11"/>
  <c r="Z582" i="11"/>
  <c r="Z581" i="11"/>
  <c r="Z580" i="11"/>
  <c r="Z579" i="11"/>
  <c r="Z578" i="11"/>
  <c r="Z577" i="11"/>
  <c r="Z576" i="11"/>
  <c r="Z575" i="11"/>
  <c r="Z574" i="11"/>
  <c r="Z573" i="11"/>
  <c r="Z572" i="11"/>
  <c r="Z571" i="11"/>
  <c r="Z570" i="11"/>
  <c r="Z569" i="11"/>
  <c r="Z568" i="11"/>
  <c r="Z567" i="11"/>
  <c r="Z566" i="11"/>
  <c r="Z565" i="11"/>
  <c r="Z564" i="11"/>
  <c r="Z563" i="11"/>
  <c r="Z562" i="11"/>
  <c r="Z561" i="11"/>
  <c r="Z560" i="11"/>
  <c r="Z559" i="11"/>
  <c r="Z558" i="11"/>
  <c r="Z557" i="11"/>
  <c r="Z556" i="11"/>
  <c r="Z555" i="11"/>
  <c r="Z554" i="11"/>
  <c r="Z553" i="11"/>
  <c r="Z552" i="11"/>
  <c r="Z551" i="11"/>
  <c r="Z550" i="11"/>
  <c r="Z549" i="11"/>
  <c r="Z548" i="11"/>
  <c r="Z547" i="11"/>
  <c r="Z546" i="11"/>
  <c r="Z545" i="11"/>
  <c r="Z544" i="11"/>
  <c r="Z543" i="11"/>
  <c r="Z542" i="11"/>
  <c r="Z541" i="11"/>
  <c r="Z540" i="11"/>
  <c r="Z539" i="11"/>
  <c r="Z538" i="11"/>
  <c r="Z537" i="11"/>
  <c r="Z536" i="11"/>
  <c r="Z535" i="11"/>
  <c r="Z534" i="11"/>
  <c r="Z533" i="11"/>
  <c r="Z532" i="11"/>
  <c r="Z531" i="11"/>
  <c r="Z530" i="11"/>
  <c r="Z529" i="11"/>
  <c r="Z528" i="11"/>
  <c r="Z527" i="11"/>
  <c r="Z526" i="11"/>
  <c r="Z525" i="11"/>
  <c r="Z524" i="11"/>
  <c r="Z523" i="11"/>
  <c r="Z522" i="11"/>
  <c r="Z521" i="11"/>
  <c r="Z520" i="11"/>
  <c r="Z519" i="11"/>
  <c r="Z518" i="11"/>
  <c r="Z517" i="11"/>
  <c r="Z516" i="11"/>
  <c r="Z515" i="11"/>
  <c r="Z514" i="11"/>
  <c r="Z513" i="11"/>
  <c r="Z512" i="11"/>
  <c r="Z511" i="11"/>
  <c r="Z510" i="11"/>
  <c r="Z509" i="11"/>
  <c r="Z508" i="11"/>
  <c r="Z507" i="11"/>
  <c r="Z506" i="11"/>
  <c r="Z505" i="11"/>
  <c r="Z504" i="11"/>
  <c r="Z503" i="11"/>
  <c r="Z502" i="11"/>
  <c r="Z501" i="11"/>
  <c r="Z500" i="11"/>
  <c r="Z499" i="11"/>
  <c r="Z498" i="11"/>
  <c r="Z497" i="11"/>
  <c r="Z496" i="11"/>
  <c r="Z495" i="11"/>
  <c r="Z494" i="11"/>
  <c r="Z493" i="11"/>
  <c r="Z492" i="11"/>
  <c r="Z491" i="11"/>
  <c r="Z490" i="11"/>
  <c r="Z489" i="11"/>
  <c r="Z488" i="11"/>
  <c r="Z487" i="11"/>
  <c r="Z486" i="11"/>
  <c r="Z485" i="11"/>
  <c r="Z484" i="11"/>
  <c r="Z483" i="11"/>
  <c r="Z482" i="11"/>
  <c r="Z481" i="11"/>
  <c r="Z480" i="11"/>
  <c r="Z479" i="11"/>
  <c r="Z478" i="11"/>
  <c r="Z477" i="11"/>
  <c r="Z476" i="11"/>
  <c r="Z475" i="11"/>
  <c r="Z474" i="11"/>
  <c r="Z473" i="11"/>
  <c r="Z472" i="11"/>
  <c r="Z471" i="11"/>
  <c r="Z470" i="11"/>
  <c r="Z469" i="11"/>
  <c r="Z468" i="11"/>
  <c r="Z467" i="11"/>
  <c r="Z466" i="11"/>
  <c r="Z465" i="11"/>
  <c r="Z464" i="11"/>
  <c r="Z463" i="11"/>
  <c r="Z462" i="11"/>
  <c r="Z461" i="11"/>
  <c r="Z460" i="11"/>
  <c r="Z459" i="11"/>
  <c r="Z458" i="11"/>
  <c r="Z457" i="11"/>
  <c r="Z456" i="11"/>
  <c r="Z455" i="11"/>
  <c r="Z454" i="11"/>
  <c r="Z453" i="11"/>
  <c r="Z452" i="11"/>
  <c r="Z451" i="11"/>
  <c r="Z450" i="11"/>
  <c r="Z449" i="11"/>
  <c r="Z448" i="11"/>
  <c r="Z447" i="11"/>
  <c r="Z446" i="11"/>
  <c r="Z445" i="11"/>
  <c r="Z444" i="11"/>
  <c r="Z443" i="11"/>
  <c r="Z442" i="11"/>
  <c r="Z441" i="11"/>
  <c r="Z440" i="11"/>
  <c r="Z439" i="11"/>
  <c r="Z438" i="11"/>
  <c r="Z437" i="11"/>
  <c r="Z436" i="11"/>
  <c r="Z435" i="11"/>
  <c r="Z434" i="11"/>
  <c r="Z433" i="11"/>
  <c r="Z432" i="11"/>
  <c r="Z431" i="11"/>
  <c r="Z430" i="11"/>
  <c r="Z429" i="11"/>
  <c r="Z428" i="11"/>
  <c r="Z427" i="11"/>
  <c r="Z426" i="11"/>
  <c r="Z425" i="11"/>
  <c r="Z424" i="11"/>
  <c r="Z423" i="11"/>
  <c r="Z422" i="11"/>
  <c r="Z421" i="11"/>
  <c r="Z420" i="11"/>
  <c r="Z419" i="11"/>
  <c r="Z418" i="11"/>
  <c r="Z417" i="11"/>
  <c r="Z416" i="11"/>
  <c r="Z415" i="11"/>
  <c r="Z414" i="11"/>
  <c r="Z413" i="11"/>
  <c r="Z412" i="11"/>
  <c r="Z411" i="11"/>
  <c r="Z410" i="11"/>
  <c r="Z409" i="11"/>
  <c r="Z408" i="11"/>
  <c r="Z407" i="11"/>
  <c r="Z406" i="11"/>
  <c r="Z405" i="11"/>
  <c r="Z404" i="11"/>
  <c r="Z403" i="11"/>
  <c r="Z402" i="11"/>
  <c r="Z401" i="11"/>
  <c r="Z400" i="11"/>
  <c r="Z399" i="11"/>
  <c r="Z398" i="11"/>
  <c r="Z397" i="11"/>
  <c r="Z396" i="11"/>
  <c r="Z395" i="11"/>
  <c r="Z394" i="11"/>
  <c r="Z393" i="11"/>
  <c r="Z392" i="11"/>
  <c r="Z391" i="11"/>
  <c r="Z390" i="11"/>
  <c r="Z389" i="11"/>
  <c r="Z388" i="11"/>
  <c r="Z387" i="11"/>
  <c r="Z386" i="11"/>
  <c r="Z385" i="11"/>
  <c r="Z384" i="11"/>
  <c r="Z383" i="11"/>
  <c r="Z382" i="11"/>
  <c r="Z381" i="11"/>
  <c r="Z380" i="11"/>
  <c r="Z379" i="11"/>
  <c r="Z378" i="11"/>
  <c r="Z377" i="11"/>
  <c r="Z376" i="11"/>
  <c r="Z375" i="11"/>
  <c r="Z374" i="11"/>
  <c r="Z373" i="11"/>
  <c r="Z372" i="11"/>
  <c r="Z371" i="11"/>
  <c r="Z370" i="11"/>
  <c r="Z369" i="11"/>
  <c r="Z368" i="11"/>
  <c r="Z367" i="11"/>
  <c r="Z366" i="11"/>
  <c r="Z365" i="11"/>
  <c r="Z364" i="11"/>
  <c r="Z363" i="11"/>
  <c r="Z362" i="11"/>
  <c r="Z361" i="11"/>
  <c r="Z360" i="11"/>
  <c r="Z359" i="11"/>
  <c r="Z358" i="11"/>
  <c r="Z357" i="11"/>
  <c r="Z356" i="11"/>
  <c r="Z355" i="11"/>
  <c r="Z354" i="11"/>
  <c r="Z353" i="11"/>
  <c r="Z352" i="11"/>
  <c r="Z351" i="11"/>
  <c r="Z350" i="11"/>
  <c r="Z349" i="11"/>
  <c r="Z348" i="11"/>
  <c r="Z347" i="11"/>
  <c r="Z346" i="11"/>
  <c r="Z345" i="11"/>
  <c r="Z344" i="11"/>
  <c r="Z343" i="11"/>
  <c r="Z342" i="11"/>
  <c r="Z341" i="11"/>
  <c r="Z340" i="11"/>
  <c r="Z339" i="11"/>
  <c r="Z338" i="11"/>
  <c r="Z337" i="11"/>
  <c r="Z336" i="11"/>
  <c r="Z335" i="11"/>
  <c r="Z334" i="11"/>
  <c r="Z333" i="11"/>
  <c r="Z332" i="11"/>
  <c r="Z331" i="11"/>
  <c r="Z330" i="11"/>
  <c r="Z329" i="11"/>
  <c r="Z328" i="11"/>
  <c r="Z327" i="11"/>
  <c r="Z326" i="11"/>
  <c r="Z325" i="11"/>
  <c r="Z324" i="11"/>
  <c r="Z323" i="11"/>
  <c r="Z322" i="11"/>
  <c r="Z321" i="11"/>
  <c r="Z320" i="11"/>
  <c r="Z319" i="11"/>
  <c r="Z318" i="11"/>
  <c r="Z317" i="11"/>
  <c r="Z316" i="11"/>
  <c r="Z315" i="11"/>
  <c r="Z314" i="11"/>
  <c r="Z313" i="11"/>
  <c r="Z312" i="11"/>
  <c r="Z311" i="11"/>
  <c r="Z310" i="11"/>
  <c r="Z309" i="11"/>
  <c r="Z308" i="11"/>
  <c r="Z307" i="11"/>
  <c r="Z306" i="11"/>
  <c r="Z305" i="11"/>
  <c r="Z304" i="11"/>
  <c r="Z303" i="11"/>
  <c r="Z302" i="11"/>
  <c r="Z301" i="11"/>
  <c r="Z300" i="11"/>
  <c r="Z299" i="11"/>
  <c r="Z298" i="11"/>
  <c r="Z297" i="11"/>
  <c r="Z296" i="11"/>
  <c r="Z295" i="11"/>
  <c r="Z294" i="11"/>
  <c r="Z293" i="11"/>
  <c r="Z292" i="11"/>
  <c r="Z291" i="11"/>
  <c r="Z290" i="11"/>
  <c r="Z289" i="11"/>
  <c r="Z288" i="11"/>
  <c r="Z287" i="11"/>
  <c r="Z286" i="11"/>
  <c r="Z285" i="11"/>
  <c r="Z284" i="11"/>
  <c r="Z283" i="11"/>
  <c r="Z282" i="11"/>
  <c r="Z281" i="11"/>
  <c r="Z280" i="11"/>
  <c r="Z279" i="11"/>
  <c r="Z278" i="11"/>
  <c r="Z277" i="11"/>
  <c r="Z276" i="11"/>
  <c r="Z275" i="11"/>
  <c r="Z274" i="11"/>
  <c r="Z273" i="11"/>
  <c r="Z272" i="11"/>
  <c r="Z271" i="11"/>
  <c r="Z270" i="11"/>
  <c r="Z269" i="11"/>
  <c r="Z268" i="11"/>
  <c r="Z267" i="11"/>
  <c r="Z266" i="11"/>
  <c r="Z265" i="11"/>
  <c r="Z264" i="11"/>
  <c r="Z263" i="11"/>
  <c r="Z262" i="11"/>
  <c r="Z261" i="11"/>
  <c r="Z260" i="11"/>
  <c r="Z259" i="11"/>
  <c r="Z258" i="11"/>
  <c r="Z257" i="11"/>
  <c r="Z256" i="11"/>
  <c r="Z255" i="11"/>
  <c r="Z254" i="11"/>
  <c r="Z253" i="11"/>
  <c r="Z252" i="11"/>
  <c r="Z251" i="11"/>
  <c r="Z250" i="11"/>
  <c r="Z249" i="11"/>
  <c r="Z248" i="11"/>
  <c r="Z247" i="11"/>
  <c r="Z246" i="11"/>
  <c r="Z245" i="11"/>
  <c r="Z244" i="11"/>
  <c r="Z243" i="11"/>
  <c r="Z242" i="11"/>
  <c r="Z241" i="11"/>
  <c r="Z240" i="11"/>
  <c r="Z239" i="11"/>
  <c r="Z238" i="11"/>
  <c r="Z237" i="11"/>
  <c r="Z236" i="11"/>
  <c r="Z235" i="11"/>
  <c r="Z234" i="11"/>
  <c r="Z233" i="11"/>
  <c r="Z232" i="11"/>
  <c r="Z231" i="11"/>
  <c r="Z230" i="11"/>
  <c r="Z229" i="11"/>
  <c r="Z228" i="11"/>
  <c r="Z227" i="11"/>
  <c r="Z226" i="11"/>
  <c r="Z225" i="11"/>
  <c r="Z224" i="11"/>
  <c r="Z223" i="11"/>
  <c r="Z222" i="11"/>
  <c r="Z221" i="11"/>
  <c r="Z220" i="11"/>
  <c r="Z219" i="11"/>
  <c r="Z218" i="11"/>
  <c r="Z217" i="11"/>
  <c r="Z216" i="11"/>
  <c r="Z215" i="11"/>
  <c r="Z214" i="11"/>
  <c r="Z213" i="11"/>
  <c r="Z212" i="11"/>
  <c r="Z211" i="11"/>
  <c r="Z210" i="11"/>
  <c r="Z209" i="11"/>
  <c r="Z208" i="11"/>
  <c r="Z207" i="11"/>
  <c r="Z206" i="11"/>
  <c r="Z205" i="11"/>
  <c r="Z204" i="11"/>
  <c r="Z203" i="11"/>
  <c r="Z202" i="11"/>
  <c r="Z201" i="11"/>
  <c r="Z200" i="11"/>
  <c r="Z199" i="11"/>
  <c r="Z198" i="11"/>
  <c r="Z197" i="11"/>
  <c r="Z196" i="11"/>
  <c r="Z195" i="11"/>
  <c r="Z194" i="11"/>
  <c r="Z193" i="11"/>
  <c r="Z192" i="11"/>
  <c r="Z191" i="11"/>
  <c r="Z190" i="11"/>
  <c r="Z189" i="11"/>
  <c r="Z188" i="11"/>
  <c r="Z187" i="11"/>
  <c r="Z186" i="11"/>
  <c r="Z185" i="11"/>
  <c r="Z184" i="11"/>
  <c r="Z183" i="11"/>
  <c r="Z182" i="11"/>
  <c r="Z181" i="11"/>
  <c r="Z180" i="11"/>
  <c r="Z179" i="11"/>
  <c r="Z178" i="11"/>
  <c r="Z177" i="11"/>
  <c r="Z176" i="11"/>
  <c r="Z175" i="11"/>
  <c r="Z174" i="11"/>
  <c r="Z173" i="11"/>
  <c r="Z172" i="11"/>
  <c r="Z171" i="11"/>
  <c r="Z170" i="11"/>
  <c r="Z169" i="11"/>
  <c r="Z168" i="11"/>
  <c r="Z167" i="11"/>
  <c r="Z166" i="11"/>
  <c r="Z165" i="11"/>
  <c r="Z164" i="11"/>
  <c r="Z163" i="11"/>
  <c r="Z162" i="11"/>
  <c r="Z161" i="11"/>
  <c r="Z160" i="11"/>
  <c r="Z159" i="11"/>
  <c r="Z158" i="11"/>
  <c r="Z157" i="11"/>
  <c r="Z156" i="11"/>
  <c r="Z155" i="11"/>
  <c r="Z154" i="11"/>
  <c r="Z153" i="11"/>
  <c r="Z152" i="11"/>
  <c r="Z151" i="11"/>
  <c r="Z150" i="11"/>
  <c r="Z149" i="11"/>
  <c r="Z148" i="11"/>
  <c r="Z147" i="11"/>
  <c r="Z146" i="11"/>
  <c r="Z145" i="11"/>
  <c r="Z144" i="11"/>
  <c r="Z143" i="11"/>
  <c r="Z142" i="11"/>
  <c r="Z141" i="11"/>
  <c r="Z140" i="11"/>
  <c r="Z139" i="11"/>
  <c r="Z138" i="11"/>
  <c r="Z137" i="11"/>
  <c r="Z136" i="11"/>
  <c r="Z135" i="11"/>
  <c r="Z134" i="11"/>
  <c r="Z133" i="11"/>
  <c r="Z132" i="11"/>
  <c r="Z131" i="11"/>
  <c r="Z130" i="11"/>
  <c r="Z129" i="11"/>
  <c r="Z128" i="11"/>
  <c r="Z127" i="11"/>
  <c r="Z126" i="11"/>
  <c r="Z125" i="11"/>
  <c r="Z124" i="11"/>
  <c r="Z123" i="11"/>
  <c r="Z122" i="11"/>
  <c r="Z121" i="11"/>
  <c r="Z120" i="11"/>
  <c r="Z119" i="11"/>
  <c r="Z118" i="11"/>
  <c r="Z117" i="11"/>
  <c r="Z116" i="11"/>
  <c r="Z115" i="11"/>
  <c r="Z114" i="11"/>
  <c r="Z113" i="11"/>
  <c r="Z112" i="11"/>
  <c r="Z111" i="11"/>
  <c r="Z110" i="11"/>
  <c r="Z109" i="11"/>
  <c r="Z108" i="11"/>
  <c r="Z107" i="11"/>
  <c r="Z106" i="11"/>
  <c r="Z105" i="11"/>
  <c r="Z104" i="11"/>
  <c r="Z103" i="11"/>
  <c r="Z102" i="11"/>
  <c r="Z101" i="11"/>
  <c r="Z100" i="11"/>
  <c r="Z99" i="11"/>
  <c r="Z98" i="11"/>
  <c r="Z97" i="11"/>
  <c r="Z96" i="11"/>
  <c r="Z95" i="11"/>
  <c r="Z94" i="11"/>
  <c r="Z93" i="11"/>
  <c r="Z92" i="11"/>
  <c r="Z91" i="11"/>
  <c r="Z90" i="11"/>
  <c r="Z89" i="11"/>
  <c r="Z88" i="11"/>
  <c r="Z87" i="11"/>
  <c r="Z86" i="11"/>
  <c r="Z85" i="11"/>
  <c r="Z84" i="11"/>
  <c r="Z83" i="11"/>
  <c r="Z82" i="11"/>
  <c r="Z81" i="11"/>
  <c r="Z80" i="11"/>
  <c r="Z79" i="11"/>
  <c r="Z78" i="11"/>
  <c r="Z77" i="11"/>
  <c r="Z76" i="11"/>
  <c r="Z75" i="11"/>
  <c r="Z74" i="11"/>
  <c r="Z73" i="11"/>
  <c r="Z72" i="11"/>
  <c r="Z71" i="11"/>
  <c r="Z70" i="11"/>
  <c r="Z69" i="11"/>
  <c r="Z68" i="11"/>
  <c r="Z67" i="11"/>
  <c r="Z66" i="11"/>
  <c r="Z65" i="11"/>
  <c r="Z64" i="11"/>
  <c r="Z63" i="11"/>
  <c r="Z62" i="11"/>
  <c r="Z61" i="11"/>
  <c r="Z60" i="11"/>
  <c r="Z59" i="11"/>
  <c r="Z58" i="11"/>
  <c r="Z57" i="11"/>
  <c r="Z56" i="11"/>
  <c r="Z55" i="11"/>
  <c r="Z54" i="11"/>
  <c r="Z53" i="11"/>
  <c r="Z52" i="11"/>
  <c r="Z51" i="11"/>
  <c r="Z50" i="11"/>
  <c r="Z49" i="11"/>
  <c r="Z48" i="11"/>
  <c r="Z47" i="11"/>
  <c r="Z46" i="11"/>
  <c r="Z45" i="11"/>
  <c r="Z44" i="11"/>
  <c r="Z43" i="11"/>
  <c r="Z42" i="11"/>
  <c r="Z41" i="11"/>
  <c r="Z40" i="11"/>
  <c r="Z39" i="11"/>
  <c r="Z38" i="11"/>
  <c r="Z37" i="11"/>
  <c r="Z36" i="11"/>
  <c r="Z35" i="11"/>
  <c r="Z34" i="11"/>
  <c r="Z33" i="11"/>
  <c r="Z32" i="11"/>
  <c r="Z31" i="11"/>
  <c r="Z30" i="11"/>
  <c r="Z29" i="11"/>
  <c r="Z28" i="11"/>
  <c r="Z27" i="11"/>
  <c r="Z26" i="11"/>
  <c r="Z25" i="11"/>
  <c r="Z24" i="11"/>
  <c r="Z23" i="11"/>
  <c r="Z22" i="11"/>
  <c r="Z21" i="11"/>
  <c r="Z20" i="11"/>
  <c r="Z19" i="11"/>
  <c r="Z18" i="11"/>
  <c r="Z17" i="11"/>
  <c r="Z16" i="11"/>
  <c r="Z15" i="11"/>
  <c r="Z14" i="11"/>
  <c r="Z13" i="11"/>
  <c r="Z12" i="11"/>
  <c r="Z11" i="11"/>
  <c r="Z10" i="11"/>
  <c r="Z9" i="11"/>
  <c r="Z8" i="11"/>
  <c r="Z7" i="11"/>
  <c r="Z6" i="11"/>
  <c r="Z5" i="11"/>
  <c r="Z4" i="11"/>
  <c r="Z3" i="11"/>
  <c r="B35" i="10"/>
  <c r="C31" i="10"/>
  <c r="C30" i="10"/>
  <c r="B29" i="10"/>
  <c r="C29" i="10" s="1"/>
  <c r="D10" i="10"/>
  <c r="C10" i="10"/>
  <c r="Q37" i="7"/>
  <c r="K37" i="7"/>
  <c r="P36" i="7"/>
  <c r="Q36" i="7" s="1"/>
  <c r="Q38" i="7" s="1"/>
  <c r="P38" i="7" s="1"/>
  <c r="J36" i="7"/>
  <c r="K36" i="7" s="1"/>
  <c r="K38" i="7" s="1"/>
  <c r="J38" i="7" s="1"/>
  <c r="Q30" i="7"/>
  <c r="K30" i="7"/>
  <c r="P29" i="7"/>
  <c r="Q29" i="7" s="1"/>
  <c r="J29" i="7"/>
  <c r="K29" i="7" s="1"/>
  <c r="P28" i="7"/>
  <c r="Q28" i="7" s="1"/>
  <c r="J28" i="7"/>
  <c r="K28" i="7" s="1"/>
  <c r="Q27" i="7"/>
  <c r="P26" i="7"/>
  <c r="Q26" i="7" s="1"/>
  <c r="Q31" i="7" s="1"/>
  <c r="P31" i="7" s="1"/>
  <c r="J26" i="7"/>
  <c r="K26" i="7" s="1"/>
  <c r="K31" i="7" s="1"/>
  <c r="J31" i="7" s="1"/>
  <c r="Q22" i="7"/>
  <c r="K22" i="7"/>
  <c r="Q21" i="7"/>
  <c r="K21" i="7"/>
  <c r="P20" i="7"/>
  <c r="Q20" i="7" s="1"/>
  <c r="J20" i="7"/>
  <c r="K20" i="7" s="1"/>
  <c r="P19" i="7"/>
  <c r="Q19" i="7" s="1"/>
  <c r="J19" i="7"/>
  <c r="K19" i="7" s="1"/>
  <c r="P18" i="7"/>
  <c r="Q18" i="7" s="1"/>
  <c r="J18" i="7"/>
  <c r="K18" i="7" s="1"/>
  <c r="P17" i="7"/>
  <c r="Q17" i="7" s="1"/>
  <c r="J17" i="7"/>
  <c r="K17" i="7" s="1"/>
  <c r="P16" i="7"/>
  <c r="Q16" i="7" s="1"/>
  <c r="J16" i="7"/>
  <c r="K16" i="7" s="1"/>
  <c r="P15" i="7"/>
  <c r="Q15" i="7" s="1"/>
  <c r="J15" i="7"/>
  <c r="K15" i="7" s="1"/>
  <c r="P14" i="7"/>
  <c r="Q14" i="7" s="1"/>
  <c r="Q23" i="7" s="1"/>
  <c r="P23" i="7" s="1"/>
  <c r="J14" i="7"/>
  <c r="K14" i="7" s="1"/>
  <c r="K23" i="7" s="1"/>
  <c r="J23" i="7" s="1"/>
  <c r="Q10" i="7"/>
  <c r="K10" i="7"/>
  <c r="P9" i="7"/>
  <c r="Q9" i="7" s="1"/>
  <c r="J9" i="7"/>
  <c r="K9" i="7" s="1"/>
  <c r="P8" i="7"/>
  <c r="Q8" i="7" s="1"/>
  <c r="J8" i="7"/>
  <c r="K8" i="7" s="1"/>
  <c r="P7" i="7"/>
  <c r="Q7" i="7" s="1"/>
  <c r="J7" i="7"/>
  <c r="K7" i="7" s="1"/>
  <c r="P6" i="7"/>
  <c r="Q6" i="7" s="1"/>
  <c r="J6" i="7"/>
  <c r="K6" i="7" s="1"/>
  <c r="P5" i="7"/>
  <c r="Q5" i="7" s="1"/>
  <c r="J5" i="7"/>
  <c r="K5" i="7" s="1"/>
  <c r="P4" i="7"/>
  <c r="Q4" i="7" s="1"/>
  <c r="J4" i="7"/>
  <c r="K4" i="7" s="1"/>
  <c r="D4" i="7"/>
  <c r="C4" i="7"/>
  <c r="P3" i="7"/>
  <c r="Q3" i="7" s="1"/>
  <c r="Q11" i="7" s="1"/>
  <c r="P11" i="7" s="1"/>
  <c r="J3" i="7"/>
  <c r="K3" i="7" s="1"/>
  <c r="K11" i="7" s="1"/>
  <c r="J11" i="7" s="1"/>
  <c r="D3" i="7"/>
  <c r="C3" i="7"/>
  <c r="M23" i="5"/>
  <c r="D23" i="5"/>
  <c r="L23" i="5" s="1"/>
  <c r="N23" i="5" s="1"/>
  <c r="M22" i="5"/>
  <c r="D22" i="5"/>
  <c r="L22" i="5" s="1"/>
  <c r="N22" i="5" s="1"/>
  <c r="M21" i="5"/>
  <c r="D21" i="5"/>
  <c r="L21" i="5" s="1"/>
  <c r="N21" i="5" s="1"/>
  <c r="M20" i="5"/>
  <c r="D20" i="5"/>
  <c r="L20" i="5" s="1"/>
  <c r="N20" i="5" s="1"/>
  <c r="M19" i="5"/>
  <c r="D19" i="5"/>
  <c r="L19" i="5" s="1"/>
  <c r="N19" i="5" s="1"/>
  <c r="M18" i="5"/>
  <c r="D18" i="5"/>
  <c r="L18" i="5" s="1"/>
  <c r="N18" i="5" s="1"/>
  <c r="M17" i="5"/>
  <c r="D17" i="5"/>
  <c r="L17" i="5" s="1"/>
  <c r="N17" i="5" s="1"/>
  <c r="M16" i="5"/>
  <c r="D16" i="5"/>
  <c r="L16" i="5" s="1"/>
  <c r="N16" i="5" s="1"/>
  <c r="M15" i="5"/>
  <c r="D15" i="5"/>
  <c r="L15" i="5" s="1"/>
  <c r="N15" i="5" s="1"/>
  <c r="M14" i="5"/>
  <c r="D14" i="5"/>
  <c r="L14" i="5" s="1"/>
  <c r="N14" i="5" s="1"/>
  <c r="M13" i="5"/>
  <c r="D13" i="5"/>
  <c r="L13" i="5" s="1"/>
  <c r="N13" i="5" s="1"/>
  <c r="M12" i="5"/>
  <c r="D12" i="5"/>
  <c r="L12" i="5" s="1"/>
  <c r="N12" i="5" s="1"/>
  <c r="M11" i="5"/>
  <c r="D11" i="5"/>
  <c r="L11" i="5" s="1"/>
  <c r="N11" i="5" s="1"/>
  <c r="M10" i="5"/>
  <c r="D10" i="5"/>
  <c r="L10" i="5" s="1"/>
  <c r="N10" i="5" s="1"/>
  <c r="M9" i="5"/>
  <c r="D9" i="5"/>
  <c r="L9" i="5" s="1"/>
  <c r="N9" i="5" s="1"/>
  <c r="M8" i="5"/>
  <c r="D8" i="5"/>
  <c r="L8" i="5" s="1"/>
  <c r="N8" i="5" s="1"/>
  <c r="M7" i="5"/>
  <c r="D7" i="5"/>
  <c r="L7" i="5" s="1"/>
  <c r="N7" i="5" s="1"/>
  <c r="M6" i="5"/>
  <c r="D6" i="5"/>
  <c r="L6" i="5" s="1"/>
  <c r="N6" i="5" s="1"/>
  <c r="M5" i="5"/>
  <c r="D5" i="5"/>
  <c r="L5" i="5" s="1"/>
  <c r="N5" i="5" s="1"/>
  <c r="M4" i="5"/>
  <c r="D4" i="5"/>
  <c r="L4" i="5" s="1"/>
  <c r="N4" i="5" s="1"/>
  <c r="M3" i="5"/>
  <c r="D3" i="5"/>
  <c r="L3" i="5" s="1"/>
  <c r="N3" i="5" s="1"/>
  <c r="D113" i="3"/>
  <c r="D59" i="3"/>
  <c r="B151" i="2"/>
  <c r="F150" i="2"/>
  <c r="B150" i="2"/>
  <c r="F149" i="2"/>
  <c r="B149" i="2"/>
  <c r="F148" i="2"/>
  <c r="F151" i="2" s="1"/>
  <c r="C148" i="2"/>
  <c r="B148" i="2"/>
  <c r="B152" i="2" s="1"/>
  <c r="C155" i="2" s="1"/>
  <c r="B134" i="2"/>
  <c r="B135" i="2" s="1"/>
  <c r="I133" i="2"/>
  <c r="H126" i="2"/>
  <c r="G126" i="2"/>
  <c r="F126" i="2"/>
  <c r="E126" i="2"/>
  <c r="D126" i="2"/>
  <c r="C126" i="2"/>
  <c r="D122" i="2"/>
  <c r="E122" i="2" s="1"/>
  <c r="H122" i="2" s="1"/>
  <c r="D121" i="2"/>
  <c r="E121" i="2" s="1"/>
  <c r="H121" i="2" s="1"/>
  <c r="D120" i="2"/>
  <c r="E120" i="2" s="1"/>
  <c r="H120" i="2" s="1"/>
  <c r="D119" i="2"/>
  <c r="E119" i="2" s="1"/>
  <c r="H119" i="2" s="1"/>
  <c r="D118" i="2"/>
  <c r="E118" i="2" s="1"/>
  <c r="H118" i="2" s="1"/>
  <c r="D117" i="2"/>
  <c r="E117" i="2" s="1"/>
  <c r="H117" i="2" s="1"/>
  <c r="D116" i="2"/>
  <c r="E116" i="2" s="1"/>
  <c r="H116" i="2" s="1"/>
  <c r="D115" i="2"/>
  <c r="E115" i="2" s="1"/>
  <c r="H115" i="2" s="1"/>
  <c r="D114" i="2"/>
  <c r="E114" i="2" s="1"/>
  <c r="H114" i="2" s="1"/>
  <c r="D113" i="2"/>
  <c r="E113" i="2" s="1"/>
  <c r="H113" i="2" s="1"/>
  <c r="H123" i="2" s="1"/>
  <c r="H109" i="2"/>
  <c r="G109" i="2"/>
  <c r="F109" i="2"/>
  <c r="E109" i="2"/>
  <c r="D109" i="2"/>
  <c r="C109" i="2"/>
  <c r="M105" i="2"/>
  <c r="H105" i="2"/>
  <c r="G105" i="2"/>
  <c r="F105" i="2"/>
  <c r="E105" i="2"/>
  <c r="D105" i="2"/>
  <c r="C105" i="2"/>
  <c r="M104" i="2"/>
  <c r="H104" i="2"/>
  <c r="G104" i="2"/>
  <c r="F104" i="2"/>
  <c r="E104" i="2"/>
  <c r="D104" i="2"/>
  <c r="C104" i="2"/>
  <c r="M103" i="2"/>
  <c r="H103" i="2"/>
  <c r="G103" i="2"/>
  <c r="F103" i="2"/>
  <c r="E103" i="2"/>
  <c r="D103" i="2"/>
  <c r="C103" i="2"/>
  <c r="M102" i="2"/>
  <c r="H102" i="2"/>
  <c r="G102" i="2"/>
  <c r="F102" i="2"/>
  <c r="E102" i="2"/>
  <c r="D102" i="2"/>
  <c r="C102" i="2"/>
  <c r="M101" i="2"/>
  <c r="H101" i="2"/>
  <c r="G101" i="2"/>
  <c r="F101" i="2"/>
  <c r="E101" i="2"/>
  <c r="D101" i="2"/>
  <c r="C101" i="2"/>
  <c r="M100" i="2"/>
  <c r="H100" i="2"/>
  <c r="G100" i="2"/>
  <c r="F100" i="2"/>
  <c r="E100" i="2"/>
  <c r="D100" i="2"/>
  <c r="C100" i="2"/>
  <c r="M99" i="2"/>
  <c r="H99" i="2"/>
  <c r="G99" i="2"/>
  <c r="F99" i="2"/>
  <c r="E99" i="2"/>
  <c r="D99" i="2"/>
  <c r="C99" i="2"/>
  <c r="M98" i="2"/>
  <c r="H98" i="2"/>
  <c r="G98" i="2"/>
  <c r="F98" i="2"/>
  <c r="E98" i="2"/>
  <c r="D98" i="2"/>
  <c r="C98" i="2"/>
  <c r="M97" i="2"/>
  <c r="H97" i="2"/>
  <c r="G97" i="2"/>
  <c r="F97" i="2"/>
  <c r="E97" i="2"/>
  <c r="D97" i="2"/>
  <c r="C97" i="2"/>
  <c r="M96" i="2"/>
  <c r="H96" i="2"/>
  <c r="G96" i="2"/>
  <c r="F96" i="2"/>
  <c r="E96" i="2"/>
  <c r="D96" i="2"/>
  <c r="C96" i="2"/>
  <c r="M95" i="2"/>
  <c r="H95" i="2"/>
  <c r="G95" i="2"/>
  <c r="F95" i="2"/>
  <c r="E95" i="2"/>
  <c r="D95" i="2"/>
  <c r="C95" i="2"/>
  <c r="H94" i="2"/>
  <c r="G94" i="2"/>
  <c r="F94" i="2"/>
  <c r="E94" i="2"/>
  <c r="D94" i="2"/>
  <c r="C94" i="2"/>
  <c r="H90" i="2"/>
  <c r="H108" i="2" s="1"/>
  <c r="G90" i="2"/>
  <c r="G108" i="2" s="1"/>
  <c r="F90" i="2"/>
  <c r="F108" i="2" s="1"/>
  <c r="E90" i="2"/>
  <c r="E108" i="2" s="1"/>
  <c r="D90" i="2"/>
  <c r="D108" i="2" s="1"/>
  <c r="C90" i="2"/>
  <c r="C108" i="2" s="1"/>
  <c r="B50" i="2"/>
  <c r="G48" i="2"/>
  <c r="B48" i="2"/>
  <c r="B49" i="2" s="1"/>
  <c r="G47" i="2"/>
  <c r="B47" i="2"/>
  <c r="E46" i="2"/>
  <c r="B43" i="2"/>
  <c r="F42" i="2"/>
  <c r="B42" i="2"/>
  <c r="B41" i="2"/>
  <c r="F40" i="2"/>
  <c r="B40" i="2"/>
  <c r="G38" i="2"/>
  <c r="F38" i="2"/>
  <c r="E38" i="2"/>
  <c r="D38" i="2"/>
  <c r="C38" i="2"/>
  <c r="B38" i="2"/>
  <c r="G37" i="2"/>
  <c r="F37" i="2"/>
  <c r="E37" i="2"/>
  <c r="D37" i="2"/>
  <c r="C37" i="2"/>
  <c r="B37" i="2"/>
  <c r="L30" i="2"/>
  <c r="E30" i="2"/>
  <c r="M29" i="2"/>
  <c r="F29" i="2"/>
  <c r="M28" i="2"/>
  <c r="F28" i="2"/>
  <c r="M27" i="2"/>
  <c r="F27" i="2"/>
  <c r="M26" i="2"/>
  <c r="F26" i="2"/>
  <c r="M25" i="2"/>
  <c r="F25" i="2"/>
  <c r="M24" i="2"/>
  <c r="F24" i="2"/>
  <c r="M23" i="2"/>
  <c r="F23" i="2"/>
  <c r="M22" i="2"/>
  <c r="F22" i="2"/>
  <c r="M21" i="2"/>
  <c r="F21" i="2"/>
  <c r="M20" i="2"/>
  <c r="F20" i="2"/>
  <c r="M19" i="2"/>
  <c r="F19" i="2"/>
  <c r="M18" i="2"/>
  <c r="M30" i="2" s="1"/>
  <c r="K30" i="2" s="1"/>
  <c r="F18" i="2"/>
  <c r="F30" i="2" s="1"/>
  <c r="D30" i="2" s="1"/>
  <c r="J12" i="2"/>
  <c r="I12" i="2"/>
  <c r="H12" i="2"/>
  <c r="G12" i="2"/>
  <c r="F12" i="2"/>
  <c r="E12" i="2"/>
  <c r="D12" i="2"/>
  <c r="C12" i="2"/>
  <c r="B12" i="2"/>
  <c r="J11" i="2"/>
  <c r="J13" i="2" s="1"/>
  <c r="I11" i="2"/>
  <c r="I13" i="2" s="1"/>
  <c r="H11" i="2"/>
  <c r="H13" i="2" s="1"/>
  <c r="G11" i="2"/>
  <c r="G13" i="2" s="1"/>
  <c r="F11" i="2"/>
  <c r="F13" i="2" s="1"/>
  <c r="E11" i="2"/>
  <c r="E13" i="2" s="1"/>
  <c r="D11" i="2"/>
  <c r="D13" i="2" s="1"/>
  <c r="C11" i="2"/>
  <c r="C13" i="2" s="1"/>
  <c r="B11" i="2"/>
  <c r="B13" i="2" s="1"/>
  <c r="H7" i="2"/>
  <c r="B46" i="2" s="1"/>
  <c r="F7" i="2"/>
  <c r="F6" i="2"/>
  <c r="B6" i="2"/>
  <c r="F5" i="2"/>
  <c r="G46" i="2" s="1"/>
  <c r="B5" i="2"/>
  <c r="F4" i="2"/>
  <c r="B4" i="2"/>
  <c r="F3" i="2"/>
  <c r="D3" i="2"/>
  <c r="B3" i="2"/>
  <c r="H2" i="2"/>
  <c r="F2" i="2"/>
  <c r="D2" i="2"/>
  <c r="B2" i="2"/>
  <c r="D84" i="2" l="1"/>
  <c r="D83" i="2"/>
  <c r="D82" i="2"/>
  <c r="D81" i="2"/>
  <c r="D79" i="2"/>
  <c r="D75" i="2"/>
  <c r="D74" i="2"/>
  <c r="D73" i="2"/>
  <c r="D72" i="2"/>
  <c r="D71" i="2"/>
  <c r="D77" i="2"/>
  <c r="E33" i="2"/>
  <c r="E48" i="2"/>
  <c r="E47" i="2"/>
  <c r="H93" i="2"/>
  <c r="G93" i="2"/>
  <c r="F93" i="2"/>
  <c r="E93" i="2"/>
  <c r="D93" i="2"/>
  <c r="C93" i="2"/>
  <c r="H92" i="2"/>
  <c r="G92" i="2"/>
  <c r="F92" i="2"/>
  <c r="E92" i="2"/>
  <c r="D92" i="2"/>
  <c r="C92" i="2"/>
  <c r="C56" i="2"/>
  <c r="D56" i="2" s="1"/>
  <c r="C55" i="2"/>
  <c r="D55" i="2" s="1"/>
  <c r="C54" i="2"/>
  <c r="D54" i="2" s="1"/>
  <c r="C49" i="2"/>
  <c r="C80" i="2"/>
  <c r="G49" i="2"/>
  <c r="C72" i="2"/>
  <c r="C50" i="2"/>
  <c r="O3" i="5"/>
  <c r="E4" i="7"/>
  <c r="G51" i="2" l="1"/>
  <c r="F80" i="2"/>
  <c r="E80" i="2"/>
  <c r="E49" i="2"/>
  <c r="D78" i="2"/>
  <c r="F33" i="2"/>
  <c r="F72" i="2"/>
  <c r="E72" i="2"/>
  <c r="F73" i="2"/>
  <c r="E73" i="2"/>
  <c r="F74" i="2"/>
  <c r="E74" i="2"/>
  <c r="C71" i="2" l="1"/>
  <c r="E51" i="2"/>
  <c r="C78" i="2"/>
  <c r="C77" i="2"/>
  <c r="C75" i="2"/>
  <c r="F68" i="2"/>
  <c r="F67" i="2"/>
  <c r="F66" i="2"/>
  <c r="F65" i="2"/>
  <c r="F64" i="2"/>
  <c r="F63" i="2"/>
  <c r="F62" i="2"/>
  <c r="F61" i="2"/>
  <c r="F60" i="2"/>
  <c r="F59" i="2"/>
  <c r="B51" i="2"/>
  <c r="F75" i="2" l="1"/>
  <c r="E75" i="2"/>
  <c r="E78" i="2"/>
  <c r="F77" i="2"/>
  <c r="F79" i="2"/>
  <c r="E79" i="2"/>
  <c r="F81" i="2"/>
  <c r="E81" i="2"/>
  <c r="F82" i="2"/>
  <c r="E82" i="2"/>
  <c r="F83" i="2"/>
  <c r="E83" i="2"/>
  <c r="F84" i="2"/>
  <c r="E84" i="2"/>
  <c r="F71" i="2"/>
  <c r="E71" i="2"/>
  <c r="E85" i="2" l="1" a="1"/>
  <c r="E85" i="2" s="1"/>
  <c r="E86" i="2" s="1"/>
  <c r="E87" i="2" s="1"/>
  <c r="F85" i="2" a="1"/>
  <c r="F85" i="2" s="1"/>
  <c r="F86" i="2" s="1"/>
  <c r="F87" i="2" s="1"/>
  <c r="H91" i="2" l="1"/>
  <c r="G91" i="2"/>
  <c r="F91" i="2"/>
  <c r="E91" i="2"/>
  <c r="D91" i="2"/>
  <c r="C91" i="2"/>
  <c r="C106" i="2" l="1"/>
  <c r="C107" i="2" s="1"/>
  <c r="D106" i="2"/>
  <c r="D107" i="2" s="1"/>
  <c r="E106" i="2"/>
  <c r="E107" i="2" s="1"/>
  <c r="F106" i="2"/>
  <c r="F107" i="2" s="1"/>
  <c r="G106" i="2"/>
  <c r="G107" i="2" s="1"/>
  <c r="H106" i="2"/>
  <c r="H107" i="2" s="1"/>
  <c r="H127" i="2" l="1"/>
  <c r="H128" i="2" s="1"/>
  <c r="H129" i="2" s="1"/>
  <c r="H130" i="2" s="1"/>
  <c r="H110" i="2"/>
  <c r="G127" i="2"/>
  <c r="G128" i="2" s="1"/>
  <c r="G129" i="2" s="1"/>
  <c r="G130" i="2" s="1"/>
  <c r="G110" i="2"/>
  <c r="F127" i="2"/>
  <c r="F128" i="2" s="1"/>
  <c r="F129" i="2" s="1"/>
  <c r="F130" i="2" s="1"/>
  <c r="F110" i="2"/>
  <c r="E127" i="2"/>
  <c r="E128" i="2" s="1"/>
  <c r="E129" i="2" s="1"/>
  <c r="E130" i="2" s="1"/>
  <c r="E110" i="2"/>
  <c r="D127" i="2"/>
  <c r="D128" i="2" s="1"/>
  <c r="D129" i="2" s="1"/>
  <c r="D130" i="2" s="1"/>
  <c r="D110" i="2"/>
  <c r="C127" i="2"/>
  <c r="C128" i="2" s="1"/>
  <c r="C129" i="2" s="1"/>
  <c r="C130" i="2" s="1"/>
  <c r="C110" i="2"/>
  <c r="C131" i="2" l="1"/>
  <c r="D131" i="2"/>
  <c r="E131" i="2"/>
  <c r="F131" i="2"/>
  <c r="G131" i="2"/>
  <c r="H131" i="2"/>
  <c r="H132" i="2" l="1"/>
  <c r="H133" i="2" s="1"/>
  <c r="G132" i="2"/>
  <c r="G133" i="2" s="1"/>
  <c r="F132" i="2"/>
  <c r="F133" i="2" s="1"/>
  <c r="E132" i="2"/>
  <c r="E133" i="2" s="1"/>
  <c r="D132" i="2"/>
  <c r="D133" i="2" s="1"/>
  <c r="C132" i="2"/>
  <c r="C133" i="2" s="1"/>
  <c r="C138" i="2" l="1"/>
  <c r="C139" i="2" s="1"/>
  <c r="C136" i="2"/>
  <c r="C135" i="2"/>
  <c r="D138" i="2"/>
  <c r="D139" i="2" s="1"/>
  <c r="D136" i="2"/>
  <c r="D135" i="2"/>
  <c r="E138" i="2"/>
  <c r="E139" i="2" s="1"/>
  <c r="E136" i="2"/>
  <c r="E135" i="2"/>
  <c r="F138" i="2"/>
  <c r="F139" i="2" s="1"/>
  <c r="F136" i="2"/>
  <c r="F135" i="2"/>
  <c r="G138" i="2"/>
  <c r="G139" i="2" s="1"/>
  <c r="G136" i="2"/>
  <c r="G135" i="2"/>
  <c r="H138" i="2"/>
  <c r="H139" i="2" s="1"/>
  <c r="H136" i="2"/>
  <c r="H135" i="2"/>
  <c r="H141" i="2" l="1"/>
  <c r="H140" i="2"/>
  <c r="G141" i="2"/>
  <c r="G140" i="2"/>
  <c r="F141" i="2"/>
  <c r="F140" i="2"/>
  <c r="E141" i="2"/>
  <c r="E140" i="2"/>
  <c r="D141" i="2"/>
  <c r="D140" i="2"/>
  <c r="C141" i="2"/>
  <c r="C14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D33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DELL:
If Alloy Rate is entered, it will considered for Return Rate. Other wise charge rate will be considered.</t>
        </r>
      </text>
    </comment>
    <comment ref="B50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DELL:
IF you want to add riser metal manually due to modification in riser then add weight here. Keep this blank to take calculated weight.</t>
        </r>
      </text>
    </comment>
    <comment ref="D80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DELL:
Enter Heat Treatment rate per Kg.</t>
        </r>
      </text>
    </comment>
    <comment ref="D85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DELL:
Enter Leak Mould %.</t>
        </r>
      </text>
    </comment>
    <comment ref="B92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9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9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9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96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98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99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100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10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102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103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10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105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DELL:
Enter Rate as per UOM</t>
        </r>
      </text>
    </comment>
    <comment ref="B139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DELL:
Enter Additional Margin %</t>
        </r>
      </text>
    </comment>
  </commentList>
</comments>
</file>

<file path=xl/sharedStrings.xml><?xml version="1.0" encoding="utf-8"?>
<sst xmlns="http://schemas.openxmlformats.org/spreadsheetml/2006/main" count="20442" uniqueCount="7474">
  <si>
    <t>SALES ENTRY FORM — Investment Casting Quotation</t>
  </si>
  <si>
    <t>Sr</t>
  </si>
  <si>
    <t>Field</t>
  </si>
  <si>
    <t>Enter Value</t>
  </si>
  <si>
    <t>Hint / Example</t>
  </si>
  <si>
    <t>SECTION 1: Part Identification</t>
  </si>
  <si>
    <t>Item Code</t>
  </si>
  <si>
    <t>30D</t>
  </si>
  <si>
    <t>e.g. 30D</t>
  </si>
  <si>
    <t>Die Code</t>
  </si>
  <si>
    <t>same as Item Code usually</t>
  </si>
  <si>
    <t>Plant</t>
  </si>
  <si>
    <t>Nasik</t>
  </si>
  <si>
    <t>Nasik / Mn</t>
  </si>
  <si>
    <t>Date</t>
  </si>
  <si>
    <t>16.09.2024</t>
  </si>
  <si>
    <t>DD.MM.YYYY</t>
  </si>
  <si>
    <t>Quotation No</t>
  </si>
  <si>
    <t>-</t>
  </si>
  <si>
    <t>Sales ref number</t>
  </si>
  <si>
    <t>Customer Type</t>
  </si>
  <si>
    <t>Existing</t>
  </si>
  <si>
    <t>Existing / Prospective</t>
  </si>
  <si>
    <t>Dom/Exp</t>
  </si>
  <si>
    <t>Domestic</t>
  </si>
  <si>
    <t>Domestic / Export</t>
  </si>
  <si>
    <t>Customer Name</t>
  </si>
  <si>
    <t>DISCOM</t>
  </si>
  <si>
    <t>Full customer name</t>
  </si>
  <si>
    <t>Supply Condition</t>
  </si>
  <si>
    <t>Machined</t>
  </si>
  <si>
    <t>Machined / UnMachined / Semi Finished</t>
  </si>
  <si>
    <t>Part Description</t>
  </si>
  <si>
    <t>Down pipe Inlet casting</t>
  </si>
  <si>
    <t>As per drawing</t>
  </si>
  <si>
    <t>Material Type</t>
  </si>
  <si>
    <t>MS</t>
  </si>
  <si>
    <t>MS / SS / Aluminium / Copper</t>
  </si>
  <si>
    <t>Drw No</t>
  </si>
  <si>
    <t>82909101</t>
  </si>
  <si>
    <t>Drawing number</t>
  </si>
  <si>
    <t>Material</t>
  </si>
  <si>
    <t>ASTM A 732 2Q</t>
  </si>
  <si>
    <t>Material specification</t>
  </si>
  <si>
    <t>UOM</t>
  </si>
  <si>
    <t>Nos</t>
  </si>
  <si>
    <t>Unit of Measure</t>
  </si>
  <si>
    <t>Batch Qty</t>
  </si>
  <si>
    <t>Annual estimated qty</t>
  </si>
  <si>
    <t>SECTION 2: Composition — Min Values</t>
  </si>
  <si>
    <t>Min C</t>
  </si>
  <si>
    <t>Min % for C</t>
  </si>
  <si>
    <t>Min Si</t>
  </si>
  <si>
    <t>Min % for Si</t>
  </si>
  <si>
    <t>Min Mn</t>
  </si>
  <si>
    <t>Min % for Mn</t>
  </si>
  <si>
    <t>Min P</t>
  </si>
  <si>
    <t>Min % for P</t>
  </si>
  <si>
    <t>Min S</t>
  </si>
  <si>
    <t>Min % for S</t>
  </si>
  <si>
    <t>Min Cr</t>
  </si>
  <si>
    <t>Min % for Cr</t>
  </si>
  <si>
    <t>Min Mo</t>
  </si>
  <si>
    <t>Min % for Mo</t>
  </si>
  <si>
    <t>Min Ni</t>
  </si>
  <si>
    <t>Min % for Ni</t>
  </si>
  <si>
    <t>Min Ti</t>
  </si>
  <si>
    <t>Min % for Ti</t>
  </si>
  <si>
    <t>SECTION 2: Composition — Max Values</t>
  </si>
  <si>
    <t>Max C</t>
  </si>
  <si>
    <t>Max % for C</t>
  </si>
  <si>
    <t>Max Si</t>
  </si>
  <si>
    <t>Max % for Si</t>
  </si>
  <si>
    <t>Max Mn</t>
  </si>
  <si>
    <t>Max % for Mn</t>
  </si>
  <si>
    <t>Max P</t>
  </si>
  <si>
    <t>Max % for P</t>
  </si>
  <si>
    <t>Max S</t>
  </si>
  <si>
    <t>Max % for S</t>
  </si>
  <si>
    <t>Max Cr</t>
  </si>
  <si>
    <t>Max % for Cr</t>
  </si>
  <si>
    <t>Max Mo</t>
  </si>
  <si>
    <t>Max % for Mo</t>
  </si>
  <si>
    <t>Max Ni</t>
  </si>
  <si>
    <t>Max % for Ni</t>
  </si>
  <si>
    <t>Max Ti</t>
  </si>
  <si>
    <t>Max % for Ti</t>
  </si>
  <si>
    <t>SECTION 3: Mechanical Properties — Min</t>
  </si>
  <si>
    <t>Min UTS</t>
  </si>
  <si>
    <t>Min value or blank</t>
  </si>
  <si>
    <t>Min 0.2% PS/YS</t>
  </si>
  <si>
    <t>Min % Elong</t>
  </si>
  <si>
    <t>Min Impact</t>
  </si>
  <si>
    <t>Min R.A.</t>
  </si>
  <si>
    <t>Min Angle Of Bend</t>
  </si>
  <si>
    <t>SECTION 3: Mechanical Properties — Max</t>
  </si>
  <si>
    <t>Max UTS</t>
  </si>
  <si>
    <t>Max value or blank</t>
  </si>
  <si>
    <t>Max 0.2% PS/YS</t>
  </si>
  <si>
    <t>Max % Elong</t>
  </si>
  <si>
    <t>Max Impact</t>
  </si>
  <si>
    <t>Max R.A.</t>
  </si>
  <si>
    <t>Max Angle Of Bend</t>
  </si>
  <si>
    <t>SECTION 4: Heat Treatment, Surface &amp; Inspection</t>
  </si>
  <si>
    <t>Heat Treatment</t>
  </si>
  <si>
    <t>Quenched &amp; Tempered</t>
  </si>
  <si>
    <t>From Drop Downs list</t>
  </si>
  <si>
    <t>Surface Treatment</t>
  </si>
  <si>
    <t>Oiling</t>
  </si>
  <si>
    <t>Hardness</t>
  </si>
  <si>
    <t>BHN/HRC value if applicable</t>
  </si>
  <si>
    <t>Additional HT</t>
  </si>
  <si>
    <t>Inspection</t>
  </si>
  <si>
    <t>UDL</t>
  </si>
  <si>
    <t>UDL / Third Party / Outsource</t>
  </si>
  <si>
    <t>Additional Hardness</t>
  </si>
  <si>
    <t>If applicable</t>
  </si>
  <si>
    <t>SECTION 5: Mould &amp; Yield Parameters</t>
  </si>
  <si>
    <t>No / Mould</t>
  </si>
  <si>
    <t>Components per mould</t>
  </si>
  <si>
    <t>Riser Type</t>
  </si>
  <si>
    <t>1X117 MOD</t>
  </si>
  <si>
    <t>Component Wax Wt (kg)</t>
  </si>
  <si>
    <t>Wax wt of 1 component</t>
  </si>
  <si>
    <t>Component Metal Wt (kg)</t>
  </si>
  <si>
    <t>Metal wt of 1 component</t>
  </si>
  <si>
    <t>Riser Metal Wt (Manual)</t>
  </si>
  <si>
    <t>Enter actual riser metal wt</t>
  </si>
  <si>
    <t>SECTION 6: Pricing &amp; Targets</t>
  </si>
  <si>
    <t>Target Price (₹/Pc)</t>
  </si>
  <si>
    <t>Customer's target price</t>
  </si>
  <si>
    <t>Currency</t>
  </si>
  <si>
    <t>INR</t>
  </si>
  <si>
    <t>INR / USD / GBP / EUR</t>
  </si>
  <si>
    <t>SECTION 7: Tooling &amp; Development Costs (₹)</t>
  </si>
  <si>
    <t>Main Die</t>
  </si>
  <si>
    <t>Main wax injection die cost</t>
  </si>
  <si>
    <t>Cavities</t>
  </si>
  <si>
    <t>1 cavities</t>
  </si>
  <si>
    <t>Number of cavities in die</t>
  </si>
  <si>
    <t>Setting Fix/Coining</t>
  </si>
  <si>
    <t>Setting fixture cost</t>
  </si>
  <si>
    <t>Riser &amp; Feed Die</t>
  </si>
  <si>
    <t>0 if not applicable</t>
  </si>
  <si>
    <t>Ceramic Core Die</t>
  </si>
  <si>
    <t>Machining Fixture</t>
  </si>
  <si>
    <t>Machining fixture cost</t>
  </si>
  <si>
    <t>Machining Gauges</t>
  </si>
  <si>
    <t>Gauges cost</t>
  </si>
  <si>
    <t>Special Tooling</t>
  </si>
  <si>
    <t>Any special tooling</t>
  </si>
  <si>
    <t>Estimation</t>
  </si>
  <si>
    <t>Date :</t>
  </si>
  <si>
    <t>Part No</t>
  </si>
  <si>
    <t>Composition</t>
  </si>
  <si>
    <t>Elements</t>
  </si>
  <si>
    <t>C</t>
  </si>
  <si>
    <t>Si</t>
  </si>
  <si>
    <t>Mn</t>
  </si>
  <si>
    <t>P</t>
  </si>
  <si>
    <t>S</t>
  </si>
  <si>
    <t>Cr</t>
  </si>
  <si>
    <t>Mo</t>
  </si>
  <si>
    <t>Ni</t>
  </si>
  <si>
    <t>Ti</t>
  </si>
  <si>
    <t>Cu</t>
  </si>
  <si>
    <t>Min</t>
  </si>
  <si>
    <t>Max</t>
  </si>
  <si>
    <t>Avg</t>
  </si>
  <si>
    <t>Charge Calculation</t>
  </si>
  <si>
    <t>Virgin Charge</t>
  </si>
  <si>
    <t>Return Charge</t>
  </si>
  <si>
    <t>Sr. No.</t>
  </si>
  <si>
    <t>Code</t>
  </si>
  <si>
    <t>Metal</t>
  </si>
  <si>
    <t>Rate</t>
  </si>
  <si>
    <t>Qty</t>
  </si>
  <si>
    <t>Value</t>
  </si>
  <si>
    <t>Fe Si</t>
  </si>
  <si>
    <t>Fe Cr 0.3%</t>
  </si>
  <si>
    <t>Fe molly</t>
  </si>
  <si>
    <t>Pu Mn</t>
  </si>
  <si>
    <t>Pu Ni</t>
  </si>
  <si>
    <t>Acti. Carbon</t>
  </si>
  <si>
    <t>FeNb</t>
  </si>
  <si>
    <t>Nitrided Cr.</t>
  </si>
  <si>
    <t>MSLC</t>
  </si>
  <si>
    <t>FeTi</t>
  </si>
  <si>
    <t>C24 Return</t>
  </si>
  <si>
    <t>Charge Rate (Virgin)</t>
  </si>
  <si>
    <t>Charge Rate (Return)</t>
  </si>
  <si>
    <t>Return Calculation</t>
  </si>
  <si>
    <t>Return Code</t>
  </si>
  <si>
    <t>Return Alloy Description</t>
  </si>
  <si>
    <t>Ret Alloy Rate</t>
  </si>
  <si>
    <t>Charge Rate</t>
  </si>
  <si>
    <t>Rate To Be considered</t>
  </si>
  <si>
    <t>Mechanical Properties</t>
  </si>
  <si>
    <t>Test</t>
  </si>
  <si>
    <t>UTS</t>
  </si>
  <si>
    <t>0.2% PS/YS</t>
  </si>
  <si>
    <t>% Elong</t>
  </si>
  <si>
    <t>Impact</t>
  </si>
  <si>
    <t>R.A.</t>
  </si>
  <si>
    <t>Angle Of Bend</t>
  </si>
  <si>
    <t>Wax</t>
  </si>
  <si>
    <t>Qunatity</t>
  </si>
  <si>
    <t>Specific Gravity</t>
  </si>
  <si>
    <t>Feed Wt.</t>
  </si>
  <si>
    <t>Riser</t>
  </si>
  <si>
    <t>Componant Wt.</t>
  </si>
  <si>
    <t>Riser Wt.</t>
  </si>
  <si>
    <t>Comp.+Feed Wt</t>
  </si>
  <si>
    <t>Yield %</t>
  </si>
  <si>
    <t>Mould Wt.</t>
  </si>
  <si>
    <t>Rejection</t>
  </si>
  <si>
    <t>Rej %</t>
  </si>
  <si>
    <t>Good Castings / Mould</t>
  </si>
  <si>
    <t>Moulds Required</t>
  </si>
  <si>
    <t>A</t>
  </si>
  <si>
    <t>B</t>
  </si>
  <si>
    <t>Tests To be Performed</t>
  </si>
  <si>
    <t>Applicable</t>
  </si>
  <si>
    <t>Sample %</t>
  </si>
  <si>
    <t>Bulk %</t>
  </si>
  <si>
    <t>Amount per PC</t>
  </si>
  <si>
    <t>Remark</t>
  </si>
  <si>
    <t>Chemical Analysis</t>
  </si>
  <si>
    <t>Yes</t>
  </si>
  <si>
    <t>Tensile Test</t>
  </si>
  <si>
    <t>Impact Test</t>
  </si>
  <si>
    <t>No</t>
  </si>
  <si>
    <t>Bend Test</t>
  </si>
  <si>
    <t>Metallography</t>
  </si>
  <si>
    <t>IGCT</t>
  </si>
  <si>
    <t>LP/DP</t>
  </si>
  <si>
    <t>Magnetic Particle</t>
  </si>
  <si>
    <t>Radiography</t>
  </si>
  <si>
    <t>Any other</t>
  </si>
  <si>
    <t>Weight</t>
  </si>
  <si>
    <t>Value With Riser Cr</t>
  </si>
  <si>
    <t>Value W/o Riser Cr</t>
  </si>
  <si>
    <t>Wax Cost</t>
  </si>
  <si>
    <t>Pattern Wax</t>
  </si>
  <si>
    <t>Riser Wax</t>
  </si>
  <si>
    <t>Water Sol Wax</t>
  </si>
  <si>
    <t>Ceramic Core</t>
  </si>
  <si>
    <t>Shell</t>
  </si>
  <si>
    <t>Shell Cost</t>
  </si>
  <si>
    <t>Metal Cost</t>
  </si>
  <si>
    <t>Return</t>
  </si>
  <si>
    <t>Mould Wt</t>
  </si>
  <si>
    <t>Return Wt</t>
  </si>
  <si>
    <t>Consumables</t>
  </si>
  <si>
    <t>Power</t>
  </si>
  <si>
    <t>Fuel</t>
  </si>
  <si>
    <t>Labour</t>
  </si>
  <si>
    <t>Overhead</t>
  </si>
  <si>
    <t>Leak mould Cost</t>
  </si>
  <si>
    <t>Total Cost</t>
  </si>
  <si>
    <t>Total Mould Cost</t>
  </si>
  <si>
    <t>Post Foundry Calculation</t>
  </si>
  <si>
    <t>With Riser Cr.</t>
  </si>
  <si>
    <t>Without Riser Cr.</t>
  </si>
  <si>
    <t>IH/OS Selection</t>
  </si>
  <si>
    <t>Cycle Time in Minutes</t>
  </si>
  <si>
    <t>IH Cost</t>
  </si>
  <si>
    <t>OS Rate</t>
  </si>
  <si>
    <t>UOM for Rate</t>
  </si>
  <si>
    <t>Rejection %</t>
  </si>
  <si>
    <t>RC Casting Cost</t>
  </si>
  <si>
    <t>Mould Fettling</t>
  </si>
  <si>
    <t>OS</t>
  </si>
  <si>
    <t>MD</t>
  </si>
  <si>
    <t>Mould Finishing</t>
  </si>
  <si>
    <t>casting setting</t>
  </si>
  <si>
    <t>casting fettling</t>
  </si>
  <si>
    <t>feed machining</t>
  </si>
  <si>
    <t>Heat punching</t>
  </si>
  <si>
    <t>IH</t>
  </si>
  <si>
    <t>Commission</t>
  </si>
  <si>
    <t>Sub Total</t>
  </si>
  <si>
    <t>Std Testing Charges</t>
  </si>
  <si>
    <t>Additional Testing Charges</t>
  </si>
  <si>
    <t>As Cast Cost</t>
  </si>
  <si>
    <t>Machining cost</t>
  </si>
  <si>
    <t>Operation</t>
  </si>
  <si>
    <t>Machine Type</t>
  </si>
  <si>
    <t>Rate / Hr</t>
  </si>
  <si>
    <t>Amount</t>
  </si>
  <si>
    <t>Complexity Factor</t>
  </si>
  <si>
    <t>Manual Amount addon</t>
  </si>
  <si>
    <t>Casting Machining</t>
  </si>
  <si>
    <t>VMC</t>
  </si>
  <si>
    <t>Outsource</t>
  </si>
  <si>
    <t>From Agrawal sir</t>
  </si>
  <si>
    <t>Total cost</t>
  </si>
  <si>
    <t>Machining Rej</t>
  </si>
  <si>
    <t>Machining Cost</t>
  </si>
  <si>
    <t>Machining Charges</t>
  </si>
  <si>
    <t>Finished Casting Cost</t>
  </si>
  <si>
    <t>Add Margin</t>
  </si>
  <si>
    <t>Ex Price / Pc</t>
  </si>
  <si>
    <t>Ex Work Price in Foreign Curr</t>
  </si>
  <si>
    <t>Ex Work Rate Per Kg</t>
  </si>
  <si>
    <t>Std Packing Charges</t>
  </si>
  <si>
    <t>Quoated Sales Price</t>
  </si>
  <si>
    <t>Quoated Sales Price / Kg</t>
  </si>
  <si>
    <t>Quoated Sales Price in Foreign Curr</t>
  </si>
  <si>
    <t>Note:</t>
  </si>
  <si>
    <t>Price May vary subject to Production Stabilization</t>
  </si>
  <si>
    <t xml:space="preserve"> </t>
  </si>
  <si>
    <t>Machining Fix</t>
  </si>
  <si>
    <t>Setting Fix/coining</t>
  </si>
  <si>
    <t>Riser &amp; Feed die</t>
  </si>
  <si>
    <t>Special tooling</t>
  </si>
  <si>
    <t>Ceramic core die</t>
  </si>
  <si>
    <t>Total</t>
  </si>
  <si>
    <t xml:space="preserve">Total Dev. Cost - </t>
  </si>
  <si>
    <t>USER TRAINING GUIDE — Estimation Template</t>
  </si>
  <si>
    <t>SECTION A: Getting Started — Workflow Steps</t>
  </si>
  <si>
    <t>Step 1</t>
  </si>
  <si>
    <t>Open 'Sales Entry' sheet</t>
  </si>
  <si>
    <t>This is the ONLY sheet where you enter customer &amp; part data</t>
  </si>
  <si>
    <t>Step 2</t>
  </si>
  <si>
    <t>Fill all 7 sections in Sales Entry</t>
  </si>
  <si>
    <t>Item Code → Tooling Costs (69 fields total)</t>
  </si>
  <si>
    <t>Step 3</t>
  </si>
  <si>
    <t>Switch to 'Estimation Sheet'</t>
  </si>
  <si>
    <t>All linked cells (GREEN) auto-populate from Sales Entry</t>
  </si>
  <si>
    <t>Step 4</t>
  </si>
  <si>
    <t>Fill Charge Metals (Rows 18–28)</t>
  </si>
  <si>
    <t>Enter alloy metals, rates, quantities directly on Estimation Sheet</t>
  </si>
  <si>
    <t>Step 5</t>
  </si>
  <si>
    <t>Fill Post-Foundry Operations (Rows 89–97)</t>
  </si>
  <si>
    <t>Enter fettling, finishing, HT, sandblasting rates</t>
  </si>
  <si>
    <t>Step 6</t>
  </si>
  <si>
    <t>Fill Machining Operations (Rows 112–121)</t>
  </si>
  <si>
    <t>Enter cycle time, machine type, manual addon</t>
  </si>
  <si>
    <t>Step 7</t>
  </si>
  <si>
    <t>Review BLUE formula cells</t>
  </si>
  <si>
    <t>These auto-calculate — DO NOT EDIT</t>
  </si>
  <si>
    <t>Step 8</t>
  </si>
  <si>
    <t>Check final pricing (Rows 130–140)</t>
  </si>
  <si>
    <t>Verify Finished Casting Cost, Ex Price, Quoted Sales Price</t>
  </si>
  <si>
    <t>Step 9</t>
  </si>
  <si>
    <t>Review Tooling (Rows 147–154)</t>
  </si>
  <si>
    <t>Auto-populated from Sales Entry Section 7</t>
  </si>
  <si>
    <t>Step 10</t>
  </si>
  <si>
    <t>Print / Export for customer quotation</t>
  </si>
  <si>
    <t>Final review before sharing</t>
  </si>
  <si>
    <t>SECTION B: Color Legend — Estimation Sheet</t>
  </si>
  <si>
    <t>🟢 GREEN</t>
  </si>
  <si>
    <t>Linked from Sales Entry</t>
  </si>
  <si>
    <t>Auto-filled — DO NOT type here. Edit in Sales Entry.</t>
  </si>
  <si>
    <t>🔵 BLUE</t>
  </si>
  <si>
    <t>Formula / Auto-Calculated</t>
  </si>
  <si>
    <t>Computed by formulas — NEVER edit these cells.</t>
  </si>
  <si>
    <t>🟡 YELLOW</t>
  </si>
  <si>
    <t>Direct Input on Est Sheet</t>
  </si>
  <si>
    <t>Enter directly (charge metals, post-foundry, machining).</t>
  </si>
  <si>
    <t>⬜ WHITE</t>
  </si>
  <si>
    <t>Label / Header</t>
  </si>
  <si>
    <t>Static text — DO NOT modify.</t>
  </si>
  <si>
    <t>SECTION C: Field-by-Field Guide — Sales Entry (69 Fields)</t>
  </si>
  <si>
    <t>SECTION 1: Part Identification (15 fields)</t>
  </si>
  <si>
    <t>Unique code for the casting part</t>
  </si>
  <si>
    <t>Must match Die Code in most cases</t>
  </si>
  <si>
    <t>Wax injection die reference</t>
  </si>
  <si>
    <t>Used to track tooling</t>
  </si>
  <si>
    <t>Manufacturing plant</t>
  </si>
  <si>
    <t>Nasik or Mn — drives different cost rates</t>
  </si>
  <si>
    <t>Quotation date</t>
  </si>
  <si>
    <t>Format: DD.MM.YYYY</t>
  </si>
  <si>
    <t>Sales reference number</t>
  </si>
  <si>
    <t>Use '-' if not assigned yet</t>
  </si>
  <si>
    <t>Existing or Prospective</t>
  </si>
  <si>
    <t>Affects pricing strategy</t>
  </si>
  <si>
    <t>Domestic or Export</t>
  </si>
  <si>
    <t>Export uses foreign currency conversion</t>
  </si>
  <si>
    <t>As per PO / enquiry</t>
  </si>
  <si>
    <t>Drives machining cost section</t>
  </si>
  <si>
    <t>Part name as per drawing</t>
  </si>
  <si>
    <t>Be specific</t>
  </si>
  <si>
    <t>Drives density, shell cost, overheads</t>
  </si>
  <si>
    <t>Customer drawing reference</t>
  </si>
  <si>
    <t>Material specification / grade</t>
  </si>
  <si>
    <t>e.g. ASTM A 732 2Q</t>
  </si>
  <si>
    <t>Unit of measure</t>
  </si>
  <si>
    <t>Usually 'Nos' for castings</t>
  </si>
  <si>
    <t>Annual estimated quantity</t>
  </si>
  <si>
    <t>Drives amortization of tooling</t>
  </si>
  <si>
    <t>SECTION 2: Composition (18 fields — 9 Min + 9 Max)</t>
  </si>
  <si>
    <t>Min/Max C, Si, Mn...</t>
  </si>
  <si>
    <t>Chemical composition range</t>
  </si>
  <si>
    <t>From material spec / customer drawing</t>
  </si>
  <si>
    <t>Avg (auto)</t>
  </si>
  <si>
    <t>Auto-calculated average</t>
  </si>
  <si>
    <t>SECTION 3: Mechanical Properties (12 fields — 6 Min + 6 Max)</t>
  </si>
  <si>
    <t>Ultimate Tensile Strength</t>
  </si>
  <si>
    <t>In MPa or N/mm²</t>
  </si>
  <si>
    <t>Proof Stress / Yield Strength</t>
  </si>
  <si>
    <t>In MPa</t>
  </si>
  <si>
    <t>Percentage Elongation</t>
  </si>
  <si>
    <t>Ductility measure</t>
  </si>
  <si>
    <t>Impact value (Charpy)</t>
  </si>
  <si>
    <t>In Joules</t>
  </si>
  <si>
    <t>Reduction in Area</t>
  </si>
  <si>
    <t>Percentage</t>
  </si>
  <si>
    <t>Bend test angle</t>
  </si>
  <si>
    <t>In degrees</t>
  </si>
  <si>
    <t>SECTION 4: HT, Surface &amp; Inspection (6 fields)</t>
  </si>
  <si>
    <t>Primary heat treatment</t>
  </si>
  <si>
    <t>Select from Drop Downs sheet</t>
  </si>
  <si>
    <t>Surface finish requirement</t>
  </si>
  <si>
    <t>Oiling / Pickling / Passivation etc.</t>
  </si>
  <si>
    <t>Required hardness (BHN/HRC)</t>
  </si>
  <si>
    <t>Leave blank if not specified</t>
  </si>
  <si>
    <t>Secondary heat treatment</t>
  </si>
  <si>
    <t>Induction Hardening / Carburising etc.</t>
  </si>
  <si>
    <t>Inspection method</t>
  </si>
  <si>
    <t>UDL (in-house) / Third Party / Outsource</t>
  </si>
  <si>
    <t>Secondary hardness spec</t>
  </si>
  <si>
    <t>Leave blank if not applicable</t>
  </si>
  <si>
    <t>SECTION 5: Mould &amp; Yield (5 fields)</t>
  </si>
  <si>
    <t>Components per mould tree</t>
  </si>
  <si>
    <t>Impacts yield &amp; cost per piece</t>
  </si>
  <si>
    <t>Riser type used</t>
  </si>
  <si>
    <t>Select from Drop Downs — drives riser weight</t>
  </si>
  <si>
    <t>Component Wax Wt</t>
  </si>
  <si>
    <t>Wax weight per component (kg)</t>
  </si>
  <si>
    <t>From wax pattern study</t>
  </si>
  <si>
    <t>Component Metal Wt</t>
  </si>
  <si>
    <t>Metal weight per component (kg)</t>
  </si>
  <si>
    <t>Riser Metal Wt</t>
  </si>
  <si>
    <t>Actual riser metal weight (kg)</t>
  </si>
  <si>
    <t>Override if manual measurement available</t>
  </si>
  <si>
    <t>SECTION 6: Pricing (2 fields)</t>
  </si>
  <si>
    <t>Target Price</t>
  </si>
  <si>
    <t>Customer's target price per piece</t>
  </si>
  <si>
    <t>In ₹ — for comparison only</t>
  </si>
  <si>
    <t>Quotation currency</t>
  </si>
  <si>
    <t>SECTION 7: Tooling (8 fields)</t>
  </si>
  <si>
    <t>Wax injection die cost</t>
  </si>
  <si>
    <t>₹ — quoted separately to customer</t>
  </si>
  <si>
    <t>Drives wax injection cycle time</t>
  </si>
  <si>
    <t>Setting / coining fixture cost</t>
  </si>
  <si>
    <t>₹</t>
  </si>
  <si>
    <t>Riser &amp; feed die cost</t>
  </si>
  <si>
    <t>₹ — enter 0 if not applicable</t>
  </si>
  <si>
    <t>Ceramic core die cost</t>
  </si>
  <si>
    <t>SECTION D: Do's and Don'ts</t>
  </si>
  <si>
    <t>✅ ALWAYS enter data in 'Sales Entry' sheet for the 69 linked fields</t>
  </si>
  <si>
    <t>✅ ALWAYS fill all 7 sections before reviewing the Estimation Sheet</t>
  </si>
  <si>
    <t>✅ ALWAYS check that Plant (Nasik/Mn) is correct — it drives cost rates from Master</t>
  </si>
  <si>
    <t>✅ ALWAYS verify Material Type (MS/SS) — it drives shell cost, density, overheads</t>
  </si>
  <si>
    <t>✅ ALWAYS review Avg composition (Row 13) — auto-calculated from Min/Max</t>
  </si>
  <si>
    <t>✅ ALWAYS enter Charge Metals, Post-Foundry, and Machining DIRECTLY on Estimation Sheet</t>
  </si>
  <si>
    <t>✅ ALWAYS cross-check final price with customer's Target Price (Row 132, Col I)</t>
  </si>
  <si>
    <t>✅ ALWAYS verify Tooling Total (Row 154) = Die Total + Machining Total</t>
  </si>
  <si>
    <t>✅ USE the Drop Downs sheet for valid values (Material Type, HT, Riser, etc.)</t>
  </si>
  <si>
    <t>✅ SAVE a copy before making any structural changes</t>
  </si>
  <si>
    <t>❌ NEVER type values into GREEN cells on Estimation Sheet — use Sales Entry</t>
  </si>
  <si>
    <t>❌ NEVER edit or delete BLUE formula cells — they contain critical calculations</t>
  </si>
  <si>
    <t>❌ NEVER change labels/headers (WHITE cells) on Estimation Sheet</t>
  </si>
  <si>
    <t>❌ NEVER delete rows or columns on Estimation Sheet — breaks all formulas</t>
  </si>
  <si>
    <t>❌ NEVER rename sheets — the links reference 'Sales Entry' by name</t>
  </si>
  <si>
    <t>❌ NEVER copy-paste VALUES over formula cells — use Paste Special &gt; Formulas only</t>
  </si>
  <si>
    <t>❌ NEVER change the Master sheet without understanding downstream impact</t>
  </si>
  <si>
    <t>❌ NEVER skip Charge Metal entry (Rows 18–28) — it drives the entire metal cost</t>
  </si>
  <si>
    <t>❌ AVOID entering negative quantities — use 0 instead</t>
  </si>
  <si>
    <t>❌ AVOID leaving Batch Qty as 0 — causes #DIV/0! errors in per-piece calculations</t>
  </si>
  <si>
    <t>SECTION E: Estimation Sheet — Direct Edit Areas</t>
  </si>
  <si>
    <t>Charge Metals</t>
  </si>
  <si>
    <t>Location: Rows 18–28</t>
  </si>
  <si>
    <t>Enter alloy code, metal name, rate/kg, qty/100kg for Virgin &amp; Return charge</t>
  </si>
  <si>
    <t>Post-Foundry Ops</t>
  </si>
  <si>
    <t>Location: Rows 89–97</t>
  </si>
  <si>
    <t>Enter operation name, rate, IH/OS flag for fettling, finishing, HT, etc.</t>
  </si>
  <si>
    <t>Machining Ops</t>
  </si>
  <si>
    <t>Location: Rows 112–121</t>
  </si>
  <si>
    <t>Enter operation, cycle time, machine type, manual addon for each machining step</t>
  </si>
  <si>
    <t>Testing Charges</t>
  </si>
  <si>
    <t>Location: Rows 59–68</t>
  </si>
  <si>
    <t>Enter sample%, bulk%, rate for each test (Chemical, Tensile, Impact, etc.)</t>
  </si>
  <si>
    <t>Location: Rows 54–56</t>
  </si>
  <si>
    <t>Standard: 15%, 20%, 25% — adjust only if process data supports change</t>
  </si>
  <si>
    <t>Cost Factors</t>
  </si>
  <si>
    <t>Location: Row 73–74, 80, 85</t>
  </si>
  <si>
    <t>Water-sol wax, ceramic core usage, HT rate, leak test % — plant-specific</t>
  </si>
  <si>
    <t>Pricing Overrides</t>
  </si>
  <si>
    <t>Location: Row 127–128, 139</t>
  </si>
  <si>
    <t>Machining Rej%, Overhead%, Quoted base — change with approval only</t>
  </si>
  <si>
    <t>SECTION F: Formula Protection Rules</t>
  </si>
  <si>
    <t>363 formula cells</t>
  </si>
  <si>
    <t>All auto-calc cells on Estimation Sheet</t>
  </si>
  <si>
    <t>NEVER edit — marked in BLUE</t>
  </si>
  <si>
    <t>Metal Cost formula</t>
  </si>
  <si>
    <t>Row 29: Charge Rate = Σ(Rate × Qty)</t>
  </si>
  <si>
    <t>Drives entire costing — DO NOT touch</t>
  </si>
  <si>
    <t>Yield Calculations</t>
  </si>
  <si>
    <t>Rows 50–53: Mould Wt, Yield %, Return Wt</t>
  </si>
  <si>
    <t>Linked to mould parameters — auto</t>
  </si>
  <si>
    <t>Cost Build-Up</t>
  </si>
  <si>
    <t>Rows 70–87: Metal, Wax, Shell, OH, Labour</t>
  </si>
  <si>
    <t>Multi-scenario (15/20/25% rej) — auto</t>
  </si>
  <si>
    <t>Post-Foundry Totals</t>
  </si>
  <si>
    <t>Rows 98–109: Sub-totals, As-Cast Cost</t>
  </si>
  <si>
    <t>Summation formulas — DO NOT edit</t>
  </si>
  <si>
    <t>Rows 126–130: Rej, OH, Total Machining</t>
  </si>
  <si>
    <t>Drives Finished Casting Cost — auto</t>
  </si>
  <si>
    <t>Final Pricing</t>
  </si>
  <si>
    <t>Rows 132–140: Ex Price, Rate/Kg, Quoted</t>
  </si>
  <si>
    <t>Final output formulas — auto</t>
  </si>
  <si>
    <t>Dev Cost Total</t>
  </si>
  <si>
    <t>Row 154: Total Dev Cost</t>
  </si>
  <si>
    <t>SECTION G: Troubleshooting Common Issues</t>
  </si>
  <si>
    <t>#REF! error</t>
  </si>
  <si>
    <t>Cause: A linked cell reference is broken</t>
  </si>
  <si>
    <t>Fix: Check Sales Entry sheet name hasn't changed; re-enter the value</t>
  </si>
  <si>
    <t>#DIV/0! error</t>
  </si>
  <si>
    <t>Cause: Division by zero</t>
  </si>
  <si>
    <t>Fix: Ensure Batch Qty &gt; 0, No/Mould &gt; 0, Component Metal Wt &gt; 0</t>
  </si>
  <si>
    <t>#VALUE! error</t>
  </si>
  <si>
    <t>Cause: Text entered in a numeric field</t>
  </si>
  <si>
    <t>Fix: Check Sales Entry — ensure numeric fields have numbers, not text</t>
  </si>
  <si>
    <t>GREEN cell shows 0</t>
  </si>
  <si>
    <t>Cause: Sales Entry field is empty or 0</t>
  </si>
  <si>
    <t>Fix: Go to Sales Entry and fill the missing field</t>
  </si>
  <si>
    <t>Avg row (13) shows blank</t>
  </si>
  <si>
    <t>Cause: Min and Max are both empty</t>
  </si>
  <si>
    <t>Fix: Enter composition Min/Max in Sales Entry Section 2</t>
  </si>
  <si>
    <t>Pricing looks wrong</t>
  </si>
  <si>
    <t>Cause: Charge metals not entered</t>
  </si>
  <si>
    <t>Fix: Fill Rows 18–28 with correct alloy rates and quantities</t>
  </si>
  <si>
    <t>Machining cost = 0</t>
  </si>
  <si>
    <t>Cause: No machining operations entered</t>
  </si>
  <si>
    <t>Fix: Fill Rows 112–121 with operation details</t>
  </si>
  <si>
    <t>Tooling total mismatch</t>
  </si>
  <si>
    <t>Cause: Die or machining costs missing</t>
  </si>
  <si>
    <t>Fix: Check Sales Entry Section 7 — all 8 fields</t>
  </si>
  <si>
    <t>Wrong OH/Labour rates</t>
  </si>
  <si>
    <t>Cause: Plant selection incorrect</t>
  </si>
  <si>
    <t>Fix: Verify Plant = Nasik or Mn in Sales Entry (drives Master rates)</t>
  </si>
  <si>
    <t>Currency conversion off</t>
  </si>
  <si>
    <t>Cause: Exchange rate outdated</t>
  </si>
  <si>
    <t>Fix: Update Exchange Rate sheet with current rates</t>
  </si>
  <si>
    <t>Density</t>
  </si>
  <si>
    <t>Yes/No</t>
  </si>
  <si>
    <t xml:space="preserve">Inspection </t>
  </si>
  <si>
    <t>Riser Weight</t>
  </si>
  <si>
    <t>Geography</t>
  </si>
  <si>
    <t>Metal Code</t>
  </si>
  <si>
    <t>Mechanical Prop</t>
  </si>
  <si>
    <t>IH/OS</t>
  </si>
  <si>
    <t>Charge Type</t>
  </si>
  <si>
    <t>Machining Operations</t>
  </si>
  <si>
    <t>Machine Category</t>
  </si>
  <si>
    <t>Post Foundry Operations</t>
  </si>
  <si>
    <t>UOM of Operation</t>
  </si>
  <si>
    <t>Induction Hardening</t>
  </si>
  <si>
    <t>Pickling</t>
  </si>
  <si>
    <t>Annealing</t>
  </si>
  <si>
    <t>Star Riser</t>
  </si>
  <si>
    <t>Carbon</t>
  </si>
  <si>
    <t>Virgin</t>
  </si>
  <si>
    <t>EC 300</t>
  </si>
  <si>
    <t>HMC</t>
  </si>
  <si>
    <t>SS</t>
  </si>
  <si>
    <t>Prospective</t>
  </si>
  <si>
    <t>Hardening &amp; Tempering</t>
  </si>
  <si>
    <t>UnMachined</t>
  </si>
  <si>
    <t>Passivation</t>
  </si>
  <si>
    <t>Hardening</t>
  </si>
  <si>
    <t>Third Party</t>
  </si>
  <si>
    <t>3V Full</t>
  </si>
  <si>
    <t>Export</t>
  </si>
  <si>
    <t>Silicon</t>
  </si>
  <si>
    <t>Casting Drilling</t>
  </si>
  <si>
    <t>EC 400 - 1</t>
  </si>
  <si>
    <t>Aluminium</t>
  </si>
  <si>
    <t>Carburising</t>
  </si>
  <si>
    <t>Semi Finished</t>
  </si>
  <si>
    <t>Bath Nitrating</t>
  </si>
  <si>
    <t>Normalising</t>
  </si>
  <si>
    <t>6T</t>
  </si>
  <si>
    <t>Chrome</t>
  </si>
  <si>
    <t>Casting Milling</t>
  </si>
  <si>
    <t>EC 400 - 2</t>
  </si>
  <si>
    <t>Casting Fettling</t>
  </si>
  <si>
    <t>NO</t>
  </si>
  <si>
    <t xml:space="preserve">Hardening  </t>
  </si>
  <si>
    <t>Electroplating</t>
  </si>
  <si>
    <t>Solution Annealing</t>
  </si>
  <si>
    <t>5T spl+1</t>
  </si>
  <si>
    <t>Mangenese</t>
  </si>
  <si>
    <t>Casting Tapping</t>
  </si>
  <si>
    <t>VF 2 - 1</t>
  </si>
  <si>
    <t>Casting Sandblasting</t>
  </si>
  <si>
    <t>Copper</t>
  </si>
  <si>
    <t>Nitriding</t>
  </si>
  <si>
    <t>Tempering</t>
  </si>
  <si>
    <t>5T-spl New</t>
  </si>
  <si>
    <t>Phosperous</t>
  </si>
  <si>
    <t>Casting Deburing</t>
  </si>
  <si>
    <t>VF 2 - 2</t>
  </si>
  <si>
    <t>Casting Rework</t>
  </si>
  <si>
    <t>Sand Blast</t>
  </si>
  <si>
    <t>Case Carburising &amp; Tempering</t>
  </si>
  <si>
    <t>26E190 Riser</t>
  </si>
  <si>
    <t>Sulpher</t>
  </si>
  <si>
    <t>VF 2 - 3</t>
  </si>
  <si>
    <t>Casting Pickling</t>
  </si>
  <si>
    <t>KG</t>
  </si>
  <si>
    <t>SS.TUMBLAST &amp; OILING</t>
  </si>
  <si>
    <t>Austempering</t>
  </si>
  <si>
    <t>5T SPL Modified</t>
  </si>
  <si>
    <t>Nickel</t>
  </si>
  <si>
    <t>VF 2 - 4</t>
  </si>
  <si>
    <t>Casting Passivation</t>
  </si>
  <si>
    <t>Pickling &amp; Passivation</t>
  </si>
  <si>
    <t>Normalising &amp; Tempering</t>
  </si>
  <si>
    <t>29N01</t>
  </si>
  <si>
    <t>VF 2 - 5</t>
  </si>
  <si>
    <t>Casting Setting</t>
  </si>
  <si>
    <t>Normalising, Case Carburizing &amp; Tempering</t>
  </si>
  <si>
    <t>VF 4 - 1</t>
  </si>
  <si>
    <t>Casting Heat Treatment</t>
  </si>
  <si>
    <t>Solution Annealing, Homogenization &amp; Precipitation Hardening.</t>
  </si>
  <si>
    <t>V5</t>
  </si>
  <si>
    <t>N</t>
  </si>
  <si>
    <t>MAKINO 01</t>
  </si>
  <si>
    <t>MAKINO</t>
  </si>
  <si>
    <t>Casting Induction Hardening</t>
  </si>
  <si>
    <t>As cast</t>
  </si>
  <si>
    <t>Y SHAPE RISER</t>
  </si>
  <si>
    <t>MAKINO 02</t>
  </si>
  <si>
    <t>Casting Packing</t>
  </si>
  <si>
    <t>Star Riser New</t>
  </si>
  <si>
    <t>MAKINO 03</t>
  </si>
  <si>
    <t>Feed machining</t>
  </si>
  <si>
    <t>Normalising, Hardening &amp; Tempering</t>
  </si>
  <si>
    <t>8T</t>
  </si>
  <si>
    <t>LMW 01</t>
  </si>
  <si>
    <t>LMW</t>
  </si>
  <si>
    <t>Normalized OS</t>
  </si>
  <si>
    <t>New Riser</t>
  </si>
  <si>
    <t>LMW 02</t>
  </si>
  <si>
    <t>Hardening Tempering OS</t>
  </si>
  <si>
    <t>26E59 RISER</t>
  </si>
  <si>
    <t>ACE SUPER JOBBER</t>
  </si>
  <si>
    <t>ACE</t>
  </si>
  <si>
    <t>NA</t>
  </si>
  <si>
    <t>ACE JR 300-1</t>
  </si>
  <si>
    <t>V5 Long</t>
  </si>
  <si>
    <t>ACE JR 300-2</t>
  </si>
  <si>
    <t>Casting pressure testing</t>
  </si>
  <si>
    <t>22F40 MODIFIED</t>
  </si>
  <si>
    <t>VMC 350 - 1</t>
  </si>
  <si>
    <t>AMS VMC</t>
  </si>
  <si>
    <t>7T</t>
  </si>
  <si>
    <t>VMC 350 - 2</t>
  </si>
  <si>
    <t>VMC 350 - 3</t>
  </si>
  <si>
    <t>VMC 400 - 1</t>
  </si>
  <si>
    <t>Machine Name</t>
  </si>
  <si>
    <t>Machine Description</t>
  </si>
  <si>
    <t>Depreciation</t>
  </si>
  <si>
    <t>Maintenance</t>
  </si>
  <si>
    <t>Maintenance Spares</t>
  </si>
  <si>
    <t>AMC Cost</t>
  </si>
  <si>
    <t>Any Other Cost</t>
  </si>
  <si>
    <t>Total M/c Hours Available</t>
  </si>
  <si>
    <t>Machine</t>
  </si>
  <si>
    <t>Type</t>
  </si>
  <si>
    <t>Make</t>
  </si>
  <si>
    <t xml:space="preserve">Kw Each per Hour </t>
  </si>
  <si>
    <t> KW Total per Hour</t>
  </si>
  <si>
    <t>EC- 400  /300</t>
  </si>
  <si>
    <t>HAAS</t>
  </si>
  <si>
    <t xml:space="preserve">VF - 2 </t>
  </si>
  <si>
    <t>VF- 2 I &amp; VF - 4 I</t>
  </si>
  <si>
    <t>Makino Slim -3</t>
  </si>
  <si>
    <t>Makino</t>
  </si>
  <si>
    <t xml:space="preserve">LMW </t>
  </si>
  <si>
    <t>Turning Center</t>
  </si>
  <si>
    <t>MCV -350</t>
  </si>
  <si>
    <t>MCV -400</t>
  </si>
  <si>
    <t>Super Jobber</t>
  </si>
  <si>
    <t>Junior Jobber</t>
  </si>
  <si>
    <t>J300 LM</t>
  </si>
  <si>
    <t>Total KW</t>
  </si>
  <si>
    <t xml:space="preserve">Utility </t>
  </si>
  <si>
    <t xml:space="preserve">Type </t>
  </si>
  <si>
    <t xml:space="preserve">Make </t>
  </si>
  <si>
    <t xml:space="preserve">Kw Each </t>
  </si>
  <si>
    <t xml:space="preserve"> KW Total </t>
  </si>
  <si>
    <t xml:space="preserve">Air Compressor </t>
  </si>
  <si>
    <t xml:space="preserve">Screw </t>
  </si>
  <si>
    <t xml:space="preserve">Atlas Copco </t>
  </si>
  <si>
    <t xml:space="preserve">Illumination </t>
  </si>
  <si>
    <t xml:space="preserve">T/Lights </t>
  </si>
  <si>
    <t xml:space="preserve">Phillips </t>
  </si>
  <si>
    <t>AC (5.5TR x 6Nos)</t>
  </si>
  <si>
    <t>Ductable split</t>
  </si>
  <si>
    <t>Voltas</t>
  </si>
  <si>
    <t>Shell Rate</t>
  </si>
  <si>
    <t xml:space="preserve">    20300STR</t>
  </si>
  <si>
    <t xml:space="preserve">    20200STR</t>
  </si>
  <si>
    <t>Pattern Batch Regular  KG</t>
  </si>
  <si>
    <t>Erp Code</t>
  </si>
  <si>
    <t>RD053</t>
  </si>
  <si>
    <t>0111014</t>
  </si>
  <si>
    <t>RD001</t>
  </si>
  <si>
    <t>0111001</t>
  </si>
  <si>
    <t xml:space="preserve">To calculate Overhead for Wax </t>
  </si>
  <si>
    <t>RD020</t>
  </si>
  <si>
    <t>0111006</t>
  </si>
  <si>
    <t>1. Labour required</t>
  </si>
  <si>
    <t>RD105</t>
  </si>
  <si>
    <t>0111052</t>
  </si>
  <si>
    <t>2. Power Required</t>
  </si>
  <si>
    <t>RD011</t>
  </si>
  <si>
    <t>0111004</t>
  </si>
  <si>
    <t>3. Depreciation</t>
  </si>
  <si>
    <t>Reclaimed Wax</t>
  </si>
  <si>
    <t>RD072/RD304</t>
  </si>
  <si>
    <t>0111022</t>
  </si>
  <si>
    <t>For 3M</t>
  </si>
  <si>
    <t>Only for specific codes - Spinner, Impeller</t>
  </si>
  <si>
    <t>Pattern Batch 26E serries KG</t>
  </si>
  <si>
    <t>RD072</t>
  </si>
  <si>
    <t>RD 304</t>
  </si>
  <si>
    <t>0111073</t>
  </si>
  <si>
    <t>TOTAL</t>
  </si>
  <si>
    <t>Riser Batch KG</t>
  </si>
  <si>
    <t>RECLAIM WAX</t>
  </si>
  <si>
    <t>FILTER WAX</t>
  </si>
  <si>
    <t>RD 001</t>
  </si>
  <si>
    <t>RD 011</t>
  </si>
  <si>
    <t>Reclaim Batch Kg</t>
  </si>
  <si>
    <t>SETTELED WAX/FILTERED WAX</t>
  </si>
  <si>
    <t>Any Other</t>
  </si>
  <si>
    <t>Curr</t>
  </si>
  <si>
    <t>USD</t>
  </si>
  <si>
    <t>GBP</t>
  </si>
  <si>
    <t>EUR</t>
  </si>
  <si>
    <t>Avg Std Mld Wt</t>
  </si>
  <si>
    <t>Per Mould</t>
  </si>
  <si>
    <t>Mould Wt in Kg</t>
  </si>
  <si>
    <t xml:space="preserve">Actual </t>
  </si>
  <si>
    <t>Per Kg</t>
  </si>
  <si>
    <t>Meting Loss</t>
  </si>
  <si>
    <t>Margin %</t>
  </si>
  <si>
    <t>Enter in % e.g. for 13 % enter "13%"</t>
  </si>
  <si>
    <t>Metal Rate Fluctuation</t>
  </si>
  <si>
    <t>Machine Shop</t>
  </si>
  <si>
    <t>Total Amount</t>
  </si>
  <si>
    <t>Per Hr Rate</t>
  </si>
  <si>
    <t>Time Available</t>
  </si>
  <si>
    <t>B/p GL</t>
  </si>
  <si>
    <t>Opening Stock</t>
  </si>
  <si>
    <t>RECEIPT</t>
  </si>
  <si>
    <t>SIR</t>
  </si>
  <si>
    <t>IGR</t>
  </si>
  <si>
    <t>SALES</t>
  </si>
  <si>
    <t>TRASNFER</t>
  </si>
  <si>
    <t>Other Tran</t>
  </si>
  <si>
    <t>Closing Stock</t>
  </si>
  <si>
    <t>Branch Plant</t>
  </si>
  <si>
    <t>From Date</t>
  </si>
  <si>
    <t>To Date</t>
  </si>
  <si>
    <t>Description</t>
  </si>
  <si>
    <t>'001T0128D</t>
  </si>
  <si>
    <t>1T128 FOUR CAVITY WAX INJ.</t>
  </si>
  <si>
    <t>TLL</t>
  </si>
  <si>
    <t>'001T0155D</t>
  </si>
  <si>
    <t>1T155 FOUR CAVITY WAX INJE.</t>
  </si>
  <si>
    <t>'001T0156D</t>
  </si>
  <si>
    <t>1T156 FOUR CAVITY WAX MOULD</t>
  </si>
  <si>
    <t>'001T0162D</t>
  </si>
  <si>
    <t>1T162 FOUR CAVITY WAX INJE.</t>
  </si>
  <si>
    <t>'001T0165D</t>
  </si>
  <si>
    <t>1T165/138 TWO CAVITY WAX INJ.</t>
  </si>
  <si>
    <t>'001T0196D</t>
  </si>
  <si>
    <t>1T196 TWO CAVITY WAX INJ.MOULD</t>
  </si>
  <si>
    <t>'001T0199D</t>
  </si>
  <si>
    <t>1T199 TWO CAVITY WAX INJECTION</t>
  </si>
  <si>
    <t>'001T0200D</t>
  </si>
  <si>
    <t>1T200 TWO CAVITY WAX INJ. DIE</t>
  </si>
  <si>
    <t>'001T0203D</t>
  </si>
  <si>
    <t>1T203 TWO CAVITY WAX INJECTION</t>
  </si>
  <si>
    <t>'001T0204D</t>
  </si>
  <si>
    <t>1T204 TWO CAVITY WAX INJECTION</t>
  </si>
  <si>
    <t>'001T0205D</t>
  </si>
  <si>
    <t>1T205 TWO CAVITY WAX INJECTION</t>
  </si>
  <si>
    <t>'001T0210D</t>
  </si>
  <si>
    <t>1T210 SINGLE CAVITY WAX INJ.</t>
  </si>
  <si>
    <t>'001T0210RD</t>
  </si>
  <si>
    <t>1T210 RISER MOULD WITH</t>
  </si>
  <si>
    <t>'001T0213D</t>
  </si>
  <si>
    <t>1T213 TWO CAVITY WAX INJECTION</t>
  </si>
  <si>
    <t>'001T0214D</t>
  </si>
  <si>
    <t>1T214 TWO CAVITY WAX INJECTION</t>
  </si>
  <si>
    <t>'001TC207</t>
  </si>
  <si>
    <t>CERAMIC CORE 2T207</t>
  </si>
  <si>
    <t>CONS</t>
  </si>
  <si>
    <t>'002T0040D</t>
  </si>
  <si>
    <t>2T40 MAIN DIE</t>
  </si>
  <si>
    <t>'002T0052D</t>
  </si>
  <si>
    <t>2T52 TWO CAVITY WAX MOULD</t>
  </si>
  <si>
    <t>'002T0053D</t>
  </si>
  <si>
    <t>2T53 TWO CAVITY WAX MOULD</t>
  </si>
  <si>
    <t>'002T0054D</t>
  </si>
  <si>
    <t>2T54 TWO CAVITY WAX MOULD</t>
  </si>
  <si>
    <t>'002T0055D</t>
  </si>
  <si>
    <t>2T55 TWO CAVITY WAX MOULD</t>
  </si>
  <si>
    <t>'002T0056D</t>
  </si>
  <si>
    <t>2T56 TWO CAVITY WAX MOULD</t>
  </si>
  <si>
    <t>'002T0057CD</t>
  </si>
  <si>
    <t>2T57 TWO CAVITY WAX CHILL</t>
  </si>
  <si>
    <t>'002T0057D</t>
  </si>
  <si>
    <t>2T57 TWO CAVITY WAX MAIN</t>
  </si>
  <si>
    <t>'002T0058D</t>
  </si>
  <si>
    <t>2T58 TWO CAVITY WAX MOULD</t>
  </si>
  <si>
    <t>'003Y0026D</t>
  </si>
  <si>
    <t>3Y26 SINGLE CAVITY WAX</t>
  </si>
  <si>
    <t>'003Y0032</t>
  </si>
  <si>
    <t>DISCONNECTOR CAM</t>
  </si>
  <si>
    <t>TRAD</t>
  </si>
  <si>
    <t>'003Y0035</t>
  </si>
  <si>
    <t>ISOLATER EYE BOLT</t>
  </si>
  <si>
    <t>'003Y0042D</t>
  </si>
  <si>
    <t>3Y42 FOUR CAVITY WAX INJECTION</t>
  </si>
  <si>
    <t>'007U0599D</t>
  </si>
  <si>
    <t>7U599 TWO CAVITY WAX INJECTION</t>
  </si>
  <si>
    <t>'0101002</t>
  </si>
  <si>
    <t>ALUMINIUM  SCRAP</t>
  </si>
  <si>
    <t>RMFL</t>
  </si>
  <si>
    <t>'0101007</t>
  </si>
  <si>
    <t>BISMUTH  ( LOCAL ]</t>
  </si>
  <si>
    <t>'0101013</t>
  </si>
  <si>
    <t>CHROMIUM   ( INDIGENOUS )</t>
  </si>
  <si>
    <t>'0101015</t>
  </si>
  <si>
    <t>COBALT CATHODE- INDO NATIONAL</t>
  </si>
  <si>
    <t>'0101017</t>
  </si>
  <si>
    <t>COPPER SCRAP  ( RETURNS )</t>
  </si>
  <si>
    <t>RMFR</t>
  </si>
  <si>
    <t>'0101019</t>
  </si>
  <si>
    <t>COPPER SCRAP  (PURCHASES)</t>
  </si>
  <si>
    <t>'0101021</t>
  </si>
  <si>
    <t>FERRO SILICO CALCIUM</t>
  </si>
  <si>
    <t>'0101059</t>
  </si>
  <si>
    <t>MANGANESE METAL</t>
  </si>
  <si>
    <t>'0101061</t>
  </si>
  <si>
    <t>MOLYBDENUM</t>
  </si>
  <si>
    <t>'0101066</t>
  </si>
  <si>
    <t>NICKEL BRIQUTTIES LOCAL</t>
  </si>
  <si>
    <t>'0101068</t>
  </si>
  <si>
    <t>NICKEL 4"X4"</t>
  </si>
  <si>
    <t>'0101071</t>
  </si>
  <si>
    <t>NICKEL CATHODE 1"X1" SQUARE</t>
  </si>
  <si>
    <t>'0101085</t>
  </si>
  <si>
    <t>SELLINIUM (PURCHASE &amp;RETURNS)</t>
  </si>
  <si>
    <t>'0101090</t>
  </si>
  <si>
    <t>TIN [ LOCAL ]</t>
  </si>
  <si>
    <t>'0101093</t>
  </si>
  <si>
    <t>PURE TUNGSTON</t>
  </si>
  <si>
    <t>'0101105</t>
  </si>
  <si>
    <t>AL.STRONSIUM</t>
  </si>
  <si>
    <t>'0101142</t>
  </si>
  <si>
    <t>EXTRA LOW CARBON M.S.SCRAP</t>
  </si>
  <si>
    <t>'0101158</t>
  </si>
  <si>
    <t>PURE IRON FLAKES  C-0.01%</t>
  </si>
  <si>
    <t>'0101179</t>
  </si>
  <si>
    <t>ALLUMINIUM PLATE 6082T6</t>
  </si>
  <si>
    <t>RMTL</t>
  </si>
  <si>
    <t>'0101184</t>
  </si>
  <si>
    <t>RM4 INGOT</t>
  </si>
  <si>
    <t>RMFI</t>
  </si>
  <si>
    <t>'0101185</t>
  </si>
  <si>
    <t>RM4 REVERT</t>
  </si>
  <si>
    <t>'0101188</t>
  </si>
  <si>
    <t>PURE IRON BRIQUETS</t>
  </si>
  <si>
    <t>'0101190</t>
  </si>
  <si>
    <t>'0102002</t>
  </si>
  <si>
    <t>FERRO BORON</t>
  </si>
  <si>
    <t>'0102012</t>
  </si>
  <si>
    <t>FERRO CHROME L. C. .03C</t>
  </si>
  <si>
    <t>'0102017</t>
  </si>
  <si>
    <t>FERRO CHROME L.C. 0.1C</t>
  </si>
  <si>
    <t>'0102034</t>
  </si>
  <si>
    <t>IRON SULPHIDE</t>
  </si>
  <si>
    <t>'0102047</t>
  </si>
  <si>
    <t>FERRO MANGANES M.C</t>
  </si>
  <si>
    <t>'0102048</t>
  </si>
  <si>
    <t>FERRO MOLYBDENUM</t>
  </si>
  <si>
    <t>'0102049</t>
  </si>
  <si>
    <t>HIGH CARBON FERRO MANGANES</t>
  </si>
  <si>
    <t>'0102056</t>
  </si>
  <si>
    <t>FERRO NOIBIUM</t>
  </si>
  <si>
    <t>'0102061</t>
  </si>
  <si>
    <t>SILICON METAL</t>
  </si>
  <si>
    <t>'0102074</t>
  </si>
  <si>
    <t>FERRO SILICON</t>
  </si>
  <si>
    <t>'0102075</t>
  </si>
  <si>
    <t>FERRO SILICON MEGNESIUM</t>
  </si>
  <si>
    <t>'0102076</t>
  </si>
  <si>
    <t>FERRO SILICON ZIRCONIUM(OBSOL)</t>
  </si>
  <si>
    <t>'0102084</t>
  </si>
  <si>
    <t>FERRO TITANIUM</t>
  </si>
  <si>
    <t>'0102093</t>
  </si>
  <si>
    <t>FERRO VANADIUM</t>
  </si>
  <si>
    <t>'0102097</t>
  </si>
  <si>
    <t>NITROGENETED FERRO CHROME</t>
  </si>
  <si>
    <t>'0102098</t>
  </si>
  <si>
    <t>INOKSB2 INNOCULANT</t>
  </si>
  <si>
    <t>'0102099</t>
  </si>
  <si>
    <t>CARBUKAST SUPER</t>
  </si>
  <si>
    <t>'0104004</t>
  </si>
  <si>
    <t>AISI - 310  (RETURNS)</t>
  </si>
  <si>
    <t>'0104005</t>
  </si>
  <si>
    <t>AISI 316L PURCHASE</t>
  </si>
  <si>
    <t>'0104009</t>
  </si>
  <si>
    <t>AISI - 410 ( RETURNS )(CA-15/)</t>
  </si>
  <si>
    <t>'0104012</t>
  </si>
  <si>
    <t>AISI - 420/CA 40 (RET)</t>
  </si>
  <si>
    <t>'0104013</t>
  </si>
  <si>
    <t>AISI - 430  SCRAP</t>
  </si>
  <si>
    <t>'0104017</t>
  </si>
  <si>
    <t>AISI 410 PURE ( PURCHASES )</t>
  </si>
  <si>
    <t>'0104019</t>
  </si>
  <si>
    <t>MELTING SCRAP OF SS 316</t>
  </si>
  <si>
    <t>'0104021</t>
  </si>
  <si>
    <t>AISI - 8615 / 8620 RETURNS</t>
  </si>
  <si>
    <t>'0104031</t>
  </si>
  <si>
    <t>3U5 ASTMA A297 GRH</t>
  </si>
  <si>
    <t>'0104033</t>
  </si>
  <si>
    <t>CA6NM/HY19593VAR/RW2/DIN1.7445</t>
  </si>
  <si>
    <t>'0104042</t>
  </si>
  <si>
    <t>BS 3146 CLA 12 A</t>
  </si>
  <si>
    <t>'0104047</t>
  </si>
  <si>
    <t>PIG IRON  GRADE-FG-25 GRADE</t>
  </si>
  <si>
    <t>'0104050</t>
  </si>
  <si>
    <t>EN 19 / DIN 1.7218</t>
  </si>
  <si>
    <t>'0104051</t>
  </si>
  <si>
    <t>CAST IRON  (RETURNS)</t>
  </si>
  <si>
    <t>'0104052</t>
  </si>
  <si>
    <t>CAST IRON SPL. ALLOY(4B2 RET.)</t>
  </si>
  <si>
    <t>'0104055</t>
  </si>
  <si>
    <t>CD 4 MCU</t>
  </si>
  <si>
    <t>'0104057</t>
  </si>
  <si>
    <t>CF 3M</t>
  </si>
  <si>
    <t>'0104058</t>
  </si>
  <si>
    <t>CF-8 PURCHASE</t>
  </si>
  <si>
    <t>'0104059</t>
  </si>
  <si>
    <t>CF8 SCRAP ( RETURNS )</t>
  </si>
  <si>
    <t>'0104060</t>
  </si>
  <si>
    <t>CF8M (AISI 316L RETURNS)</t>
  </si>
  <si>
    <t>'0104068</t>
  </si>
  <si>
    <t>DIN-1.4581</t>
  </si>
  <si>
    <t>'0104075</t>
  </si>
  <si>
    <t>DIN 1.4460 (7U76) RETURNS</t>
  </si>
  <si>
    <t>'0104077</t>
  </si>
  <si>
    <t>EN 3A SCRAP RETURNS (W.C.B.)</t>
  </si>
  <si>
    <t>'0104079</t>
  </si>
  <si>
    <t>EN 8</t>
  </si>
  <si>
    <t>'0104080</t>
  </si>
  <si>
    <t>EN 9</t>
  </si>
  <si>
    <t>'0104082</t>
  </si>
  <si>
    <t>DIN 1.7225 (7U128)</t>
  </si>
  <si>
    <t>'0104098</t>
  </si>
  <si>
    <t>DIN 1.4112</t>
  </si>
  <si>
    <t>'0104099</t>
  </si>
  <si>
    <t>DIN 1.4057</t>
  </si>
  <si>
    <t>'0104100</t>
  </si>
  <si>
    <t>EN-55</t>
  </si>
  <si>
    <t>'0104113</t>
  </si>
  <si>
    <t>DINI - 6580 [ 7U9 ]</t>
  </si>
  <si>
    <t>'0104115</t>
  </si>
  <si>
    <t>DIN 1.4457 (7U176)</t>
  </si>
  <si>
    <t>'0104118</t>
  </si>
  <si>
    <t>DIN 1.7131 SCRAP</t>
  </si>
  <si>
    <t>'0104123</t>
  </si>
  <si>
    <t>DIN-1-7147</t>
  </si>
  <si>
    <t>'0104126</t>
  </si>
  <si>
    <t>GUN METAL RETURNS</t>
  </si>
  <si>
    <t>'0104129</t>
  </si>
  <si>
    <t>HAST ALLOY C.</t>
  </si>
  <si>
    <t>'0104135</t>
  </si>
  <si>
    <t>DIN 1.8515 RETURNS</t>
  </si>
  <si>
    <t>'0104148</t>
  </si>
  <si>
    <t>DIN 1.4470</t>
  </si>
  <si>
    <t>'0104150</t>
  </si>
  <si>
    <t>M.S.LOW CARBON</t>
  </si>
  <si>
    <t>'0104165</t>
  </si>
  <si>
    <t>DIN 1.4448</t>
  </si>
  <si>
    <t>'0104167</t>
  </si>
  <si>
    <t>DIN 1.4122</t>
  </si>
  <si>
    <t>'0104169</t>
  </si>
  <si>
    <t>DIN 1.5919</t>
  </si>
  <si>
    <t>'0104182</t>
  </si>
  <si>
    <t>7-U-374  DIN1.8519</t>
  </si>
  <si>
    <t>'0104185</t>
  </si>
  <si>
    <t>DINI-4301   RETURN</t>
  </si>
  <si>
    <t>'0104207</t>
  </si>
  <si>
    <t>GX25CRNISI 18.9 (38A29)</t>
  </si>
  <si>
    <t>'0104212</t>
  </si>
  <si>
    <t>STELLITE - 4 ( RETURNS )</t>
  </si>
  <si>
    <t>'0104230</t>
  </si>
  <si>
    <t>AISI  H  13  CAST (34T201)</t>
  </si>
  <si>
    <t>'0104247</t>
  </si>
  <si>
    <t>XG40 CR NI SI 1229  [38-A-14]</t>
  </si>
  <si>
    <t>'0104249</t>
  </si>
  <si>
    <t>DIN1.4027 GX20CR40</t>
  </si>
  <si>
    <t>'0104260</t>
  </si>
  <si>
    <t>17-4 P.H. STEEL</t>
  </si>
  <si>
    <t>'0104270</t>
  </si>
  <si>
    <t>DIN 1.7224 (7U495)</t>
  </si>
  <si>
    <t>'0104293</t>
  </si>
  <si>
    <t>BS 3146</t>
  </si>
  <si>
    <t>'0104306</t>
  </si>
  <si>
    <t>DIN1.7321 (20 MN CR 4)</t>
  </si>
  <si>
    <t>'0104309</t>
  </si>
  <si>
    <t>SCM 415 18E1</t>
  </si>
  <si>
    <t>'0104310</t>
  </si>
  <si>
    <t>IS 10343 GR-3B</t>
  </si>
  <si>
    <t>'0104316</t>
  </si>
  <si>
    <t>DIN 1.4848</t>
  </si>
  <si>
    <t>'0104318</t>
  </si>
  <si>
    <t>1-T-75</t>
  </si>
  <si>
    <t>'0104319</t>
  </si>
  <si>
    <t>35 X HA 40-B-1</t>
  </si>
  <si>
    <t>'0104328</t>
  </si>
  <si>
    <t>DIN 1.4059</t>
  </si>
  <si>
    <t>'0104331</t>
  </si>
  <si>
    <t>DIN 1.0420</t>
  </si>
  <si>
    <t>'0104332</t>
  </si>
  <si>
    <t>AISI 430 SCRAP (PURCHASE)</t>
  </si>
  <si>
    <t>'0104348</t>
  </si>
  <si>
    <t>BS-3146 ANC 4-B</t>
  </si>
  <si>
    <t>'0104354</t>
  </si>
  <si>
    <t>AISI 1146 Cast  (18D18/41)</t>
  </si>
  <si>
    <t>'0104362</t>
  </si>
  <si>
    <t>52B1 RET TOOL STEEL CAST</t>
  </si>
  <si>
    <t>'0104367</t>
  </si>
  <si>
    <t>SOWS1062 (3k37)</t>
  </si>
  <si>
    <t>'0104368</t>
  </si>
  <si>
    <t>3U17 SCRAP</t>
  </si>
  <si>
    <t>'0104369</t>
  </si>
  <si>
    <t>3Y1 Return</t>
  </si>
  <si>
    <t>'0104440</t>
  </si>
  <si>
    <t>DIN 1.8159</t>
  </si>
  <si>
    <t>'0104447</t>
  </si>
  <si>
    <t>IS10343GR1C,2A,/EN8/ MIX SCRAP</t>
  </si>
  <si>
    <t>'0104448</t>
  </si>
  <si>
    <t>MILD STEEL LOW CARBON (IMP)</t>
  </si>
  <si>
    <t>'0104450</t>
  </si>
  <si>
    <t>MASTER ALLOY BILLETS CF3M</t>
  </si>
  <si>
    <t>'0104457</t>
  </si>
  <si>
    <t>41-CR-4 CAST</t>
  </si>
  <si>
    <t>'0104459</t>
  </si>
  <si>
    <t>DIN 1.4517 ,</t>
  </si>
  <si>
    <t>'0104464</t>
  </si>
  <si>
    <t>DIN 1.4538</t>
  </si>
  <si>
    <t>'0104472</t>
  </si>
  <si>
    <t>DIN 1.4469 (7-U-652)</t>
  </si>
  <si>
    <t>'0104473</t>
  </si>
  <si>
    <t>SCR-420</t>
  </si>
  <si>
    <t>'0104475</t>
  </si>
  <si>
    <t>DISCARDED MAINTANANCE SCRAP</t>
  </si>
  <si>
    <t>'0104477</t>
  </si>
  <si>
    <t>ASTM A743 Gr CA28 MWV (18H5)</t>
  </si>
  <si>
    <t>'0104488</t>
  </si>
  <si>
    <t>DIN 1.4890.02 ( 3U11 RETURN)</t>
  </si>
  <si>
    <t>'0104492</t>
  </si>
  <si>
    <t>DIN 1.4535</t>
  </si>
  <si>
    <t>'0104493</t>
  </si>
  <si>
    <t>08X14H7MJI (25L1)</t>
  </si>
  <si>
    <t>'0104494</t>
  </si>
  <si>
    <t>M.S. PROFILE CUT SCRAP</t>
  </si>
  <si>
    <t>'0104495</t>
  </si>
  <si>
    <t>DIN 1.4405</t>
  </si>
  <si>
    <t>'0104497</t>
  </si>
  <si>
    <t>MASTER ALLOY BILLETS</t>
  </si>
  <si>
    <t>'0104504</t>
  </si>
  <si>
    <t>RM4 RETURNS</t>
  </si>
  <si>
    <t>'0104506</t>
  </si>
  <si>
    <t>M.S. SCRAP C R PUNCHING</t>
  </si>
  <si>
    <t>'0104507</t>
  </si>
  <si>
    <t>PIG IRON GRADE-FGFHH</t>
  </si>
  <si>
    <t>'0104508</t>
  </si>
  <si>
    <t>S.S. SCRAP 316 L</t>
  </si>
  <si>
    <t>'0104801</t>
  </si>
  <si>
    <t>VS Raw Material</t>
  </si>
  <si>
    <t>VSRM</t>
  </si>
  <si>
    <t>'0104902</t>
  </si>
  <si>
    <t>PLAIN CARBON/LOW ALLOY STEEL</t>
  </si>
  <si>
    <t>RMFU</t>
  </si>
  <si>
    <t>'0104903</t>
  </si>
  <si>
    <t>MS Flashes, For sale</t>
  </si>
  <si>
    <t>'0104904</t>
  </si>
  <si>
    <t>MS Leak moulds, for sale</t>
  </si>
  <si>
    <t>'0104905</t>
  </si>
  <si>
    <t>CF8 Leak moulds ( For sale )</t>
  </si>
  <si>
    <t>'0104908</t>
  </si>
  <si>
    <t>CF8M/CF3M  for Remelt</t>
  </si>
  <si>
    <t>'0104910</t>
  </si>
  <si>
    <t>Non magnetic flashes for sale</t>
  </si>
  <si>
    <t>'0104911</t>
  </si>
  <si>
    <t>CA6NM for Sale</t>
  </si>
  <si>
    <t>'0104912</t>
  </si>
  <si>
    <t>SS Turning Scrap for sale</t>
  </si>
  <si>
    <t>'0104913</t>
  </si>
  <si>
    <t>HSS Cutting tool Scrap for sal</t>
  </si>
  <si>
    <t>'0104921</t>
  </si>
  <si>
    <t>FERROUS WASTE &amp; SCRAP USED</t>
  </si>
  <si>
    <t>'0104925</t>
  </si>
  <si>
    <t>AISI 430 LEAK MOULD FOR SALE</t>
  </si>
  <si>
    <t>'0104933</t>
  </si>
  <si>
    <t>WASTE GARBAGE CONTAINING CORR.</t>
  </si>
  <si>
    <t>LO</t>
  </si>
  <si>
    <t>'0104934</t>
  </si>
  <si>
    <t>OLD &amp; USED COMPUTER SCRAP</t>
  </si>
  <si>
    <t>'0104935</t>
  </si>
  <si>
    <t>OLD &amp; USED A.C. SCRAP</t>
  </si>
  <si>
    <t>'0105001</t>
  </si>
  <si>
    <t>NEUTRAL RAMMING MASS CORAL SP1</t>
  </si>
  <si>
    <t>'0105006</t>
  </si>
  <si>
    <t>LIQUID BINDER</t>
  </si>
  <si>
    <t>'0105007</t>
  </si>
  <si>
    <t>SODIUM SILICATE</t>
  </si>
  <si>
    <t>'0105009</t>
  </si>
  <si>
    <t>FIRE CLAY CEMENT</t>
  </si>
  <si>
    <t>'0105010</t>
  </si>
  <si>
    <t>CONSTRUCTION CEMENT</t>
  </si>
  <si>
    <t>BG</t>
  </si>
  <si>
    <t>'0105014</t>
  </si>
  <si>
    <t>ACC WHYTHEAT K  CEMENT</t>
  </si>
  <si>
    <t>'0105015</t>
  </si>
  <si>
    <t>MAGSPINEL "C" ( INDSPINEL"C" )</t>
  </si>
  <si>
    <t>'0105019</t>
  </si>
  <si>
    <t>SUPER CASTABLE CEMENT</t>
  </si>
  <si>
    <t>'0105026</t>
  </si>
  <si>
    <t>ACCOSET 50 FINE.CEMENT</t>
  </si>
  <si>
    <t>'0105039</t>
  </si>
  <si>
    <t>PATCHING MATERIAL D10 F DRY</t>
  </si>
  <si>
    <t>'0105050</t>
  </si>
  <si>
    <t>WHYTHEAT A INDUCTION</t>
  </si>
  <si>
    <t>'0106007</t>
  </si>
  <si>
    <t>STEEL SHOT S-170</t>
  </si>
  <si>
    <t>'0106008</t>
  </si>
  <si>
    <t>STEEL SHOTS S-230</t>
  </si>
  <si>
    <t>'0106025</t>
  </si>
  <si>
    <t>GLASS BEADS MEDIUM `C' -36+80</t>
  </si>
  <si>
    <t>'0106026</t>
  </si>
  <si>
    <t>AL.OXIDE GR.60</t>
  </si>
  <si>
    <t>'0106033</t>
  </si>
  <si>
    <t>S.S.SHOTS  0.4MM S-40 [ASIAN]</t>
  </si>
  <si>
    <t>'0106037</t>
  </si>
  <si>
    <t>STAINLESS STEEL SHOTS Cr Ni 40</t>
  </si>
  <si>
    <t>'0106043</t>
  </si>
  <si>
    <t>BROWN ALUMINA-  F36 GRIT</t>
  </si>
  <si>
    <t>'0106049</t>
  </si>
  <si>
    <t>S.S.SHOTS  0.3MM [ASIAN]</t>
  </si>
  <si>
    <t>'0107012</t>
  </si>
  <si>
    <t>BOILERCLAVE WAX</t>
  </si>
  <si>
    <t>RMWL</t>
  </si>
  <si>
    <t>'0107018</t>
  </si>
  <si>
    <t>UDL  PATTERN  WAX  NO.  1</t>
  </si>
  <si>
    <t>'0107020</t>
  </si>
  <si>
    <t>UDL  RISER WAX NO. 1</t>
  </si>
  <si>
    <t>'0107023</t>
  </si>
  <si>
    <t>MODELLING WAX</t>
  </si>
  <si>
    <t>PK</t>
  </si>
  <si>
    <t>'0107028</t>
  </si>
  <si>
    <t>PROCESSED WAX FILLED</t>
  </si>
  <si>
    <t>'0107030</t>
  </si>
  <si>
    <t>UDL  WATER  SOLUBLE  WAX  NO.1</t>
  </si>
  <si>
    <t>'0107045</t>
  </si>
  <si>
    <t>'0107046</t>
  </si>
  <si>
    <t>LOW ASH CONTENT WAX</t>
  </si>
  <si>
    <t>'0107048</t>
  </si>
  <si>
    <t>UPPER WAX</t>
  </si>
  <si>
    <t>'0107055</t>
  </si>
  <si>
    <t>108S32 CERAMIC CORE</t>
  </si>
  <si>
    <t>'0107056</t>
  </si>
  <si>
    <t>RD13 DIA 15MM TUBE WITH FEED</t>
  </si>
  <si>
    <t>'0107057</t>
  </si>
  <si>
    <t>022F0040 Wax Patterns BY 3D</t>
  </si>
  <si>
    <t>'0108005</t>
  </si>
  <si>
    <t>ZIRFLOR- 300 MESH</t>
  </si>
  <si>
    <t>RMSL</t>
  </si>
  <si>
    <t>'0108006</t>
  </si>
  <si>
    <t>SILLIMANITE POWDER</t>
  </si>
  <si>
    <t>'0108025</t>
  </si>
  <si>
    <t>CALCINED KAYNIFE POWDER 20:60</t>
  </si>
  <si>
    <t>'0108028</t>
  </si>
  <si>
    <t>ZIRFLOR -200 MESH</t>
  </si>
  <si>
    <t>'0108048</t>
  </si>
  <si>
    <t>CALCINED CHINA CLAY 16 - 30</t>
  </si>
  <si>
    <t>'0108049</t>
  </si>
  <si>
    <t>CALCINED CHINA CLAY 30-80</t>
  </si>
  <si>
    <t>'0108050</t>
  </si>
  <si>
    <t>ZIRFLOR  – 200 IREL MAKE</t>
  </si>
  <si>
    <t>'0108057</t>
  </si>
  <si>
    <t>CALCINED CLAY 16/30</t>
  </si>
  <si>
    <t>'0108058</t>
  </si>
  <si>
    <t>CALCINED CLAY 30/80</t>
  </si>
  <si>
    <t>'0108060</t>
  </si>
  <si>
    <t>MICRO ZIRCON</t>
  </si>
  <si>
    <t>'0108061</t>
  </si>
  <si>
    <t>CALCINED PHYROPHILITE 16:30</t>
  </si>
  <si>
    <t>'0108062</t>
  </si>
  <si>
    <t>CALCINED PHYROPHILITE 30:80</t>
  </si>
  <si>
    <t>'0108074</t>
  </si>
  <si>
    <t>CERAMIC CUP WITH</t>
  </si>
  <si>
    <t>'0108087</t>
  </si>
  <si>
    <t>CERAMIC CUPS WITHOUT SLOTS.</t>
  </si>
  <si>
    <t>'0108093</t>
  </si>
  <si>
    <t>BI-2010C FIBER BLENDED FLOUR</t>
  </si>
  <si>
    <t>LB</t>
  </si>
  <si>
    <t>RMSI</t>
  </si>
  <si>
    <t>'0108101</t>
  </si>
  <si>
    <t>RD - 201 (DEV. SAND 16:30)</t>
  </si>
  <si>
    <t>'0108102</t>
  </si>
  <si>
    <t>RD - 202 (DEV. SAND 30:80)</t>
  </si>
  <si>
    <t>'0108103</t>
  </si>
  <si>
    <t>RD - 203 (DEV.SAND -80)</t>
  </si>
  <si>
    <t>'0108110</t>
  </si>
  <si>
    <t>WASTE SHELL MATERIAL</t>
  </si>
  <si>
    <t>'0108112</t>
  </si>
  <si>
    <t>CERAMIC RING 206 OD X 138 ID</t>
  </si>
  <si>
    <t>'0108123</t>
  </si>
  <si>
    <t>3M FUS SIL -50+100-55LB BAG</t>
  </si>
  <si>
    <t>'0108124</t>
  </si>
  <si>
    <t>3M FUS SIL-WDS3-55LB BAG</t>
  </si>
  <si>
    <t>'0108125</t>
  </si>
  <si>
    <t>3M FUS SIL -30+50-55LB BAG</t>
  </si>
  <si>
    <t>'0108128</t>
  </si>
  <si>
    <t>ZIRCON  SAND</t>
  </si>
  <si>
    <t>'0108129</t>
  </si>
  <si>
    <t>ZIRFOR -200 MESH</t>
  </si>
  <si>
    <t>'0108135</t>
  </si>
  <si>
    <t>ZIRCON SAND (ZSG)</t>
  </si>
  <si>
    <t>'0108139</t>
  </si>
  <si>
    <t>CERAMIC POURING CUP -TS1</t>
  </si>
  <si>
    <t>'0108143</t>
  </si>
  <si>
    <t>HIGH PERFORMANCE FLOUR HPF II</t>
  </si>
  <si>
    <t>'0108144</t>
  </si>
  <si>
    <t>FUSED SILICA 50/100 GRAINS</t>
  </si>
  <si>
    <t>'0108145</t>
  </si>
  <si>
    <t>FUSED SILICA 30/50 GRAINS</t>
  </si>
  <si>
    <t>'0108146</t>
  </si>
  <si>
    <t>FUSED SILICA -200 MESH</t>
  </si>
  <si>
    <t>'0108149</t>
  </si>
  <si>
    <t>CERAMIC CUP MIDDLE</t>
  </si>
  <si>
    <t>'0108150</t>
  </si>
  <si>
    <t>CERAMIC CUP FOR 58K1 MOULD</t>
  </si>
  <si>
    <t>'0108151</t>
  </si>
  <si>
    <t>'0108152</t>
  </si>
  <si>
    <t>'0108153</t>
  </si>
  <si>
    <t>CERAMIC CUP INSERT PLATE</t>
  </si>
  <si>
    <t>'0108154</t>
  </si>
  <si>
    <t>'0109006</t>
  </si>
  <si>
    <t>ETHYL SILICATE</t>
  </si>
  <si>
    <t>'0109008</t>
  </si>
  <si>
    <t>SOLVENT-METHANOL</t>
  </si>
  <si>
    <t>LT</t>
  </si>
  <si>
    <t>'0109013</t>
  </si>
  <si>
    <t>COLLOIDAL SILICA</t>
  </si>
  <si>
    <t>'0109014</t>
  </si>
  <si>
    <t>SULPHURIC ACID</t>
  </si>
  <si>
    <t>'0109018</t>
  </si>
  <si>
    <t>HYDROFLUORIC ACID 60% (HF)</t>
  </si>
  <si>
    <t>'0109023</t>
  </si>
  <si>
    <t>CRYSOL CU-132</t>
  </si>
  <si>
    <t>'0109024</t>
  </si>
  <si>
    <t>SULPHURIC ACID 70%</t>
  </si>
  <si>
    <t>'0109025</t>
  </si>
  <si>
    <t>NITRIC ACID 70 %</t>
  </si>
  <si>
    <t>'0109045</t>
  </si>
  <si>
    <t>NALCO 7667 (WETTING AGENT)</t>
  </si>
  <si>
    <t>'0109052</t>
  </si>
  <si>
    <t>EXSOPRIME PC</t>
  </si>
  <si>
    <t>'0109054</t>
  </si>
  <si>
    <t>N-OCTONOL</t>
  </si>
  <si>
    <t>'0109055</t>
  </si>
  <si>
    <t>GSA ANTIFOAM I</t>
  </si>
  <si>
    <t>'0109056</t>
  </si>
  <si>
    <t>ISO PROPYL ALCOHOL (IPA)</t>
  </si>
  <si>
    <t>'0109057</t>
  </si>
  <si>
    <t>EXSOPRIME CS30</t>
  </si>
  <si>
    <t>'0111001</t>
  </si>
  <si>
    <t>'0111004</t>
  </si>
  <si>
    <t>'0111006</t>
  </si>
  <si>
    <t>RD-020</t>
  </si>
  <si>
    <t>'0111009</t>
  </si>
  <si>
    <t>RD 110</t>
  </si>
  <si>
    <t>'0111014</t>
  </si>
  <si>
    <t>RD 053</t>
  </si>
  <si>
    <t>'0111017</t>
  </si>
  <si>
    <t>RD 120</t>
  </si>
  <si>
    <t>'0111022</t>
  </si>
  <si>
    <t>CROSS LINK POLYSTRONE (RD 072)</t>
  </si>
  <si>
    <t>'0111027</t>
  </si>
  <si>
    <t>RD-101  (FOUNDRY)</t>
  </si>
  <si>
    <t>'0111030</t>
  </si>
  <si>
    <t>RD-115</t>
  </si>
  <si>
    <t>'0111031</t>
  </si>
  <si>
    <t>RD-113(BENTONITE POWDER)</t>
  </si>
  <si>
    <t>'0111032</t>
  </si>
  <si>
    <t>RD-054</t>
  </si>
  <si>
    <t>'0111034</t>
  </si>
  <si>
    <t>RD-122</t>
  </si>
  <si>
    <t>'0111036</t>
  </si>
  <si>
    <t>RD-032</t>
  </si>
  <si>
    <t>'0111039</t>
  </si>
  <si>
    <t>RD-102</t>
  </si>
  <si>
    <t>'0111052</t>
  </si>
  <si>
    <t>RD-105 LOCAL</t>
  </si>
  <si>
    <t>'0111057</t>
  </si>
  <si>
    <t>RD 120 (P)</t>
  </si>
  <si>
    <t>'0111058</t>
  </si>
  <si>
    <t>RD 131</t>
  </si>
  <si>
    <t>'0111059</t>
  </si>
  <si>
    <t>RD-026</t>
  </si>
  <si>
    <t>'0111062</t>
  </si>
  <si>
    <t>SOYA WAX (RD-034)</t>
  </si>
  <si>
    <t>'0111070</t>
  </si>
  <si>
    <t>PATTERN WAX UN FILLED</t>
  </si>
  <si>
    <t>'0111072</t>
  </si>
  <si>
    <t>Tulsion CB300(4) SM</t>
  </si>
  <si>
    <t>'0111075</t>
  </si>
  <si>
    <t>RD - 301 ( LISSAPOL)</t>
  </si>
  <si>
    <t>'0111076</t>
  </si>
  <si>
    <t>RD - 302 ( HCL COMMERCIAL )</t>
  </si>
  <si>
    <t>'0111078</t>
  </si>
  <si>
    <t>RD - 305 ( OXALIC ACID )</t>
  </si>
  <si>
    <t>'0111082</t>
  </si>
  <si>
    <t>C 80 WAX</t>
  </si>
  <si>
    <t>'0111083</t>
  </si>
  <si>
    <t>H-5 WAX</t>
  </si>
  <si>
    <t>'0111086</t>
  </si>
  <si>
    <t>VISCO WAX 334</t>
  </si>
  <si>
    <t>'0111087</t>
  </si>
  <si>
    <t>EXSOJET SFD</t>
  </si>
  <si>
    <t>'0111088</t>
  </si>
  <si>
    <t>SARAWAX SX-105</t>
  </si>
  <si>
    <t>'0111089</t>
  </si>
  <si>
    <t>SEMIREFINED PARAFFIN WAX</t>
  </si>
  <si>
    <t>'0111091</t>
  </si>
  <si>
    <t>VISCOWAX 115</t>
  </si>
  <si>
    <t>'019L0001D</t>
  </si>
  <si>
    <t>19L1 ONE CAVITY WAX INJECTION</t>
  </si>
  <si>
    <t>'019L0004D</t>
  </si>
  <si>
    <t>19L4 ONE CAVITY WAX INJECTION</t>
  </si>
  <si>
    <t>'01E00022M</t>
  </si>
  <si>
    <t>1E22 SINGLE CAVITY MAIN DIE</t>
  </si>
  <si>
    <t>'0201006</t>
  </si>
  <si>
    <t>GRAPHITE GRANULES 0 TO 3 MM</t>
  </si>
  <si>
    <t>'0201007</t>
  </si>
  <si>
    <t>CRUCIBLES  (IMPORTED)</t>
  </si>
  <si>
    <t>CONI</t>
  </si>
  <si>
    <t>'0201017</t>
  </si>
  <si>
    <t>MILL BOARD (FOUNDRY INSU.SHIT)</t>
  </si>
  <si>
    <t>BX</t>
  </si>
  <si>
    <t>'0201020</t>
  </si>
  <si>
    <t>M.S.FORMER SMALL, DIA 135mm</t>
  </si>
  <si>
    <t>'0201026</t>
  </si>
  <si>
    <t>HOT TOP COMPOUND</t>
  </si>
  <si>
    <t>'0201030</t>
  </si>
  <si>
    <t>CUPRIT 8 POWDER</t>
  </si>
  <si>
    <t>'0201038</t>
  </si>
  <si>
    <t>M.S.SAND BED TRAY 790X990X250</t>
  </si>
  <si>
    <t>'0201049</t>
  </si>
  <si>
    <t>GRAPHITE CRUCIBLE A-30</t>
  </si>
  <si>
    <t>'0201052</t>
  </si>
  <si>
    <t>GRAPHITE CRUCIBLE A-60</t>
  </si>
  <si>
    <t>'0201059</t>
  </si>
  <si>
    <t>TRANSLUCENT SILICA TUBES</t>
  </si>
  <si>
    <t>'0201060</t>
  </si>
  <si>
    <t>SLAGFIX-(P)</t>
  </si>
  <si>
    <t>'0201088</t>
  </si>
  <si>
    <t>GRAPHIT CRUCIBLE A-40</t>
  </si>
  <si>
    <t>'0201106</t>
  </si>
  <si>
    <t>CERAMIC BALL</t>
  </si>
  <si>
    <t>'0201112</t>
  </si>
  <si>
    <t>M.S.FORMER BIG, 3mm THK</t>
  </si>
  <si>
    <t>'0201119</t>
  </si>
  <si>
    <t>EX FEED FE THERMEXO (HOT TOP)</t>
  </si>
  <si>
    <t>'0201123</t>
  </si>
  <si>
    <t>COKE DUST</t>
  </si>
  <si>
    <t>'0201128</t>
  </si>
  <si>
    <t xml:space="preserve"> MOULD COVERING BOX</t>
  </si>
  <si>
    <t>'0201131</t>
  </si>
  <si>
    <t>M.S.FORMER, DIA 145mm</t>
  </si>
  <si>
    <t>'0201132</t>
  </si>
  <si>
    <t>M.S.FORMER 155mm DIA</t>
  </si>
  <si>
    <t>'0201135</t>
  </si>
  <si>
    <t>M.S.HANDLE FOR A-30 CRUCIBLE</t>
  </si>
  <si>
    <t>'0201136</t>
  </si>
  <si>
    <t>SILICA TRANSLUCENT TUBES</t>
  </si>
  <si>
    <t>'0201137</t>
  </si>
  <si>
    <t>DOWEL PIN M8X30</t>
  </si>
  <si>
    <t>'0201154</t>
  </si>
  <si>
    <t>M.S.FORMER DIA 175MM X300MM Ht</t>
  </si>
  <si>
    <t>'0201167</t>
  </si>
  <si>
    <t>M.S. FORMER BIG, 5mm THK</t>
  </si>
  <si>
    <t>'0201168</t>
  </si>
  <si>
    <t>COAL SHOVEL</t>
  </si>
  <si>
    <t>'0201170</t>
  </si>
  <si>
    <t>AL 20 CRUCIBLE</t>
  </si>
  <si>
    <t>'0201171</t>
  </si>
  <si>
    <t>AL 32 CRUCIBLE</t>
  </si>
  <si>
    <t>'0201174</t>
  </si>
  <si>
    <t>MOULD BUTTON COOLING JACKET</t>
  </si>
  <si>
    <t>'0201175</t>
  </si>
  <si>
    <t>MOULD CLAMPING BOX</t>
  </si>
  <si>
    <t>'0201180</t>
  </si>
  <si>
    <t>PERLITE ORE</t>
  </si>
  <si>
    <t>'0201181</t>
  </si>
  <si>
    <t>ASHHEAT- A SUPREME</t>
  </si>
  <si>
    <t>'0202001</t>
  </si>
  <si>
    <t>M.S.STRIPS 5 X 20 MM X 4 FT. L</t>
  </si>
  <si>
    <t>'0202004</t>
  </si>
  <si>
    <t>V BELT M-28</t>
  </si>
  <si>
    <t>'0202012</t>
  </si>
  <si>
    <t>DOWEL PIN 10X50</t>
  </si>
  <si>
    <t>'0202014</t>
  </si>
  <si>
    <t>M.S.ROUND BAR 10MM DIA</t>
  </si>
  <si>
    <t>'0202017</t>
  </si>
  <si>
    <t>M.S.ROUND BAR 25MM DIA</t>
  </si>
  <si>
    <t>'0202019</t>
  </si>
  <si>
    <t>HU ALLOY TRAY 1150X850X100MM</t>
  </si>
  <si>
    <t>'0202051</t>
  </si>
  <si>
    <t>M.S.WIRE 16SWG 408*280MM</t>
  </si>
  <si>
    <t>'0202060</t>
  </si>
  <si>
    <t>M S WIRE 18 SWG</t>
  </si>
  <si>
    <t>'0202068</t>
  </si>
  <si>
    <t>M.S.FLAT  5MM THICK</t>
  </si>
  <si>
    <t>'0202071</t>
  </si>
  <si>
    <t>S.S.304 ROD 6 MM THICK</t>
  </si>
  <si>
    <t>'0202074</t>
  </si>
  <si>
    <t>S.S. ROD 316L - 25MM</t>
  </si>
  <si>
    <t>'0202102</t>
  </si>
  <si>
    <t>M.S.SQUARE BAR 12MM X12MM</t>
  </si>
  <si>
    <t>'0202124</t>
  </si>
  <si>
    <t>S.S.316L SQUARE ROD 30MM</t>
  </si>
  <si>
    <t>'0202153</t>
  </si>
  <si>
    <t>SS304 WIRE 14 SWG</t>
  </si>
  <si>
    <t>'0202167</t>
  </si>
  <si>
    <t>S.S.304 WIRE 3.25 SWG</t>
  </si>
  <si>
    <t>'0202172</t>
  </si>
  <si>
    <t>S.S.310 ROD 10MM DIA</t>
  </si>
  <si>
    <t>'0202189</t>
  </si>
  <si>
    <t>M.S. ROUND BAR 20MM DIA</t>
  </si>
  <si>
    <t>'0202193</t>
  </si>
  <si>
    <t>DOWEL PINS  5X40</t>
  </si>
  <si>
    <t>'0202196</t>
  </si>
  <si>
    <t>DOWEL PIN 6 X 40MM</t>
  </si>
  <si>
    <t>'0202197</t>
  </si>
  <si>
    <t>SQUIRE BAR 10X 10 X 12'  BRIGH</t>
  </si>
  <si>
    <t>STSL</t>
  </si>
  <si>
    <t>'0202200</t>
  </si>
  <si>
    <t>SEALING WIRE</t>
  </si>
  <si>
    <t>'0202201</t>
  </si>
  <si>
    <t>LEAD SEAL</t>
  </si>
  <si>
    <t>'0202203</t>
  </si>
  <si>
    <t>DOWEL PIN DIA 12X60</t>
  </si>
  <si>
    <t>'0202210</t>
  </si>
  <si>
    <t>M.S.STRIP 5X20X8" LONG</t>
  </si>
  <si>
    <t>'0202252</t>
  </si>
  <si>
    <t>ROUND BELT 72300034 FOR</t>
  </si>
  <si>
    <t>'0202256</t>
  </si>
  <si>
    <t>MS ROD M-12</t>
  </si>
  <si>
    <t>'0202257</t>
  </si>
  <si>
    <t>SS 304 LONG BEND SIZE-1 ½’’</t>
  </si>
  <si>
    <t>'0202284</t>
  </si>
  <si>
    <t>METAL  CLIP</t>
  </si>
  <si>
    <t>'0202289</t>
  </si>
  <si>
    <t>TOP COVER HOLDER FOR STRAPPING</t>
  </si>
  <si>
    <t>'0202339</t>
  </si>
  <si>
    <t>5S300171 PCB – Y2K FOR ITW</t>
  </si>
  <si>
    <t>'0202340</t>
  </si>
  <si>
    <t>S.S. 304 PIPE 1'' DIA 3MM THK</t>
  </si>
  <si>
    <t>'0203001</t>
  </si>
  <si>
    <t>BRASS HOSE NIPPLE 3/8"X1/4"BSP</t>
  </si>
  <si>
    <t>'0203022</t>
  </si>
  <si>
    <t>BRASS ROUND [EXTRUDED] 2" DIA</t>
  </si>
  <si>
    <t>'0203082</t>
  </si>
  <si>
    <t>BRASS HOSE NIPPLE 1/2" X 3/8"</t>
  </si>
  <si>
    <t>'0203083</t>
  </si>
  <si>
    <t>BRASS HOSE NIPPLE 1/4" X 3/8"</t>
  </si>
  <si>
    <t>'0203087</t>
  </si>
  <si>
    <t>AIR VENT, JSAV-01, 130X130</t>
  </si>
  <si>
    <t>'0203088</t>
  </si>
  <si>
    <t>AIR VENT, JSAV-02 ,147X147</t>
  </si>
  <si>
    <t>'0203089</t>
  </si>
  <si>
    <t>BRASS ROD DIA 6 X 1 MTR</t>
  </si>
  <si>
    <t>'0203090</t>
  </si>
  <si>
    <t>BRASS ROD DIA 8 X 1 MTR</t>
  </si>
  <si>
    <t>'0203091</t>
  </si>
  <si>
    <t>AIR VENT, JSAV-06, 255X255</t>
  </si>
  <si>
    <t>'0204001</t>
  </si>
  <si>
    <t>FILTER PAPER NO-1</t>
  </si>
  <si>
    <t>'0204027</t>
  </si>
  <si>
    <t>GRAPHIC CHARTS 0-1200</t>
  </si>
  <si>
    <t>'0204049</t>
  </si>
  <si>
    <t>WEIGHING BOTTLE  60 ML</t>
  </si>
  <si>
    <t>'0204052</t>
  </si>
  <si>
    <t>MEASURING CYLINDER</t>
  </si>
  <si>
    <t>'0204059</t>
  </si>
  <si>
    <t>COPPER CUP</t>
  </si>
  <si>
    <t>'0204064</t>
  </si>
  <si>
    <t>THERMOMETER 0 TO 250 0C</t>
  </si>
  <si>
    <t>'0204068</t>
  </si>
  <si>
    <t>PH PAPER RANGE 1-10</t>
  </si>
  <si>
    <t>'0204074</t>
  </si>
  <si>
    <t>WATCHN GLASS 75 MM DIA</t>
  </si>
  <si>
    <t>'0204075</t>
  </si>
  <si>
    <t>BURETTE  50ML CAP A CLASS WITH</t>
  </si>
  <si>
    <t>'0204080</t>
  </si>
  <si>
    <t>FLUXA CONCENTRATE</t>
  </si>
  <si>
    <t>BT</t>
  </si>
  <si>
    <t>'0204084</t>
  </si>
  <si>
    <t>XEROX PAPER A4</t>
  </si>
  <si>
    <t>'0204096</t>
  </si>
  <si>
    <t>TEST SIEVE 170 MESH 4" DIA</t>
  </si>
  <si>
    <t>'0204097</t>
  </si>
  <si>
    <t>TEST SIEVE 200MESH 4" DIA</t>
  </si>
  <si>
    <t>'0204100</t>
  </si>
  <si>
    <t>THERMOMETER 0-100</t>
  </si>
  <si>
    <t>'0204110</t>
  </si>
  <si>
    <t>TISSUE PAPER ROLL</t>
  </si>
  <si>
    <t>'0204116</t>
  </si>
  <si>
    <t>MEASURING CYLINDER 50 ML</t>
  </si>
  <si>
    <t>'0204122</t>
  </si>
  <si>
    <t>NICKEL CRUCIBLE 100 ML</t>
  </si>
  <si>
    <t>'0204125</t>
  </si>
  <si>
    <t>BEAKER 600 ML CAP BOROSIL MAKE</t>
  </si>
  <si>
    <t>'0204126</t>
  </si>
  <si>
    <t>HYDRAULIC MOTOR 0MM-151G0005</t>
  </si>
  <si>
    <t>'0204131</t>
  </si>
  <si>
    <t>BEAKER 1 LITER  CAP</t>
  </si>
  <si>
    <t>'0204132</t>
  </si>
  <si>
    <t>BEAKER 100 ML BOROSIL</t>
  </si>
  <si>
    <t>'0204150</t>
  </si>
  <si>
    <t>TEST SIEVE 100 MESH 8" DIA</t>
  </si>
  <si>
    <t>'0204151</t>
  </si>
  <si>
    <t>TEST SIEVE 300 MESH 8" DIA</t>
  </si>
  <si>
    <t>'0204152</t>
  </si>
  <si>
    <t>FUNNEL 75MM DIA CAT-6140</t>
  </si>
  <si>
    <t>'0204153</t>
  </si>
  <si>
    <t>TEST SIEVE 200 MESH 8" DIA</t>
  </si>
  <si>
    <t>'0204178</t>
  </si>
  <si>
    <t>PLATINUM DISH</t>
  </si>
  <si>
    <t>GM</t>
  </si>
  <si>
    <t>'0204194</t>
  </si>
  <si>
    <t>CONICAL FLASK 250 ML</t>
  </si>
  <si>
    <t>'0204195</t>
  </si>
  <si>
    <t>BEAKER 150 ML</t>
  </si>
  <si>
    <t>'0204196</t>
  </si>
  <si>
    <t>BEAKER 250 ML</t>
  </si>
  <si>
    <t>'0204258</t>
  </si>
  <si>
    <t>PETRI DISH 75 MM BOROSIL</t>
  </si>
  <si>
    <t>'0204266</t>
  </si>
  <si>
    <t>CHART FOR RECORDER EM001 0-100</t>
  </si>
  <si>
    <t>'0204296</t>
  </si>
  <si>
    <t>BEAKER 250ML</t>
  </si>
  <si>
    <t>'0204297</t>
  </si>
  <si>
    <t>ELECTRODE CL-51B FOR PH METER</t>
  </si>
  <si>
    <t>'0204299</t>
  </si>
  <si>
    <t>STEEL CUPS</t>
  </si>
  <si>
    <t>'0204301</t>
  </si>
  <si>
    <t>A4 SIZE PINK/YELLOW/BLUE PAPER</t>
  </si>
  <si>
    <t>'0204343</t>
  </si>
  <si>
    <t>POTASSIUM PERMANGANATE</t>
  </si>
  <si>
    <t>'0204368</t>
  </si>
  <si>
    <t>UP DWON MECHANISM BOX NUT FOR</t>
  </si>
  <si>
    <t>'0204369</t>
  </si>
  <si>
    <t>GUIDE WHEEL OR ROTARY FURNACE</t>
  </si>
  <si>
    <t>'0205002</t>
  </si>
  <si>
    <t>COMMON SALT</t>
  </si>
  <si>
    <t>'0206003</t>
  </si>
  <si>
    <t>LEATHER LEG GUARD</t>
  </si>
  <si>
    <t>PR</t>
  </si>
  <si>
    <t>'0206004</t>
  </si>
  <si>
    <t>PLAIN FACE SHIELD 9" *  12"</t>
  </si>
  <si>
    <t>'0206005</t>
  </si>
  <si>
    <t>BLUE FACE SHIELD 9"* 12"</t>
  </si>
  <si>
    <t>'0206008</t>
  </si>
  <si>
    <t>PLAIN GOGGLES</t>
  </si>
  <si>
    <t>'0206009</t>
  </si>
  <si>
    <t>GOGGLES BLUE/BLACK</t>
  </si>
  <si>
    <t>'0206013</t>
  </si>
  <si>
    <t>EAR MUFF</t>
  </si>
  <si>
    <t>'0206022</t>
  </si>
  <si>
    <t>GOGGLE FOR PICKLING</t>
  </si>
  <si>
    <t>'0206025</t>
  </si>
  <si>
    <t>PVC HAND GLOVES 18"</t>
  </si>
  <si>
    <t>'0206027</t>
  </si>
  <si>
    <t xml:space="preserve"> P.V.C. APPRON</t>
  </si>
  <si>
    <t>'0206038</t>
  </si>
  <si>
    <t>KEVLAR CLOTH HAND GLOVES</t>
  </si>
  <si>
    <t>'0206039</t>
  </si>
  <si>
    <t>EAR PLUG</t>
  </si>
  <si>
    <t>'0206040</t>
  </si>
  <si>
    <t>SAFETY HELMET WHITE COLOUR</t>
  </si>
  <si>
    <t>'0206041</t>
  </si>
  <si>
    <t>SAFETY HELMET BLUE COLOUR</t>
  </si>
  <si>
    <t>'0206043</t>
  </si>
  <si>
    <t>MASK</t>
  </si>
  <si>
    <t>'0206046</t>
  </si>
  <si>
    <t>KNITTED HAND GLOVES</t>
  </si>
  <si>
    <t>'0206047</t>
  </si>
  <si>
    <t>RUBBER GLOVES 18" FOR</t>
  </si>
  <si>
    <t>'0206050</t>
  </si>
  <si>
    <t>SUPER NITRILE HANDGLOVES XL</t>
  </si>
  <si>
    <t>'0206053</t>
  </si>
  <si>
    <t>SAFETY GOGGLE</t>
  </si>
  <si>
    <t>'0206054</t>
  </si>
  <si>
    <t>LEATHER APPRON 24" X 36"</t>
  </si>
  <si>
    <t>'0206069</t>
  </si>
  <si>
    <t>LEATHER HAND GUARD</t>
  </si>
  <si>
    <t>'0206075</t>
  </si>
  <si>
    <t>ISO CUT RESISTANT HANDGLOVES</t>
  </si>
  <si>
    <t>'0208008</t>
  </si>
  <si>
    <t>R.F.CUT OFF WHEEL 9"</t>
  </si>
  <si>
    <t>'0208015</t>
  </si>
  <si>
    <t>ALOXIDE DISC 5"60GR</t>
  </si>
  <si>
    <t>'0208018</t>
  </si>
  <si>
    <t>D C WHEEL 5"</t>
  </si>
  <si>
    <t>'0208022</t>
  </si>
  <si>
    <t>ALOXIDE POLISHING DISC 60GRIT</t>
  </si>
  <si>
    <t>'0208025</t>
  </si>
  <si>
    <t>ALOXIDE POLISHING DISC 60 GRIT</t>
  </si>
  <si>
    <t>'0208036</t>
  </si>
  <si>
    <t>CUTTING WHEEL 500*5*40</t>
  </si>
  <si>
    <t>'0208037</t>
  </si>
  <si>
    <t>MICRO CLOTH 240 FOR</t>
  </si>
  <si>
    <t>'0208041</t>
  </si>
  <si>
    <t>GREEN GRINDING WHEEL AA60 GRIT</t>
  </si>
  <si>
    <t>'0208042</t>
  </si>
  <si>
    <t>CUTTING WHEEL 5"</t>
  </si>
  <si>
    <t>'0208044</t>
  </si>
  <si>
    <t>GRINDING WHEEL 200*13*31.75</t>
  </si>
  <si>
    <t>'0208050</t>
  </si>
  <si>
    <t>CUTTING WHEEL SIZE 50X1.8X6MM</t>
  </si>
  <si>
    <t>'0208145</t>
  </si>
  <si>
    <t>ABRASIVE CUTTING WHEEL MPI</t>
  </si>
  <si>
    <t>'0209008</t>
  </si>
  <si>
    <t>ZIRCON BELT 2000 * 50 *36GRIT</t>
  </si>
  <si>
    <t>'0209016</t>
  </si>
  <si>
    <t>BELT FOR RISE AND FALL GRINDER</t>
  </si>
  <si>
    <t>'0209017</t>
  </si>
  <si>
    <t>ZIRCON BELT 2000*50*120</t>
  </si>
  <si>
    <t>'0209026</t>
  </si>
  <si>
    <t>ROLLAC DISC 2" X 120 GRIT</t>
  </si>
  <si>
    <t>'0209027</t>
  </si>
  <si>
    <t>FLAP DISC 5" X 120 GRIT</t>
  </si>
  <si>
    <t>'0209028</t>
  </si>
  <si>
    <t>FLAP DISC 5" X 80 GRIT</t>
  </si>
  <si>
    <t>'0209030</t>
  </si>
  <si>
    <t>ZIRCON BELT-1220X150X60 GRIT</t>
  </si>
  <si>
    <t>'0209046</t>
  </si>
  <si>
    <t>ZIRCON BELT 120GRIT 10X330MM</t>
  </si>
  <si>
    <t>'0210001</t>
  </si>
  <si>
    <t>MOUNTED POINT A12</t>
  </si>
  <si>
    <t>'0210003</t>
  </si>
  <si>
    <t>MOUNTED POINT A15</t>
  </si>
  <si>
    <t>'0210009</t>
  </si>
  <si>
    <t>MOP WHEEL 80 GRIT</t>
  </si>
  <si>
    <t>'0210011</t>
  </si>
  <si>
    <t>MOUNTED POINT A-11, PINK</t>
  </si>
  <si>
    <t>'0210029</t>
  </si>
  <si>
    <t>TCR BURR CUTTER DIA 12 (E1224)</t>
  </si>
  <si>
    <t>'0210038</t>
  </si>
  <si>
    <t>TCR BURRS-C-0616</t>
  </si>
  <si>
    <t>'0210039</t>
  </si>
  <si>
    <t>TCR BURRS CP-0312</t>
  </si>
  <si>
    <t>'0210042</t>
  </si>
  <si>
    <t>TCR BURRS E-1022</t>
  </si>
  <si>
    <t>'0210044</t>
  </si>
  <si>
    <t>T.C.R.BURRS-1524</t>
  </si>
  <si>
    <t>'0210047</t>
  </si>
  <si>
    <t>TCR BURR T-1030</t>
  </si>
  <si>
    <t>'0210053</t>
  </si>
  <si>
    <t>TCR Diamond Cutter 16mm</t>
  </si>
  <si>
    <t>'0210056</t>
  </si>
  <si>
    <t>MOP WHEEL 320 GRIT</t>
  </si>
  <si>
    <t>'0210057</t>
  </si>
  <si>
    <t>TCR BURR F-818</t>
  </si>
  <si>
    <t>'0210058</t>
  </si>
  <si>
    <t>TCR BURR F-1224</t>
  </si>
  <si>
    <t>'0210061</t>
  </si>
  <si>
    <t>MOP WHEEL 180 GRIT</t>
  </si>
  <si>
    <t>'0210062</t>
  </si>
  <si>
    <t>MOUNTED POINT A-3</t>
  </si>
  <si>
    <t>'0210065</t>
  </si>
  <si>
    <t>BEARTAX MOP WHEEL</t>
  </si>
  <si>
    <t>'0210066</t>
  </si>
  <si>
    <t>ROLLAC DISC 2"X60 GRIT</t>
  </si>
  <si>
    <t>'0210067</t>
  </si>
  <si>
    <t>ROLLAC DISC 2"X36 GRIT</t>
  </si>
  <si>
    <t>'0210069</t>
  </si>
  <si>
    <t>ROLLAC DISC 2"X80 GRIT</t>
  </si>
  <si>
    <t>'0210072</t>
  </si>
  <si>
    <t>TCR BURR-E-1022 (150 mm LONG)</t>
  </si>
  <si>
    <t>'0210073</t>
  </si>
  <si>
    <t>TCR BURR-CS-0616 ( 100 mm)</t>
  </si>
  <si>
    <t>'0210077</t>
  </si>
  <si>
    <t>TCR  BURRS CUTTER DIA 10MM</t>
  </si>
  <si>
    <t>'0210078</t>
  </si>
  <si>
    <t>TCR  BURRS CUTTER DIA  8MM</t>
  </si>
  <si>
    <t>'0210110</t>
  </si>
  <si>
    <t>CYLINDRICAL EDGE CUT T.C.R.</t>
  </si>
  <si>
    <t>'0210111</t>
  </si>
  <si>
    <t>T.C.R. BURR CUTTER</t>
  </si>
  <si>
    <t>'0210113</t>
  </si>
  <si>
    <t>TCR BURR AE312 EXTRA LONG</t>
  </si>
  <si>
    <t>'0210115</t>
  </si>
  <si>
    <t>TCR BURR CUTTER  AE -0616</t>
  </si>
  <si>
    <t>'0210116</t>
  </si>
  <si>
    <t>TCR BURRS E-0616 SPHERICAL/BAL</t>
  </si>
  <si>
    <t>'0210117</t>
  </si>
  <si>
    <t>TCR BURRS E-0818 SPHERICAL/BAL</t>
  </si>
  <si>
    <t>'0211030</t>
  </si>
  <si>
    <t>POLISH PAPAER GRIT 320</t>
  </si>
  <si>
    <t>'0211033</t>
  </si>
  <si>
    <t>WATERPROOF POLISH PAPER</t>
  </si>
  <si>
    <t>'0211035</t>
  </si>
  <si>
    <t>WATER PROOF POLISH PAPER</t>
  </si>
  <si>
    <t>'0211040</t>
  </si>
  <si>
    <t>EMERY PAPER GRIT 600</t>
  </si>
  <si>
    <t>'0211041</t>
  </si>
  <si>
    <t>POLISH PAPER NO-1200</t>
  </si>
  <si>
    <t>'0211053</t>
  </si>
  <si>
    <t>POLISH PAPER WP-220</t>
  </si>
  <si>
    <t>'0213004</t>
  </si>
  <si>
    <t>LIQUOR AMMONIUM SP. GR. 0.910</t>
  </si>
  <si>
    <t>LAB</t>
  </si>
  <si>
    <t>'0213005</t>
  </si>
  <si>
    <t>AMMONIUM ACETATE  SQ-</t>
  </si>
  <si>
    <t>'0213061</t>
  </si>
  <si>
    <t>LANOLINE ( WOOL FAT )</t>
  </si>
  <si>
    <t>'0213068</t>
  </si>
  <si>
    <t>TETRAETHYLAMMONIUM HYDROXIDE</t>
  </si>
  <si>
    <t>'0213073</t>
  </si>
  <si>
    <t>2-PROPANAL I.P.A. 1X2.5 LTR</t>
  </si>
  <si>
    <t>'0213074</t>
  </si>
  <si>
    <t>SODIUM CARBOXY METHYL</t>
  </si>
  <si>
    <t>'0213098</t>
  </si>
  <si>
    <t>ETHANOL</t>
  </si>
  <si>
    <t>'0213101</t>
  </si>
  <si>
    <t>HYDROCHLORIC ACID,</t>
  </si>
  <si>
    <t>'0213105</t>
  </si>
  <si>
    <t>HYDROFLURIC ACID 40%</t>
  </si>
  <si>
    <t>'0213106</t>
  </si>
  <si>
    <t>8-HYDROGNEDINE</t>
  </si>
  <si>
    <t>'0213114</t>
  </si>
  <si>
    <t>PHENOLPHTHALEIN INDICATOR</t>
  </si>
  <si>
    <t>'0213132</t>
  </si>
  <si>
    <t>NITRIC ACID</t>
  </si>
  <si>
    <t>'0213146</t>
  </si>
  <si>
    <t>PERCHLORIC ACID 70%</t>
  </si>
  <si>
    <t>'0213148</t>
  </si>
  <si>
    <t>POTASSIUM HYDROGEN SULPHATE</t>
  </si>
  <si>
    <t>'0213155</t>
  </si>
  <si>
    <t>SILICON OIL BATH UPTO 250 DEG.</t>
  </si>
  <si>
    <t>'0213156</t>
  </si>
  <si>
    <t>SODIUM CARBONATE</t>
  </si>
  <si>
    <t>'0213157</t>
  </si>
  <si>
    <t>SODIUM HYDROXIDE</t>
  </si>
  <si>
    <t>'0213171</t>
  </si>
  <si>
    <t>ORTHOPHOSPHRIC ACID</t>
  </si>
  <si>
    <t>'0213196</t>
  </si>
  <si>
    <t>MICA POWDER COMMERCIAL GRADE</t>
  </si>
  <si>
    <t>'0213234</t>
  </si>
  <si>
    <t>DISTILLED WATER</t>
  </si>
  <si>
    <t>'0213236</t>
  </si>
  <si>
    <t>ERICHROME BLACK T INDICATOR</t>
  </si>
  <si>
    <t>'0213262</t>
  </si>
  <si>
    <t>XYLENE EXTRA PURE</t>
  </si>
  <si>
    <t>'0213307</t>
  </si>
  <si>
    <t>HYDROTED LIME</t>
  </si>
  <si>
    <t>'0213313</t>
  </si>
  <si>
    <t>MANDELIC ACID " E MERK"</t>
  </si>
  <si>
    <t>'0213320</t>
  </si>
  <si>
    <t>POTTASIUM BY  SULPHATE-</t>
  </si>
  <si>
    <t>'0213325</t>
  </si>
  <si>
    <t xml:space="preserve"> AMMONIA-SQ CAT-16227</t>
  </si>
  <si>
    <t>'0213342</t>
  </si>
  <si>
    <t>PETROLEUM BENZINE ( 40-60 DEG)</t>
  </si>
  <si>
    <t>'0213364</t>
  </si>
  <si>
    <t>FILLER WASHING BAG</t>
  </si>
  <si>
    <t>'0213368</t>
  </si>
  <si>
    <t>GLASS ROD  10 MM</t>
  </si>
  <si>
    <t>'0213370</t>
  </si>
  <si>
    <t>DIMETHYLGLYOXIME</t>
  </si>
  <si>
    <t>'0214002</t>
  </si>
  <si>
    <t>CAUSTIC SODA</t>
  </si>
  <si>
    <t>'0214004</t>
  </si>
  <si>
    <t xml:space="preserve"> LIGHT DISEL OIL</t>
  </si>
  <si>
    <t>'0214019</t>
  </si>
  <si>
    <t xml:space="preserve"> FUEL OIL</t>
  </si>
  <si>
    <t>'0214027</t>
  </si>
  <si>
    <t>RUST PREVENTIVE OIL</t>
  </si>
  <si>
    <t>'0214035</t>
  </si>
  <si>
    <t>SILICA GEL</t>
  </si>
  <si>
    <t>'0214122</t>
  </si>
  <si>
    <t>DIESEL</t>
  </si>
  <si>
    <t>'0214123</t>
  </si>
  <si>
    <t>P3 NEUTRAPON 5088</t>
  </si>
  <si>
    <t>'0214124</t>
  </si>
  <si>
    <t>POLYMER QUENCHANT C-201</t>
  </si>
  <si>
    <t>'0214129</t>
  </si>
  <si>
    <t>Uni-chem B101 BIOCIDE</t>
  </si>
  <si>
    <t>'0214133</t>
  </si>
  <si>
    <t>MX-MG CARRIER OIL</t>
  </si>
  <si>
    <t>'0214136</t>
  </si>
  <si>
    <t>ANTICARB -CS (BLUE COLOURED)</t>
  </si>
  <si>
    <t>'0214137</t>
  </si>
  <si>
    <t>DILUENT SCS,SOLVENT FOR ABOVE</t>
  </si>
  <si>
    <t>'0214139</t>
  </si>
  <si>
    <t>BIO-FUEL BLENDED WITH</t>
  </si>
  <si>
    <t>'0214140</t>
  </si>
  <si>
    <t>TRICHLOROETHYLENE</t>
  </si>
  <si>
    <t>'0215001</t>
  </si>
  <si>
    <t>PROTECTO S-400 MOULD RELEASE</t>
  </si>
  <si>
    <t>'0215006</t>
  </si>
  <si>
    <t>MAGNETIC POWDER-MG</t>
  </si>
  <si>
    <t>'0215007</t>
  </si>
  <si>
    <t>ACETONE (COMMERCIAL)</t>
  </si>
  <si>
    <t>'0215016</t>
  </si>
  <si>
    <t>PENETRANT NP</t>
  </si>
  <si>
    <t>'0215018</t>
  </si>
  <si>
    <t>DEVELOPER N.P. (425 ML)</t>
  </si>
  <si>
    <t>'0215020</t>
  </si>
  <si>
    <t>GAS BOTTLE</t>
  </si>
  <si>
    <t>'0215042</t>
  </si>
  <si>
    <t>FLUORESCENT LIQUID PENETRANT</t>
  </si>
  <si>
    <t>'0216011</t>
  </si>
  <si>
    <t>M.S. CUTTING  ELECTRODE</t>
  </si>
  <si>
    <t>'0217017</t>
  </si>
  <si>
    <t>PLASTIC BAGS 6" * 91/2"</t>
  </si>
  <si>
    <t>PF1</t>
  </si>
  <si>
    <t>'0217019</t>
  </si>
  <si>
    <t>PLASTIC SHEET 18"*100 MTRS</t>
  </si>
  <si>
    <t>'0217023</t>
  </si>
  <si>
    <t xml:space="preserve"> 2" GUM TAPE</t>
  </si>
  <si>
    <t>'0217025</t>
  </si>
  <si>
    <t>PLASTIC SHEET 44"X 100MTS</t>
  </si>
  <si>
    <t>'0217039</t>
  </si>
  <si>
    <t>PLASTIC  BAGS 11"X16"</t>
  </si>
  <si>
    <t>'0217040</t>
  </si>
  <si>
    <t>PLASTIC BAGS 5" X7"</t>
  </si>
  <si>
    <t>'0217041</t>
  </si>
  <si>
    <t>SEALED PLASTIC  BAG 3" X 2"</t>
  </si>
  <si>
    <t>'0217046</t>
  </si>
  <si>
    <t>EXPORT CORR BOX 3 PLY</t>
  </si>
  <si>
    <t>'0217048</t>
  </si>
  <si>
    <t>HDPE TAPE 2" X 50 MTR</t>
  </si>
  <si>
    <t>'0217049</t>
  </si>
  <si>
    <t>PLASTIC BAGS 24"X20"</t>
  </si>
  <si>
    <t>'0217051</t>
  </si>
  <si>
    <t>VCI BAG 11"X9"X8"</t>
  </si>
  <si>
    <t>'0217052</t>
  </si>
  <si>
    <t>POLYTHENE BAGS 7"X10"</t>
  </si>
  <si>
    <t>'0217053</t>
  </si>
  <si>
    <t>5PLY CORRUGATE. BOX WITH USD</t>
  </si>
  <si>
    <t>'0217054</t>
  </si>
  <si>
    <t>'0217055</t>
  </si>
  <si>
    <t>'0217056</t>
  </si>
  <si>
    <t>CORRUGATED BOX 320 X 250 X 200</t>
  </si>
  <si>
    <t>'0217062</t>
  </si>
  <si>
    <t>7 PLY CORR. BOX 400X400X140MM</t>
  </si>
  <si>
    <t>'0217063</t>
  </si>
  <si>
    <t>7 PLY CORR BOX 350X350X120MM</t>
  </si>
  <si>
    <t>'0217064</t>
  </si>
  <si>
    <t>73A1 RUBBER CAP</t>
  </si>
  <si>
    <t>'0217069</t>
  </si>
  <si>
    <t>PVC SLEEVE</t>
  </si>
  <si>
    <t>RL</t>
  </si>
  <si>
    <t>'0217073</t>
  </si>
  <si>
    <t>AIR BUBBLE SHEET</t>
  </si>
  <si>
    <t>'0217076</t>
  </si>
  <si>
    <t>RUBBER CAP FOR 7U43</t>
  </si>
  <si>
    <t>'0217077</t>
  </si>
  <si>
    <t xml:space="preserve"> RUBBER CAP FOR 7-U-131</t>
  </si>
  <si>
    <t>'0217078</t>
  </si>
  <si>
    <t>RUBBER CAP FOR 7-U-130</t>
  </si>
  <si>
    <t>'0217079</t>
  </si>
  <si>
    <t>WOODEN BOX 22.5" X 22.5" X 12"</t>
  </si>
  <si>
    <t>'0217093</t>
  </si>
  <si>
    <t>RUBBER CAP FOR 7-U-68</t>
  </si>
  <si>
    <t>'0217095</t>
  </si>
  <si>
    <t>RUBBER CAP 7U44</t>
  </si>
  <si>
    <t>'0217101</t>
  </si>
  <si>
    <t>RUBBER CAP FOR 7-U-67</t>
  </si>
  <si>
    <t>'0217104</t>
  </si>
  <si>
    <t>CORRUGATED BOX 70-A-9 3PLY</t>
  </si>
  <si>
    <t>'0217115</t>
  </si>
  <si>
    <t>4 WAY WOODEN PALLET</t>
  </si>
  <si>
    <t>'0217133</t>
  </si>
  <si>
    <t>WOODEN BOX 13.5"x10.5"x10.5"</t>
  </si>
  <si>
    <t>'0217136</t>
  </si>
  <si>
    <t>WOODEN BOX  40.5"X25"X24"</t>
  </si>
  <si>
    <t>'0217148</t>
  </si>
  <si>
    <t>PLASTIC BAG 30" X 30"</t>
  </si>
  <si>
    <t>'0217165</t>
  </si>
  <si>
    <t>CORRU. SEPERATOR11.75"X8.75"</t>
  </si>
  <si>
    <t>'0217171</t>
  </si>
  <si>
    <t>WOODEN BOX 15"LX15" BX14"HX3/4</t>
  </si>
  <si>
    <t>'0217190</t>
  </si>
  <si>
    <t>PLASTIC CRATE CC64120 GREEN</t>
  </si>
  <si>
    <t>'0217195</t>
  </si>
  <si>
    <t>CORRUGETED BOX 50 X 50 X 6 CMS</t>
  </si>
  <si>
    <t>'0217224</t>
  </si>
  <si>
    <t>PVC STREPPING ROLL</t>
  </si>
  <si>
    <t>'0217226</t>
  </si>
  <si>
    <t>PLASTIC CRATES DRG. NO-CC32150</t>
  </si>
  <si>
    <t>'0217227</t>
  </si>
  <si>
    <t>PLASTIC SEALER 12"</t>
  </si>
  <si>
    <t>'0217242</t>
  </si>
  <si>
    <t>SEALER FOR PET STRAPPING</t>
  </si>
  <si>
    <t>'0217257</t>
  </si>
  <si>
    <t>WOODEN BOX</t>
  </si>
  <si>
    <t>'0217258</t>
  </si>
  <si>
    <t>WOODEN BOX 38X19X18.5</t>
  </si>
  <si>
    <t>'0217280</t>
  </si>
  <si>
    <t>DEAL WOOD BASE 48"X32"X5"</t>
  </si>
  <si>
    <t>'0217281</t>
  </si>
  <si>
    <t>DEAL WOOD FREM 46.5"X29.25"X8"</t>
  </si>
  <si>
    <t>'0217282</t>
  </si>
  <si>
    <t>PLYWOOD TOP 48" X 32"</t>
  </si>
  <si>
    <t>'0217285</t>
  </si>
  <si>
    <t>CORR.BOX 70-A-3</t>
  </si>
  <si>
    <t>'0217288</t>
  </si>
  <si>
    <t>AIR BUBBLE BAG 7"X7"</t>
  </si>
  <si>
    <t>'0217293</t>
  </si>
  <si>
    <t>CORRUGATED BOX 70-A-5 INNER</t>
  </si>
  <si>
    <t>'0217295</t>
  </si>
  <si>
    <t>CORR.BOX.70-A-7 3 PLY</t>
  </si>
  <si>
    <t>'0217296</t>
  </si>
  <si>
    <t>CORR. BOXES 70-A-8 3PLY 200GSM</t>
  </si>
  <si>
    <t>'0217302</t>
  </si>
  <si>
    <t>CORR. BOX  260X260X190MM 70A06</t>
  </si>
  <si>
    <t>'0217328</t>
  </si>
  <si>
    <t>STRETCH  WRAP  FILM ROLL</t>
  </si>
  <si>
    <t>'0217329</t>
  </si>
  <si>
    <t>CORR. BOX FOR 26E59 CASTING</t>
  </si>
  <si>
    <t>'0217331</t>
  </si>
  <si>
    <t>PLASTIC PALLET MODEL AP1210LW</t>
  </si>
  <si>
    <t>'0217334</t>
  </si>
  <si>
    <t>POLYSTER STRAPPING ROLL 15MM</t>
  </si>
  <si>
    <t>'0217339</t>
  </si>
  <si>
    <t>PARTITION NO.1 FOR 26E52</t>
  </si>
  <si>
    <t>'0217341</t>
  </si>
  <si>
    <t>CORR.PARTITION PART 3(5 SLOT)</t>
  </si>
  <si>
    <t>'0217343</t>
  </si>
  <si>
    <t>TARPAULIN  21FTX18FT</t>
  </si>
  <si>
    <t>'0217348</t>
  </si>
  <si>
    <t>CORRUGATED BOX WITH PLATE &amp;</t>
  </si>
  <si>
    <t>'0217349</t>
  </si>
  <si>
    <t>WOODEN SCRAP OLD &amp; USED</t>
  </si>
  <si>
    <t>'0217350</t>
  </si>
  <si>
    <t>OLD &amp; USED PLASTIC SCRAP</t>
  </si>
  <si>
    <t>'0217351</t>
  </si>
  <si>
    <t>PLASTIC DRUM OLD &amp; USED</t>
  </si>
  <si>
    <t>'0217353</t>
  </si>
  <si>
    <t>OLD &amp; USED DRUM M.S.</t>
  </si>
  <si>
    <t>'0217357</t>
  </si>
  <si>
    <t>CORR. BOX SIZE:160X160X435 MM</t>
  </si>
  <si>
    <t>ST</t>
  </si>
  <si>
    <t>'0217367</t>
  </si>
  <si>
    <t>PLASTIC DRUM</t>
  </si>
  <si>
    <t>'0217376</t>
  </si>
  <si>
    <t>PLASTIC CRATE CH-53200</t>
  </si>
  <si>
    <t>'0217405</t>
  </si>
  <si>
    <t>CORR. BOX B4 - 400X300X150 MM</t>
  </si>
  <si>
    <t>'0217406</t>
  </si>
  <si>
    <t>CORR. BOX B4 - 400X300X120 MM</t>
  </si>
  <si>
    <t>'0217407</t>
  </si>
  <si>
    <t>2 SLOT PARTITIONS 370X100</t>
  </si>
  <si>
    <t>'0217408</t>
  </si>
  <si>
    <t>2 SLOT PARTITIONS 265X100</t>
  </si>
  <si>
    <t>'0217410</t>
  </si>
  <si>
    <t>RUBBER CAP 26E85</t>
  </si>
  <si>
    <t>'0217412</t>
  </si>
  <si>
    <t>RUBBER CAP 26E86</t>
  </si>
  <si>
    <t>'0217414</t>
  </si>
  <si>
    <t>WOODEN BOX 310X310X175mm</t>
  </si>
  <si>
    <t>'0217415</t>
  </si>
  <si>
    <t>WOODEN BOX 360X360X225mm</t>
  </si>
  <si>
    <t>'0217416</t>
  </si>
  <si>
    <t>1 SLOT PARTITION 265X135MM</t>
  </si>
  <si>
    <t>'0217417</t>
  </si>
  <si>
    <t>2 SLOT PARTITION 370X135MM</t>
  </si>
  <si>
    <t>'0217420</t>
  </si>
  <si>
    <t>AIR BUBBLE BAG 7” X 10”</t>
  </si>
  <si>
    <t>'0217421</t>
  </si>
  <si>
    <t>ANTI RUST VCI BAG</t>
  </si>
  <si>
    <t>'0217422</t>
  </si>
  <si>
    <t>CORRU BOX FOR 34T206 OUTER</t>
  </si>
  <si>
    <t>'0217423</t>
  </si>
  <si>
    <t>4 SLOT PARTITION 265X100</t>
  </si>
  <si>
    <t>'0217428</t>
  </si>
  <si>
    <t>VCI PLASTIC FILM BAG 5 SIDE</t>
  </si>
  <si>
    <t>'0217436</t>
  </si>
  <si>
    <t>CORRU. SEPERATOR 7 PLY,59T1</t>
  </si>
  <si>
    <t>'0217437</t>
  </si>
  <si>
    <t>CORRU. SEPERATOR 7 PLY, 59T1</t>
  </si>
  <si>
    <t>'0217438</t>
  </si>
  <si>
    <t>CORRU. SEPERATOR 7 PLY,59T2</t>
  </si>
  <si>
    <t>'0217439</t>
  </si>
  <si>
    <t>'0217444</t>
  </si>
  <si>
    <t>RUBBER CAP FOR 26E130</t>
  </si>
  <si>
    <t>'0217445</t>
  </si>
  <si>
    <t>RUBBER CAP FOR 26E131</t>
  </si>
  <si>
    <t>'0217446</t>
  </si>
  <si>
    <t>RUBBER CAP FOR 26E132</t>
  </si>
  <si>
    <t>'0217447</t>
  </si>
  <si>
    <t>RUBBER CAP 26E7/26E165</t>
  </si>
  <si>
    <t>'0217448</t>
  </si>
  <si>
    <t>RUBBER CAP 26E8/26E166</t>
  </si>
  <si>
    <t>'0217449</t>
  </si>
  <si>
    <t>RUBBER CAP 26E31/26E167</t>
  </si>
  <si>
    <t>'0217450</t>
  </si>
  <si>
    <t>RUBBER CAP 26E9,75/26E168,170</t>
  </si>
  <si>
    <t>'0217451</t>
  </si>
  <si>
    <t>RUBBER CAP 26E32/26E169</t>
  </si>
  <si>
    <t>'0217452</t>
  </si>
  <si>
    <t>RUBBER CAP 26E49/26E171</t>
  </si>
  <si>
    <t>'0217453</t>
  </si>
  <si>
    <t>RUBBER CAP 26E50,51/26E172,173</t>
  </si>
  <si>
    <t>'0217454</t>
  </si>
  <si>
    <t>WOODEN BOX 10" X 10" X 9 ½”</t>
  </si>
  <si>
    <t>'0217455</t>
  </si>
  <si>
    <t>WOODEN BOX 12”X 12” X 10”</t>
  </si>
  <si>
    <t>'0217456</t>
  </si>
  <si>
    <t>WOODEN BOX 14” X 14” X 10 ½”</t>
  </si>
  <si>
    <t>'0217460</t>
  </si>
  <si>
    <t>WOODEN CRATE INTERNAL 470X470X</t>
  </si>
  <si>
    <t>'0217461</t>
  </si>
  <si>
    <t>CORR SEPERATOR 1160X86mm,5 PLY</t>
  </si>
  <si>
    <t>'0217462</t>
  </si>
  <si>
    <t>CORR SEPERATOR 760X86mm, 5 PLY</t>
  </si>
  <si>
    <t>'0217463</t>
  </si>
  <si>
    <t>CORR SEPERATOR 1160X75mm,5 PLY</t>
  </si>
  <si>
    <t>'0217464</t>
  </si>
  <si>
    <t>CORR. SEPERATOR 760X75mm,5 PLY</t>
  </si>
  <si>
    <t>'0217465</t>
  </si>
  <si>
    <t>CORR. SEPERATOR PLATE</t>
  </si>
  <si>
    <t>'0217466</t>
  </si>
  <si>
    <t>FIBER DRUM 480mm X 737mm</t>
  </si>
  <si>
    <t>'0217467</t>
  </si>
  <si>
    <t>PLASTIC BAGS 20" X 24"</t>
  </si>
  <si>
    <t>'0217469</t>
  </si>
  <si>
    <t>CORR. SEPERATOR 760X75mm,3SLOT</t>
  </si>
  <si>
    <t>'0217470</t>
  </si>
  <si>
    <t>CORR SEPERATOR 1160X75mm,6SLOT</t>
  </si>
  <si>
    <t>'0217471</t>
  </si>
  <si>
    <t>CORR. SEPERATOR 760X75mm,2SLOT</t>
  </si>
  <si>
    <t>'0217472</t>
  </si>
  <si>
    <t>CORR SEPERATOR 1160X75mm,4SLOT</t>
  </si>
  <si>
    <t>'0217473</t>
  </si>
  <si>
    <t>CORR. SEPERATOR 760X75mm,4SLOT</t>
  </si>
  <si>
    <t>'0217474</t>
  </si>
  <si>
    <t>CORR SEPERATOR 1160X75mm,7SLOT</t>
  </si>
  <si>
    <t>'0217481</t>
  </si>
  <si>
    <t>CORRUGATED BOX 70-A-5 OUTER</t>
  </si>
  <si>
    <t>'0217482</t>
  </si>
  <si>
    <t>NET LON PROTECTIVE SLEEVE</t>
  </si>
  <si>
    <t>MT</t>
  </si>
  <si>
    <t>'0217484</t>
  </si>
  <si>
    <t>5 PLY CORRU. BOX 27D01</t>
  </si>
  <si>
    <t>'0217486</t>
  </si>
  <si>
    <t>M30 RUBBER CAP FOR 66A51</t>
  </si>
  <si>
    <t>'0217487</t>
  </si>
  <si>
    <t>M40 RUBBER CAP FOR 66A57</t>
  </si>
  <si>
    <t>'0217488</t>
  </si>
  <si>
    <t>CORRUGATED BOX FOR 26D7 &amp; 26D8</t>
  </si>
  <si>
    <t>'0219008</t>
  </si>
  <si>
    <t>STEEL BUCKET 15 LITER CAP.</t>
  </si>
  <si>
    <t>'0219147</t>
  </si>
  <si>
    <t xml:space="preserve"> WASTE &amp; SCRAP [ DISCARDED ]OF</t>
  </si>
  <si>
    <t>'0219171</t>
  </si>
  <si>
    <t xml:space="preserve"> T  -  SHIRTS  COTTON  250  GS</t>
  </si>
  <si>
    <t>'0219173</t>
  </si>
  <si>
    <t>T  -  SHIRTS  COTTON  250  GSM</t>
  </si>
  <si>
    <t>'0219178</t>
  </si>
  <si>
    <t>GUM BOOT FULL SIZE</t>
  </si>
  <si>
    <t>'0219181</t>
  </si>
  <si>
    <t>ANCLE SAFETY INDUSRIAL SHOES</t>
  </si>
  <si>
    <t>'0219182</t>
  </si>
  <si>
    <t>OXFERD SEFETY INDUSTRIAL SHOES</t>
  </si>
  <si>
    <t>'0219183</t>
  </si>
  <si>
    <t>PLASTIC BUCKET 20 LTR CAP.</t>
  </si>
  <si>
    <t>'0219198</t>
  </si>
  <si>
    <t>PICKLING CLOTH</t>
  </si>
  <si>
    <t>'0219207</t>
  </si>
  <si>
    <t>NON MAGNETIC WHITE BOARD WITH</t>
  </si>
  <si>
    <t>'0219210</t>
  </si>
  <si>
    <t>S.S. BUCKET 20 LTR CAPACITY</t>
  </si>
  <si>
    <t>'0219211</t>
  </si>
  <si>
    <t>FOUNDRY WORKMEN SAFETY SHOES</t>
  </si>
  <si>
    <t>'0219212</t>
  </si>
  <si>
    <t>INDUSTRIAL SAFETY SHOES FOR</t>
  </si>
  <si>
    <t>'0220002</t>
  </si>
  <si>
    <t>RECHARGEBLE TORCH</t>
  </si>
  <si>
    <t>'0220151</t>
  </si>
  <si>
    <t>RUBBER BAND FOR MOULD</t>
  </si>
  <si>
    <t>'0222005</t>
  </si>
  <si>
    <t>SPMG 060204 DGTT 9030 INSERT</t>
  </si>
  <si>
    <t>'0222006</t>
  </si>
  <si>
    <t>SANDVIK N123 F2-0250-0002-CM-</t>
  </si>
  <si>
    <t>'0222018</t>
  </si>
  <si>
    <t>SC END MILL DIA 16MM X6 FLUTE</t>
  </si>
  <si>
    <t>'0222098</t>
  </si>
  <si>
    <t>LNMT 1106 PN-N-NM IC908 INSERT</t>
  </si>
  <si>
    <t>'0222100</t>
  </si>
  <si>
    <t>LEVER FOR TNMG INSERT</t>
  </si>
  <si>
    <t>'0222101</t>
  </si>
  <si>
    <t>SC ENDMILL 8MM DIA FL20 OAL63</t>
  </si>
  <si>
    <t>'0222136</t>
  </si>
  <si>
    <t>SPMG 110408 DG TT 9030</t>
  </si>
  <si>
    <t>'0222150</t>
  </si>
  <si>
    <t>M6 ROLL TAP</t>
  </si>
  <si>
    <t>'0222156</t>
  </si>
  <si>
    <t>M4 HSS ROLL TAP ART NO. 5598 "</t>
  </si>
  <si>
    <t>'0222172</t>
  </si>
  <si>
    <t>DNMG150408 MS PR 1125 INSERT</t>
  </si>
  <si>
    <t>'0222183</t>
  </si>
  <si>
    <t>M3 ROLL TAP  A.NO.5598 GUHRING</t>
  </si>
  <si>
    <t>'0222186</t>
  </si>
  <si>
    <t>MT14I 1.50 ISO IC908</t>
  </si>
  <si>
    <t>'0222191</t>
  </si>
  <si>
    <t>INSERT 16ERM 1.50 ISO IC908</t>
  </si>
  <si>
    <t>'0222205</t>
  </si>
  <si>
    <t>M3 X0.5MM CUT TAP</t>
  </si>
  <si>
    <t>'0222211</t>
  </si>
  <si>
    <t>16 IRM 1.50 ISO IC908 INSERT</t>
  </si>
  <si>
    <t>'0222260</t>
  </si>
  <si>
    <t>SC DRILL DIA 2.5 MM EXTRA LONG</t>
  </si>
  <si>
    <t>'0222263</t>
  </si>
  <si>
    <t>SR 34 - 550 (7002495) "ISCAR"</t>
  </si>
  <si>
    <t>'0222273</t>
  </si>
  <si>
    <t>SC DRILL DIA 3.5  GUHRING</t>
  </si>
  <si>
    <t>'0222280</t>
  </si>
  <si>
    <t>HSS DRILL DIA 8.4</t>
  </si>
  <si>
    <t>'0222295</t>
  </si>
  <si>
    <t>GIPI 2.30- 0.20 IC 328 INSERT</t>
  </si>
  <si>
    <t>'0222296</t>
  </si>
  <si>
    <t>SC DRILL DIA 2.3MM. OAL60 FL14</t>
  </si>
  <si>
    <t>'0222331</t>
  </si>
  <si>
    <t>BHF MB 50-50X60 "ISCAR"</t>
  </si>
  <si>
    <t>'0222335</t>
  </si>
  <si>
    <t>TPGX 090204L IC908 "ISCAR"</t>
  </si>
  <si>
    <t>'0222349</t>
  </si>
  <si>
    <t>SC DRILL 6.8 X 40 X 80 OAL</t>
  </si>
  <si>
    <t>'0222351</t>
  </si>
  <si>
    <t>CCMT 060204 SM IC907</t>
  </si>
  <si>
    <t>'0222375</t>
  </si>
  <si>
    <t>THREAD PLUG GAUGE M12X1.25X6H</t>
  </si>
  <si>
    <t>'0222387</t>
  </si>
  <si>
    <t>INSERT HGPL 4004Y IC908</t>
  </si>
  <si>
    <t>'0222400</t>
  </si>
  <si>
    <t>TNMG 160408 - TP IC907 "ISCAR"</t>
  </si>
  <si>
    <t>'0222401</t>
  </si>
  <si>
    <t>SC DRILL DIA 3.7X 25 MM F.L</t>
  </si>
  <si>
    <t>'0222402</t>
  </si>
  <si>
    <t>SC END MILL DIA 12MM X6 FLUTE</t>
  </si>
  <si>
    <t>'0222411</t>
  </si>
  <si>
    <t>M5 ROLL TAP "EMUGE</t>
  </si>
  <si>
    <t>'0222429</t>
  </si>
  <si>
    <t>SC DRILL 3.8 MM "GUHRING" A. N</t>
  </si>
  <si>
    <t>'0222436</t>
  </si>
  <si>
    <t>SC REAMER DIA 6.03 + 0.01</t>
  </si>
  <si>
    <t>'0222460</t>
  </si>
  <si>
    <t>KEYLESS DRILL CHUCK 1-13 MT3</t>
  </si>
  <si>
    <t>'0222482</t>
  </si>
  <si>
    <t>SC HOLE MILL CUTTER DIA 12</t>
  </si>
  <si>
    <t>'0222490</t>
  </si>
  <si>
    <t>M14 X 1.50. HSS MACHINE TAP</t>
  </si>
  <si>
    <t>'0222491</t>
  </si>
  <si>
    <t>THREAD PLUG GAUGE M14 X 1.5 MM</t>
  </si>
  <si>
    <t>'0222496</t>
  </si>
  <si>
    <t>BT40 ER16X60 ADAPTOR "KTA"</t>
  </si>
  <si>
    <t>'0222497</t>
  </si>
  <si>
    <t>BT40 ER40X80 ADAPTOR "KTA"</t>
  </si>
  <si>
    <t>'0222506</t>
  </si>
  <si>
    <t>SCD DIA 4.3MM A.NO 5514</t>
  </si>
  <si>
    <t>'0222508</t>
  </si>
  <si>
    <t>M6X1 6H CUT TAP EMUGE</t>
  </si>
  <si>
    <t>'0222509</t>
  </si>
  <si>
    <t>M5X0.8 6H TAP SP FLUTE TIN</t>
  </si>
  <si>
    <t>'0222514</t>
  </si>
  <si>
    <t>APKT 1003 PDR HM90 IC908</t>
  </si>
  <si>
    <t>'0222523</t>
  </si>
  <si>
    <t>INSERT HEHT 0504 DETR TT 9030</t>
  </si>
  <si>
    <t>'0222526</t>
  </si>
  <si>
    <t>S/C DRILL DIA 14.5 X 55FL X105</t>
  </si>
  <si>
    <t>'0222555</t>
  </si>
  <si>
    <t>MM-S-A-L090-C12-T08-C</t>
  </si>
  <si>
    <t>'0222559</t>
  </si>
  <si>
    <t>S/C END MILL DIA 5.0 MM.</t>
  </si>
  <si>
    <t>'0222563</t>
  </si>
  <si>
    <t>CCMT 060208 IC907</t>
  </si>
  <si>
    <t>'0222578</t>
  </si>
  <si>
    <t>SC REMER DIA 5.0X40X80</t>
  </si>
  <si>
    <t>'0222580</t>
  </si>
  <si>
    <t>M 20 X 1.56 HSS TAP 3RD TAP</t>
  </si>
  <si>
    <t>'0222590</t>
  </si>
  <si>
    <t>SC REAMER 11.85 MM DIA</t>
  </si>
  <si>
    <t>'0222613</t>
  </si>
  <si>
    <t>HSS DRILL DIA 5.96X75X125 LONG</t>
  </si>
  <si>
    <t>'0222614</t>
  </si>
  <si>
    <t>MACHINE TAP M10 X 1.5</t>
  </si>
  <si>
    <t>'0222621</t>
  </si>
  <si>
    <t>SC DRILL 13 DIA</t>
  </si>
  <si>
    <t>'0222634</t>
  </si>
  <si>
    <t>25SCLCL09 BORING TOOL HOLDER</t>
  </si>
  <si>
    <t>'0222635</t>
  </si>
  <si>
    <t>SC DRILL DIA 3.7 A.NO 5515</t>
  </si>
  <si>
    <t>'0222636</t>
  </si>
  <si>
    <t>SC DRILL DIA 4.0 A.NO.5514</t>
  </si>
  <si>
    <t>'0222637</t>
  </si>
  <si>
    <t>CPMT 09T304-PSS AH 725 INSERT</t>
  </si>
  <si>
    <t>'0222639</t>
  </si>
  <si>
    <t>CCMT 090308 PSS AH725</t>
  </si>
  <si>
    <t>'0222640</t>
  </si>
  <si>
    <t>CCMT 090304 PSS AH725</t>
  </si>
  <si>
    <t>'0222641</t>
  </si>
  <si>
    <t>CPMT 09T308 PSS AH725</t>
  </si>
  <si>
    <t>'0222652</t>
  </si>
  <si>
    <t>BT 40 PULL STUD</t>
  </si>
  <si>
    <t>'0222657</t>
  </si>
  <si>
    <t>SC BALL NOSE CUTTER DIA 6MM.</t>
  </si>
  <si>
    <t>'0222658</t>
  </si>
  <si>
    <t>SC BALL NOSE CUTTER DIA 8MM.</t>
  </si>
  <si>
    <t>'0222659</t>
  </si>
  <si>
    <t>MWLNL 2525N-06W OD HOLDER</t>
  </si>
  <si>
    <t>'0222662</t>
  </si>
  <si>
    <t>SC END MILL DIA 10  A..NO.3649</t>
  </si>
  <si>
    <t>'0222666</t>
  </si>
  <si>
    <t>SC END MILL DIA 4.0 A.NO.3649</t>
  </si>
  <si>
    <t>'0222667</t>
  </si>
  <si>
    <t>SC END MILL DIA 3.0  A.NO.3649</t>
  </si>
  <si>
    <t>'0222668</t>
  </si>
  <si>
    <t>SCREW FOR HEHT0504 DETR INSERT</t>
  </si>
  <si>
    <t>'0222673</t>
  </si>
  <si>
    <t>SC END MILL DIA 6.0MM.</t>
  </si>
  <si>
    <t>'0222675</t>
  </si>
  <si>
    <t>DNMG 150404 MS PR 1125 INSERT</t>
  </si>
  <si>
    <t>'0222676</t>
  </si>
  <si>
    <t>SC DRILL DIA 11.8X60X110MM.</t>
  </si>
  <si>
    <t>'0222680</t>
  </si>
  <si>
    <t>TORX KEY T-10</t>
  </si>
  <si>
    <t>'0222681</t>
  </si>
  <si>
    <t>TORX KEY T-15</t>
  </si>
  <si>
    <t>'0222682</t>
  </si>
  <si>
    <t>SC DRILL DIA 12.5 A.NO.5514</t>
  </si>
  <si>
    <t>'0222691</t>
  </si>
  <si>
    <t>INSERT PNCU0905GNER-MJ AH725</t>
  </si>
  <si>
    <t>'0222692</t>
  </si>
  <si>
    <t>DOPENT CUTTER DIA63 TEN09R063</t>
  </si>
  <si>
    <t>'0222699</t>
  </si>
  <si>
    <t>SC END MILL DIA12 R1</t>
  </si>
  <si>
    <t>'0222704</t>
  </si>
  <si>
    <t>SCD  DIA 17.5 X 40FL. X100 OAL</t>
  </si>
  <si>
    <t>'0222705</t>
  </si>
  <si>
    <t>LS-2N SCREW</t>
  </si>
  <si>
    <t>'0222721</t>
  </si>
  <si>
    <t>SC DRILL DIA 5.1 A.NO.5514</t>
  </si>
  <si>
    <t>'0222722</t>
  </si>
  <si>
    <t>1/4 UNC CUT TAP</t>
  </si>
  <si>
    <t>'0222754</t>
  </si>
  <si>
    <t>SC DRILL DIA 3.4 GUHRING A.NO.</t>
  </si>
  <si>
    <t>'0222765</t>
  </si>
  <si>
    <t>REDUCTION SLEEVE 20X10</t>
  </si>
  <si>
    <t>'0222766</t>
  </si>
  <si>
    <t>REDUCTION SLEEVE 20X8</t>
  </si>
  <si>
    <t>'0222772</t>
  </si>
  <si>
    <t>SC END MILL DIA 16X90 DEG.</t>
  </si>
  <si>
    <t>'0222773</t>
  </si>
  <si>
    <t>VCMT 160404</t>
  </si>
  <si>
    <t>'0222774</t>
  </si>
  <si>
    <t>SC DRILL DIA 5.02XFL60 XOAL105</t>
  </si>
  <si>
    <t>'0222778</t>
  </si>
  <si>
    <t>LNMU06X5ZER-ML AH130 INSERT</t>
  </si>
  <si>
    <t>'0222780</t>
  </si>
  <si>
    <t>BT40CS22150M COMBI SHELL MILL</t>
  </si>
  <si>
    <t>'0222784</t>
  </si>
  <si>
    <t>BT40ER32150M EXTRALONG ADAPTOR</t>
  </si>
  <si>
    <t>'0222786</t>
  </si>
  <si>
    <t>SCREW FOR SPMG INSERT</t>
  </si>
  <si>
    <t>'0222796</t>
  </si>
  <si>
    <t>TORX KEY T8</t>
  </si>
  <si>
    <t>'0222797</t>
  </si>
  <si>
    <t>TORX KEY T9</t>
  </si>
  <si>
    <t>'0222798</t>
  </si>
  <si>
    <t>TORX KEY T6</t>
  </si>
  <si>
    <t>'0222799</t>
  </si>
  <si>
    <t>TORX KEY T7</t>
  </si>
  <si>
    <t>'0222810</t>
  </si>
  <si>
    <t>MT12 1.0 ISO IC908</t>
  </si>
  <si>
    <t>'0222820</t>
  </si>
  <si>
    <t>SC DRILL 3.65</t>
  </si>
  <si>
    <t>'0222822</t>
  </si>
  <si>
    <t>5/16 18UNC HSS CUT TAP</t>
  </si>
  <si>
    <t>'0222823</t>
  </si>
  <si>
    <t>CNMG 120408 IC907 INSERT</t>
  </si>
  <si>
    <t>'0222825</t>
  </si>
  <si>
    <t>VMC M12 T NUT</t>
  </si>
  <si>
    <t>'0222830</t>
  </si>
  <si>
    <t>SC HOLE MILL DIA 14.8</t>
  </si>
  <si>
    <t>'0222831</t>
  </si>
  <si>
    <t>TNMG 160404-SM T6130 INSERT</t>
  </si>
  <si>
    <t>'0222857</t>
  </si>
  <si>
    <t>SC END MILL CUTTER DIA 2.5</t>
  </si>
  <si>
    <t>'0222870</t>
  </si>
  <si>
    <t>SC CHAMFER TOOL DIA16.0XSH</t>
  </si>
  <si>
    <t>'0222897</t>
  </si>
  <si>
    <t>MM GRIT 22K-3.00-0.20 528ISCAR</t>
  </si>
  <si>
    <t>'0222907</t>
  </si>
  <si>
    <t>SC DRILL DIA 2.76</t>
  </si>
  <si>
    <t>'0222908</t>
  </si>
  <si>
    <t>SC HOLE MILL DIA 14.5</t>
  </si>
  <si>
    <t>'0222909</t>
  </si>
  <si>
    <t>SC HOLE MILL DIA 18.5</t>
  </si>
  <si>
    <t>'0222912</t>
  </si>
  <si>
    <t>TPGX 110304 INSERT</t>
  </si>
  <si>
    <t>'0222923</t>
  </si>
  <si>
    <t>SC PROFILE TOOL DIA 16</t>
  </si>
  <si>
    <t>'0222924</t>
  </si>
  <si>
    <t>GF161136.9514 GF-VHM-EXT-1KZ-</t>
  </si>
  <si>
    <t>'0222933</t>
  </si>
  <si>
    <t>INSERT CNMG 120412</t>
  </si>
  <si>
    <t>'0222943</t>
  </si>
  <si>
    <t>M8X1.25 STRAIGHT FULL CUT TAP</t>
  </si>
  <si>
    <t>'0222946</t>
  </si>
  <si>
    <t>GROOVING INSERT 2.0MM TDC</t>
  </si>
  <si>
    <t>'0222970</t>
  </si>
  <si>
    <t>INSERT HNGX 0604 ANSN- F - 824</t>
  </si>
  <si>
    <t>'0222977</t>
  </si>
  <si>
    <t>S 16 Q SCLCL-09 CNC BORING BAR</t>
  </si>
  <si>
    <t>'0222981</t>
  </si>
  <si>
    <t>SC END MILL CUTTER DIA 9.00</t>
  </si>
  <si>
    <t>'0223005</t>
  </si>
  <si>
    <t>SC REAMER DIA 6.37</t>
  </si>
  <si>
    <t>'0223016</t>
  </si>
  <si>
    <t>SC REAMER DIA 7.97</t>
  </si>
  <si>
    <t>'0223018</t>
  </si>
  <si>
    <t>SC REAMER DIA 10.33</t>
  </si>
  <si>
    <t>'0223019</t>
  </si>
  <si>
    <t>SC REAMER DIA 9.57</t>
  </si>
  <si>
    <t>'0223021</t>
  </si>
  <si>
    <t>SC DRILL DIA 7.7</t>
  </si>
  <si>
    <t>'0223023</t>
  </si>
  <si>
    <t xml:space="preserve"> HNGX SCREW PRAMET MAKE</t>
  </si>
  <si>
    <t>'0223024</t>
  </si>
  <si>
    <t>SC DRILL DIA 15 X 50 FL X 100</t>
  </si>
  <si>
    <t>'0223028</t>
  </si>
  <si>
    <t>SC REAMER DIA 3.03XFL 50XOAL80</t>
  </si>
  <si>
    <t>'0223064</t>
  </si>
  <si>
    <t>WNMG 080404 HM PC 9030</t>
  </si>
  <si>
    <t>'0223065</t>
  </si>
  <si>
    <t>WNMG 080408 HM PC 9030</t>
  </si>
  <si>
    <t>'0223066</t>
  </si>
  <si>
    <t>WNMG 080412 HM PC 9030</t>
  </si>
  <si>
    <t>'0223073</t>
  </si>
  <si>
    <t>CNMG 120404 HMPC 9030 INSERT</t>
  </si>
  <si>
    <t>'0223081</t>
  </si>
  <si>
    <t>DIA 22 PROFILE CUTTER</t>
  </si>
  <si>
    <t>'0223088</t>
  </si>
  <si>
    <t>DIA 11 SC HOLE MILL CUTTER</t>
  </si>
  <si>
    <t>'0223092</t>
  </si>
  <si>
    <t>DIA 19 BORING TOOL</t>
  </si>
  <si>
    <t>'0223095</t>
  </si>
  <si>
    <t>DIA 30 SPOTFACE CUTTER</t>
  </si>
  <si>
    <t>'0223118</t>
  </si>
  <si>
    <t>DNMG 150404 INSERT LEVER</t>
  </si>
  <si>
    <t>'0223125</t>
  </si>
  <si>
    <t>SHIM FOR CNMG 120412 INSERT</t>
  </si>
  <si>
    <t>'0223127</t>
  </si>
  <si>
    <t>SPMG 07 T T308 INSERT SCREW</t>
  </si>
  <si>
    <t>'0223128</t>
  </si>
  <si>
    <t>TCMT 090204 INSERT SCREW</t>
  </si>
  <si>
    <t>'0223135</t>
  </si>
  <si>
    <t>DIA 14.5 SC PROFILE TOOL</t>
  </si>
  <si>
    <t>'0223141</t>
  </si>
  <si>
    <t>LNMU 06X5ZER INSERT SCREW</t>
  </si>
  <si>
    <t>'0223142</t>
  </si>
  <si>
    <t>ONMT 05T6ANE G ACP300 MILLING</t>
  </si>
  <si>
    <t>'0223143</t>
  </si>
  <si>
    <t>GF 1631269514N3 SC RHREAD MILL</t>
  </si>
  <si>
    <t>'0223156</t>
  </si>
  <si>
    <t>CNMG 120408 INSERT SHIM LEVER</t>
  </si>
  <si>
    <t>'0223157</t>
  </si>
  <si>
    <t>LNGX 120508 SR-MM M8340 INSERT</t>
  </si>
  <si>
    <t>'0223161</t>
  </si>
  <si>
    <t>LNGX 120520 ER M M8340 INSERT</t>
  </si>
  <si>
    <t>'0223163</t>
  </si>
  <si>
    <t>METRIC PORT TOOL ISO 6149/1</t>
  </si>
  <si>
    <t>'0223170</t>
  </si>
  <si>
    <t>BURNISHING TOOL DIA 11MM</t>
  </si>
  <si>
    <t>'0223175</t>
  </si>
  <si>
    <t>DIA 20XW4.2XR0.8X45XFL15XOAL80</t>
  </si>
  <si>
    <t>'0223177</t>
  </si>
  <si>
    <t>TDXU 3E 0.3 TT9030 GROOVING</t>
  </si>
  <si>
    <t>'0223179</t>
  </si>
  <si>
    <t>SCREW FOR ONMT INSERT</t>
  </si>
  <si>
    <t>'0223185</t>
  </si>
  <si>
    <t>DIA 63 CUTTER 63A06R-S90 LN12-</t>
  </si>
  <si>
    <t>'0223187</t>
  </si>
  <si>
    <t>SC WOODRUFF CUTTER</t>
  </si>
  <si>
    <t>'0223193</t>
  </si>
  <si>
    <t>16ER 2 TR INSERT</t>
  </si>
  <si>
    <t>'0223196</t>
  </si>
  <si>
    <t>GRUB SCREW FOR CNMG</t>
  </si>
  <si>
    <t>'0223197</t>
  </si>
  <si>
    <t>SPMG 090408 DG TT 9030 INSERT</t>
  </si>
  <si>
    <t>'0223198</t>
  </si>
  <si>
    <t>PCLNL 2525 M12 WIDAX TOOL</t>
  </si>
  <si>
    <t>'0223199</t>
  </si>
  <si>
    <t>DIA 50MM CUTTER 50A05R-</t>
  </si>
  <si>
    <t>'0223209</t>
  </si>
  <si>
    <t>VORGEN DCLNL2525- VAV02-M5 SCR</t>
  </si>
  <si>
    <t>'0223210</t>
  </si>
  <si>
    <t>VORGEN DCLNL2525- AA3-GRUB</t>
  </si>
  <si>
    <t>'0223211</t>
  </si>
  <si>
    <t>LNGX INSERT SCREW VS-44012-T15</t>
  </si>
  <si>
    <t>'0223220</t>
  </si>
  <si>
    <t>DIA 25 SC PROFILE CUTTER</t>
  </si>
  <si>
    <t>'0223221</t>
  </si>
  <si>
    <t>DIA 12 X R 1.2 X 90° PROFILE</t>
  </si>
  <si>
    <t>'0223222</t>
  </si>
  <si>
    <t>GRUB SCREW (KOROLOY MAKE)</t>
  </si>
  <si>
    <t>'0223230</t>
  </si>
  <si>
    <t>SC WOODRUFF CUTTER DIA 16</t>
  </si>
  <si>
    <t>'0223231</t>
  </si>
  <si>
    <t>IHAXF 14-16-E BORING BAR EXTE.</t>
  </si>
  <si>
    <t>'0223232</t>
  </si>
  <si>
    <t>TPGX 09T0202 INSERT ISCAR MAKE</t>
  </si>
  <si>
    <t>'0223233</t>
  </si>
  <si>
    <t>SC REAMER DIA 15F8XFL120X</t>
  </si>
  <si>
    <t>'0223234</t>
  </si>
  <si>
    <t>SC REAMER DIA 15H8 XFL70XOAL</t>
  </si>
  <si>
    <t>'0223235</t>
  </si>
  <si>
    <t>DIA 10.0 SC BOLL NOSE STD.SIZE</t>
  </si>
  <si>
    <t>'0223236</t>
  </si>
  <si>
    <t>DIA 4E8 XFL40XOAL70 MMXSH5</t>
  </si>
  <si>
    <t>'0223237</t>
  </si>
  <si>
    <t>DIA 4.04XFL40XOAL 70 MM XSH5</t>
  </si>
  <si>
    <t>'0223238</t>
  </si>
  <si>
    <t>DIA 4.05XFL40XOAL 70 MM XSH 5</t>
  </si>
  <si>
    <t>'0223240</t>
  </si>
  <si>
    <t>TEN09R100M32,0E08 FACE MILL</t>
  </si>
  <si>
    <t>'0223241</t>
  </si>
  <si>
    <t>TDT2E-1.0- RUTT9030 R1 INSERT</t>
  </si>
  <si>
    <t>'0223242</t>
  </si>
  <si>
    <t>TDT3E-1.5 RUTT9030 (R2) INSERT</t>
  </si>
  <si>
    <t>'0223243</t>
  </si>
  <si>
    <t>FACE GROOVE HOLDER TTFR2525-4</t>
  </si>
  <si>
    <t>'0223245</t>
  </si>
  <si>
    <t>16IR30ISO-B AH725, INTERNAL</t>
  </si>
  <si>
    <t>'022F0038D</t>
  </si>
  <si>
    <t>22F38 ONE CAVITY WAX MOULD</t>
  </si>
  <si>
    <t>'022F0039D</t>
  </si>
  <si>
    <t>22F39 SINGLE CAVITY IN TWO</t>
  </si>
  <si>
    <t>'022F0040D</t>
  </si>
  <si>
    <t>022F0040 Single cavity in Two</t>
  </si>
  <si>
    <t>'025N0032D</t>
  </si>
  <si>
    <t>25N32 TWO CAVITY WAX INJECTION</t>
  </si>
  <si>
    <t>'025N0033D</t>
  </si>
  <si>
    <t>25N33 TWO CAVITY WAX INJECTION</t>
  </si>
  <si>
    <t>'025N0034D</t>
  </si>
  <si>
    <t>25N34 SINGLE CAVITY WAX</t>
  </si>
  <si>
    <t>'025N0035D</t>
  </si>
  <si>
    <t>25N35 TWO CAVITY WAX INJECTION</t>
  </si>
  <si>
    <t>'025N0036D</t>
  </si>
  <si>
    <t>25N36 TWO CAVITY WAX INJECTION</t>
  </si>
  <si>
    <t>'025N0037D</t>
  </si>
  <si>
    <t>25N37 TWO CAVITY WAX INJECTION</t>
  </si>
  <si>
    <t>'025N0038D</t>
  </si>
  <si>
    <t>25N38 TWO CAVITY WAX INJECTION</t>
  </si>
  <si>
    <t>'025N0039D</t>
  </si>
  <si>
    <t>25N39 TWO CAVITY WAX INJECTION</t>
  </si>
  <si>
    <t>'025N0040D</t>
  </si>
  <si>
    <t>25N40 TWO CAVITY WAX INJECTION</t>
  </si>
  <si>
    <t>'026E00100D</t>
  </si>
  <si>
    <t>26E100 BIG CUP MOULD WITH</t>
  </si>
  <si>
    <t>'027D0002D</t>
  </si>
  <si>
    <t>27D02 TWO CAVITY WAX INJECTION</t>
  </si>
  <si>
    <t>'027E0009D</t>
  </si>
  <si>
    <t>27E09 EIGHT CAVITY WAX</t>
  </si>
  <si>
    <t>'029N0001D</t>
  </si>
  <si>
    <t>29N01 SINGLE CAVITY WAX INJE.</t>
  </si>
  <si>
    <t>'029N0001DW</t>
  </si>
  <si>
    <t>29N01 WATER SOLUBLE SINGLE</t>
  </si>
  <si>
    <t>'029N0001RD</t>
  </si>
  <si>
    <t>29N01 RISER MOULD</t>
  </si>
  <si>
    <t>'029T0019D</t>
  </si>
  <si>
    <t>29T19 SIX CAVITY WAX INJECTION</t>
  </si>
  <si>
    <t>'029T0020D</t>
  </si>
  <si>
    <t>29T20 SIX CAVITY WAX INJECTION</t>
  </si>
  <si>
    <t>'029T0023D</t>
  </si>
  <si>
    <t>29T23  EIGHT CAVITY WAX</t>
  </si>
  <si>
    <t>'029T0030D</t>
  </si>
  <si>
    <t>29T30(PD561013) SINGLE CAVITY</t>
  </si>
  <si>
    <t>'029T0031D</t>
  </si>
  <si>
    <t>29T31(PD561014) SINGLE CAVITY</t>
  </si>
  <si>
    <t>'029T0032D</t>
  </si>
  <si>
    <t>29T32(PD561015) SINGLE CAVITY</t>
  </si>
  <si>
    <t>'029T0035D</t>
  </si>
  <si>
    <t>29T35(AF101305),29T36(AF101302</t>
  </si>
  <si>
    <t>'0301001</t>
  </si>
  <si>
    <t>BULB 60 WT.</t>
  </si>
  <si>
    <t>'0301008</t>
  </si>
  <si>
    <t>TUBE LIGHT 36/40 WT.,</t>
  </si>
  <si>
    <t>'0301009</t>
  </si>
  <si>
    <t>TUBE LIGHT 20 WT.</t>
  </si>
  <si>
    <t>'0301020</t>
  </si>
  <si>
    <t>PORCELAIN HOLDER FOR 125W BULB</t>
  </si>
  <si>
    <t>'0301038</t>
  </si>
  <si>
    <t>CAPACITOR 2.5 MFD</t>
  </si>
  <si>
    <t>'0301048</t>
  </si>
  <si>
    <t>3 LEVER MACHINE LAMP</t>
  </si>
  <si>
    <t>'0301072</t>
  </si>
  <si>
    <t>FAN REGULATOR</t>
  </si>
  <si>
    <t>'0301081</t>
  </si>
  <si>
    <t>CHOKE FOR METAL HALIDE LAMP</t>
  </si>
  <si>
    <t>'0301085</t>
  </si>
  <si>
    <t>ELECTRONIC CHOKE 36 WATT</t>
  </si>
  <si>
    <t>'0301086</t>
  </si>
  <si>
    <t>POWER CAPACITOR 25KVAR/50HZ</t>
  </si>
  <si>
    <t>'0301092</t>
  </si>
  <si>
    <t>6 VOLT BATTERY</t>
  </si>
  <si>
    <t>'0301095</t>
  </si>
  <si>
    <t>LED BULB 7 WATT</t>
  </si>
  <si>
    <t>'0301097</t>
  </si>
  <si>
    <t>CAPACITOR 4 MFD</t>
  </si>
  <si>
    <t>'0301110</t>
  </si>
  <si>
    <t>HALOGEN LAMP 1000 WT.240/250 V</t>
  </si>
  <si>
    <t>'0301112</t>
  </si>
  <si>
    <t>CAPACITOR 40/60 MICRO FARADE</t>
  </si>
  <si>
    <t>'0301136</t>
  </si>
  <si>
    <t>GLASS FUSE HOLDER</t>
  </si>
  <si>
    <t>'0301143</t>
  </si>
  <si>
    <t>BATTERY 9 VOLTS</t>
  </si>
  <si>
    <t>'0301153</t>
  </si>
  <si>
    <t>CAPACITOR 8 MF</t>
  </si>
  <si>
    <t>'0301156</t>
  </si>
  <si>
    <t>UV-A LED 365/4 OVER HEAD LIGHT</t>
  </si>
  <si>
    <t>'0301157</t>
  </si>
  <si>
    <t>CAPACITOR 36 MFD 440 V AC 50HZ</t>
  </si>
  <si>
    <t>'0301190</t>
  </si>
  <si>
    <t>SPIKE GARD</t>
  </si>
  <si>
    <t>'0301202</t>
  </si>
  <si>
    <t>METAL HALIDE LAMP 400 WATT</t>
  </si>
  <si>
    <t>'0301217</t>
  </si>
  <si>
    <t>INDICATING LED LAMP</t>
  </si>
  <si>
    <t>'0301220</t>
  </si>
  <si>
    <t>TUBE LIGHT FITTING 18WT</t>
  </si>
  <si>
    <t>'0301224</t>
  </si>
  <si>
    <t>CAPACITOR 10 MRD</t>
  </si>
  <si>
    <t>'0301225</t>
  </si>
  <si>
    <t>HALOGEN TUBE 1000WT X 5" LONG</t>
  </si>
  <si>
    <t>'0301235</t>
  </si>
  <si>
    <t>DURACELL BATTERY 1.5 VOLT</t>
  </si>
  <si>
    <t>'0301236</t>
  </si>
  <si>
    <t>CAPACITOR 4 OUF</t>
  </si>
  <si>
    <t>'0301237</t>
  </si>
  <si>
    <t>CAPACITOR  12 UF</t>
  </si>
  <si>
    <t>'0301255</t>
  </si>
  <si>
    <t>IGNITOR FOR HPSV LAMPS</t>
  </si>
  <si>
    <t>'0301263</t>
  </si>
  <si>
    <t>WIRELESS MOUSE</t>
  </si>
  <si>
    <t>'0301267</t>
  </si>
  <si>
    <t>LAPTOP STAND WITH COOLING PAD</t>
  </si>
  <si>
    <t>'0301271</t>
  </si>
  <si>
    <t>GEAR WHEEL</t>
  </si>
  <si>
    <t>'0301291</t>
  </si>
  <si>
    <t>PLASTIC JAR</t>
  </si>
  <si>
    <t>'0301293</t>
  </si>
  <si>
    <t>LED BULB/LAMP 18 WATT</t>
  </si>
  <si>
    <t>'0301304</t>
  </si>
  <si>
    <t>SLEEVE FOR KIRLOSKAR PUMP</t>
  </si>
  <si>
    <t>'0301314</t>
  </si>
  <si>
    <t>HYD.M.S.HEX NIPPLE 1/2"</t>
  </si>
  <si>
    <t>'0301320</t>
  </si>
  <si>
    <t>HDMI CONVERTER</t>
  </si>
  <si>
    <t>'0301321</t>
  </si>
  <si>
    <t>HDMI CABLE FOR PROJECTOR</t>
  </si>
  <si>
    <t>'0301327</t>
  </si>
  <si>
    <t>36 WATT LED STREET LIGHT</t>
  </si>
  <si>
    <t>'0301331</t>
  </si>
  <si>
    <t>INFRARED THERMOMETER TEMP.</t>
  </si>
  <si>
    <t>'0301336</t>
  </si>
  <si>
    <t>LED TUBELIGHT, 10 WATT,</t>
  </si>
  <si>
    <t>'0301337</t>
  </si>
  <si>
    <t>CONDUCTIVITY CELL FOR TCM15</t>
  </si>
  <si>
    <t>'0301338</t>
  </si>
  <si>
    <t>LED HIGH BAY FITTING 100W</t>
  </si>
  <si>
    <t>'0301340</t>
  </si>
  <si>
    <t>USB TO SERIAL 9 PIN MALE CONV.</t>
  </si>
  <si>
    <t>'0301341</t>
  </si>
  <si>
    <t>LED HIGH BAY FITTING 50W</t>
  </si>
  <si>
    <t>'0301342</t>
  </si>
  <si>
    <t>MOTOR OVER HAULING KIT FOR</t>
  </si>
  <si>
    <t>'0301343</t>
  </si>
  <si>
    <t>LED SPOT LIGHT 1.5 FEET 8W</t>
  </si>
  <si>
    <t>'0301344</t>
  </si>
  <si>
    <t>KLUBER SUMMIT VARNASOLV</t>
  </si>
  <si>
    <t>'0301345</t>
  </si>
  <si>
    <t>LED MACHINE LIGHT , 8W, 230VAC</t>
  </si>
  <si>
    <t>'0301346</t>
  </si>
  <si>
    <t>LED MACHINE LIGHT , 12W,</t>
  </si>
  <si>
    <t>'0301347</t>
  </si>
  <si>
    <t>LED TOWER LAMP, 3 TIRE, WIT</t>
  </si>
  <si>
    <t>'0301349</t>
  </si>
  <si>
    <t>BATTERY ASSEMBLY PNO.60750-10</t>
  </si>
  <si>
    <t>'0301350</t>
  </si>
  <si>
    <t>BATTERY ASSEMBLY</t>
  </si>
  <si>
    <t>'0301351</t>
  </si>
  <si>
    <t>GYPSUM CEILING BOARD 595X59X7</t>
  </si>
  <si>
    <t>'0301381</t>
  </si>
  <si>
    <t>MCCB 250 AMPS 3 POLE DN-2-250D</t>
  </si>
  <si>
    <t>'0301383</t>
  </si>
  <si>
    <t>LED TubeSet</t>
  </si>
  <si>
    <t>'0301384</t>
  </si>
  <si>
    <t>LED TUBELIGHT, 20W, 4FT</t>
  </si>
  <si>
    <t>'0302017</t>
  </si>
  <si>
    <t>MCB 16 DP</t>
  </si>
  <si>
    <t>'0302024</t>
  </si>
  <si>
    <t>METAL CLAD PLUG 20 AMP 2PIN</t>
  </si>
  <si>
    <t>'0302025</t>
  </si>
  <si>
    <t>METAL CLAD PLUG 20MP 3 PIN</t>
  </si>
  <si>
    <t>'0302026</t>
  </si>
  <si>
    <t>METAL CLAD PLUG 30/32 AMPS</t>
  </si>
  <si>
    <t>'0302028</t>
  </si>
  <si>
    <t>TOGGLE SWITCH 10 AMPS., SP</t>
  </si>
  <si>
    <t>'0302038</t>
  </si>
  <si>
    <t>FOOT PEDAL SWITCH 10 AMPS.</t>
  </si>
  <si>
    <t>'0302049</t>
  </si>
  <si>
    <t>EMERGENCY SWITCH LOCABLE</t>
  </si>
  <si>
    <t>'0302061</t>
  </si>
  <si>
    <t>MCB 4 AMP SINGLE POLE</t>
  </si>
  <si>
    <t>'0302073</t>
  </si>
  <si>
    <t>LIMIT SWITCH 10 AMP TYPE-NLTPR</t>
  </si>
  <si>
    <t>'0302104</t>
  </si>
  <si>
    <t>MCB BOX</t>
  </si>
  <si>
    <t>'0302110</t>
  </si>
  <si>
    <t>MICRO LIMIT SWITCH E69-30A0</t>
  </si>
  <si>
    <t>'0302120</t>
  </si>
  <si>
    <t>LIMIT SWITCH 3SE3 100-1E</t>
  </si>
  <si>
    <t>'0302122</t>
  </si>
  <si>
    <t>SELECTOR SWITCH</t>
  </si>
  <si>
    <t>'0302139</t>
  </si>
  <si>
    <t>MCB 3 POLE C-16 5S Q23</t>
  </si>
  <si>
    <t>'0302147</t>
  </si>
  <si>
    <t>3 PIN TOP 15 AMP</t>
  </si>
  <si>
    <t>'0302157</t>
  </si>
  <si>
    <t>PVC BOX 3 MODULE</t>
  </si>
  <si>
    <t>'0302174</t>
  </si>
  <si>
    <t>MCB 6AMP T.P.WITHOUT ENCLOSER</t>
  </si>
  <si>
    <t>'0302179</t>
  </si>
  <si>
    <t>MCB 63 AMP.4 POLE C SERIES</t>
  </si>
  <si>
    <t>'0302180</t>
  </si>
  <si>
    <t>MCB 20 AMP SINGLE POLE</t>
  </si>
  <si>
    <t>'0302181</t>
  </si>
  <si>
    <t>MCB 6 AMP SINGLE POLE</t>
  </si>
  <si>
    <t>'0302182</t>
  </si>
  <si>
    <t>MCB 10 AMP. S.P. HAGER MAKE</t>
  </si>
  <si>
    <t>'0302188</t>
  </si>
  <si>
    <t>MCB 10 AMP.3 POLE</t>
  </si>
  <si>
    <t>'0302193</t>
  </si>
  <si>
    <t>MCB 63 AMP T.P. WITHOUT ENCL.</t>
  </si>
  <si>
    <t>'0302200</t>
  </si>
  <si>
    <t>MCB 32AMP,3 POLE "C"TYPE</t>
  </si>
  <si>
    <t>'0302201</t>
  </si>
  <si>
    <t>MCB 25AMP,3 POLE "C TYPE"</t>
  </si>
  <si>
    <t>'0302203</t>
  </si>
  <si>
    <t>MCB 32 AMP  4 POLE TYPE-C WITH</t>
  </si>
  <si>
    <t>'0302205</t>
  </si>
  <si>
    <t>SWITCH 6 AMP. ROMA MAKE</t>
  </si>
  <si>
    <t>'0302230</t>
  </si>
  <si>
    <t>MCB 2AMP.SINGLE POLE B SERIES</t>
  </si>
  <si>
    <t>'0302232</t>
  </si>
  <si>
    <t>MCB 63 AMPS 4 POLE</t>
  </si>
  <si>
    <t>'0302233</t>
  </si>
  <si>
    <t>RAWAL PLUG 25 X 8</t>
  </si>
  <si>
    <t>CR</t>
  </si>
  <si>
    <t>'0302301</t>
  </si>
  <si>
    <t>THREE PIN TOP 5/6 AMP</t>
  </si>
  <si>
    <t>'0302339</t>
  </si>
  <si>
    <t>MCB ENCLOSER 6 WAY</t>
  </si>
  <si>
    <t>'0302372</t>
  </si>
  <si>
    <t>MCB 63 AMP 3 POLE</t>
  </si>
  <si>
    <t>'0302378</t>
  </si>
  <si>
    <t>HP LAPTOP ADAPTOR SMALL PIN</t>
  </si>
  <si>
    <t>'0302390</t>
  </si>
  <si>
    <t>SOCKET 6 AMPS 5 PIN</t>
  </si>
  <si>
    <t>'0302391</t>
  </si>
  <si>
    <t>MCB 16 AMP ,3POLE</t>
  </si>
  <si>
    <t>'0302398</t>
  </si>
  <si>
    <t>MCB ENCLOSER 3 WAY</t>
  </si>
  <si>
    <t>'0302399</t>
  </si>
  <si>
    <t>MCB ENCLOSER 2 WAY</t>
  </si>
  <si>
    <t>'0302407</t>
  </si>
  <si>
    <t>RCCB  63A, 4P, 300MA, L&amp;T MAKE</t>
  </si>
  <si>
    <t>'0302409</t>
  </si>
  <si>
    <t>TOGGLE SWITCH 10 AMP  S.P.</t>
  </si>
  <si>
    <t>'0302410</t>
  </si>
  <si>
    <t>TOGGLE SWITCH 10 AMP  T.P.</t>
  </si>
  <si>
    <t>'0302411</t>
  </si>
  <si>
    <t>'0302412</t>
  </si>
  <si>
    <t>LOAD BALANCE ROUTER TP-LINK</t>
  </si>
  <si>
    <t>'0302413</t>
  </si>
  <si>
    <t>ZERO SPEED SWITCH ZPS 1012</t>
  </si>
  <si>
    <t>'0302414</t>
  </si>
  <si>
    <t>PUSH BUTTON ENCLOSURE, 2 HOLE</t>
  </si>
  <si>
    <t>'0302415</t>
  </si>
  <si>
    <t>PUSH BUTTON ENCLOSURE, 3 HOLE</t>
  </si>
  <si>
    <t>'0303002</t>
  </si>
  <si>
    <t>DOL STARTER 5 HP</t>
  </si>
  <si>
    <t>'0303027</t>
  </si>
  <si>
    <t>DOL STARTER TYPE MK1 L&amp;T</t>
  </si>
  <si>
    <t>'0304007</t>
  </si>
  <si>
    <t>L&amp;T  CONTACTOR ML-4</t>
  </si>
  <si>
    <t>'0304033</t>
  </si>
  <si>
    <t>CONTACTOR L&amp;T MAKE MNX-18 TYPE</t>
  </si>
  <si>
    <t>'0304035</t>
  </si>
  <si>
    <t>MNX22 CONTRACTOR  "L&amp;T" 230VAC</t>
  </si>
  <si>
    <t>'0304037</t>
  </si>
  <si>
    <t>CONTROL CONTACTOR CA2KN</t>
  </si>
  <si>
    <t>'0304067</t>
  </si>
  <si>
    <t>CONTACTOR 3TF-32</t>
  </si>
  <si>
    <t>'0304068</t>
  </si>
  <si>
    <t>CONTACTOR CA2 KN 31B7 24V AC</t>
  </si>
  <si>
    <t>'0305005</t>
  </si>
  <si>
    <t>O/L RELAY 4.5-6 AMP</t>
  </si>
  <si>
    <t>'0305010</t>
  </si>
  <si>
    <t>O/L RELAY 6-10 AMP MK-1 "L&amp;T"</t>
  </si>
  <si>
    <t>'0305011</t>
  </si>
  <si>
    <t>O/L RELAY 4 -6.5 AMP MK-1 "L&amp;T</t>
  </si>
  <si>
    <t>'0305012</t>
  </si>
  <si>
    <t>O/L RELAY 1.5 -2.5 AMP MK-1</t>
  </si>
  <si>
    <t>'0305014</t>
  </si>
  <si>
    <t>O/L RELAY 9 -14 AMP</t>
  </si>
  <si>
    <t>'0305019</t>
  </si>
  <si>
    <t>RELAY BASE 11 PIN</t>
  </si>
  <si>
    <t>'0305029</t>
  </si>
  <si>
    <t>O/L RELAY 2.5-4 AMPS SIEMENS</t>
  </si>
  <si>
    <t>'0305042</t>
  </si>
  <si>
    <t>O/L RELAY 2.5A TO 4 AMP.</t>
  </si>
  <si>
    <t>'0305045</t>
  </si>
  <si>
    <t>RELAY 24 VDC 8 PIN 500V</t>
  </si>
  <si>
    <t>'0305046</t>
  </si>
  <si>
    <t>RELAY 24 VDC 11 PIN 500V</t>
  </si>
  <si>
    <t>'0305048</t>
  </si>
  <si>
    <t>PLA MAKE RELAY 8 PIN</t>
  </si>
  <si>
    <t>'0305053</t>
  </si>
  <si>
    <t>O/L RELAY 2 AMP-3.2 APM</t>
  </si>
  <si>
    <t>'0305078</t>
  </si>
  <si>
    <t>O/L RELAY 6-10AMP ML-1 L&amp;T</t>
  </si>
  <si>
    <t>'0305091</t>
  </si>
  <si>
    <t>O/L RELAY L&amp;T MAKE MN2 1.4-2.3</t>
  </si>
  <si>
    <t>'0305100</t>
  </si>
  <si>
    <t>OVER LOAD RELAY MN2 0-6-1 AMPS</t>
  </si>
  <si>
    <t>'0305101</t>
  </si>
  <si>
    <t>RELAY MN2 3 TO 5 AMP L&amp;T MAKE</t>
  </si>
  <si>
    <t>'0305104</t>
  </si>
  <si>
    <t>RELAY MN2 6 TO 9 AMP L&amp;T MAKE</t>
  </si>
  <si>
    <t>'0305107</t>
  </si>
  <si>
    <t>TRAVEL ON RELAY LADT-2,</t>
  </si>
  <si>
    <t>'0305112</t>
  </si>
  <si>
    <t>PLA MAKE RELAY 11 PIN</t>
  </si>
  <si>
    <t>'0305117</t>
  </si>
  <si>
    <t>O/L RELAY 9-15 AMP MNX TYPE</t>
  </si>
  <si>
    <t>'0305122</t>
  </si>
  <si>
    <t xml:space="preserve"> RELAY 8 PIN MY2NJ 100/110VAC</t>
  </si>
  <si>
    <t>'0305138</t>
  </si>
  <si>
    <t>OMRON RELAY 5 PIN 12 V DC T</t>
  </si>
  <si>
    <t>'0305148</t>
  </si>
  <si>
    <t>O/L RELAY MN-5,RANGE66-110A</t>
  </si>
  <si>
    <t>'0305149</t>
  </si>
  <si>
    <t>EARTH LEAKAGE RELAY WITH CBCT</t>
  </si>
  <si>
    <t>'0306068</t>
  </si>
  <si>
    <t>PUSH BUTTON RED "TEKNIC"</t>
  </si>
  <si>
    <t>'0306085</t>
  </si>
  <si>
    <t>22.5MM PUSH BUTTON GREEN</t>
  </si>
  <si>
    <t>'0306086</t>
  </si>
  <si>
    <t>SPARE COIL FOR MNX 110</t>
  </si>
  <si>
    <t>'0306102</t>
  </si>
  <si>
    <t>CONTACT BLOCK 1NO + 1NC</t>
  </si>
  <si>
    <t>'0306107</t>
  </si>
  <si>
    <t>AUXILARY CONTACT BLOCK 72151</t>
  </si>
  <si>
    <t>'0306113</t>
  </si>
  <si>
    <t>PUSH BUTTON ELEMENT 1NO1NC SIE</t>
  </si>
  <si>
    <t>'0306133</t>
  </si>
  <si>
    <t>CONTACT ELEMENT NC</t>
  </si>
  <si>
    <t>'0306168</t>
  </si>
  <si>
    <t>PUSH BUTTON ACUATOR YELLOW</t>
  </si>
  <si>
    <t>'0306173</t>
  </si>
  <si>
    <t>SOLONOID VALVE COIL FOR FLOW</t>
  </si>
  <si>
    <t>'0306176</t>
  </si>
  <si>
    <t>ADD ON AUX CONTACT BLOCK</t>
  </si>
  <si>
    <t>'0306177</t>
  </si>
  <si>
    <t>ADD ON  CONTACT BLOCK</t>
  </si>
  <si>
    <t>'0306185</t>
  </si>
  <si>
    <t>ADDON BLOCK 1 NO1NC FOR</t>
  </si>
  <si>
    <t>'0306186</t>
  </si>
  <si>
    <t>INDICATING LAMP YELLOW  COLOUR</t>
  </si>
  <si>
    <t>'0306187</t>
  </si>
  <si>
    <t>INDICATING LAMP BLUE "TEKNIC"</t>
  </si>
  <si>
    <t>'0306188</t>
  </si>
  <si>
    <t>INDICATING LAMP RED COLOUR</t>
  </si>
  <si>
    <t>'0306200</t>
  </si>
  <si>
    <t>SEPARATOR KIT 2901056622 FOR</t>
  </si>
  <si>
    <t>'0306201</t>
  </si>
  <si>
    <t>L&amp;T MAKE ACB MAINTENANCE KIT</t>
  </si>
  <si>
    <t>'0306203</t>
  </si>
  <si>
    <t>FLASHER CUM BUZZER Ø 22.5mm,</t>
  </si>
  <si>
    <t>'0306211</t>
  </si>
  <si>
    <t>SPARE CONTACT KIT FOR MNX-</t>
  </si>
  <si>
    <t>'0306212</t>
  </si>
  <si>
    <t>SPARE CONTACT KIT FOR L&amp;T</t>
  </si>
  <si>
    <t>'0306213</t>
  </si>
  <si>
    <t>SPARE COIL FOR ML-10,</t>
  </si>
  <si>
    <t>'0307003</t>
  </si>
  <si>
    <t>COPPER FLEX.CABLE 4 SQMMX1CORE</t>
  </si>
  <si>
    <t>'0307005</t>
  </si>
  <si>
    <t>COPPER FLEX CABLE</t>
  </si>
  <si>
    <t>ME</t>
  </si>
  <si>
    <t>'0307007</t>
  </si>
  <si>
    <t>COPPER AR.CABLE 2.5SQ.MMX4CORE</t>
  </si>
  <si>
    <t>'0307036</t>
  </si>
  <si>
    <t>CR/AL COMPENSATTING CABLE 3/22</t>
  </si>
  <si>
    <t>'0307041</t>
  </si>
  <si>
    <t>COPPER FLE.WIRE 2.5 SQMM</t>
  </si>
  <si>
    <t>'0307043</t>
  </si>
  <si>
    <t>COPPER FLEX.CABLE1.5SQMMX3CORE</t>
  </si>
  <si>
    <t>'0307045</t>
  </si>
  <si>
    <t>TELEPHONE CORD</t>
  </si>
  <si>
    <t>'0307067</t>
  </si>
  <si>
    <t>AL/AR CABLE 400SQMMX31/2 CORE</t>
  </si>
  <si>
    <t>'0307074</t>
  </si>
  <si>
    <t>COPPER FLEX. CABLE</t>
  </si>
  <si>
    <t>'0307078</t>
  </si>
  <si>
    <t>PLATINUM/RHODIUM SCRAP</t>
  </si>
  <si>
    <t>'0307084</t>
  </si>
  <si>
    <t>TELEPHONE RECEIVER CORD</t>
  </si>
  <si>
    <t>'0307090</t>
  </si>
  <si>
    <t>COPPER FLEXIBLE WIRE</t>
  </si>
  <si>
    <t>'0307096</t>
  </si>
  <si>
    <t>COPPER ARM CABLE1.5SQ.MMX4CORE</t>
  </si>
  <si>
    <t>'0307098</t>
  </si>
  <si>
    <t>COPPER FLEXIBLE WIRE 1 SQ.MM</t>
  </si>
  <si>
    <t>'0307101</t>
  </si>
  <si>
    <t>TEFLON WIRE 2.5 SQ MM</t>
  </si>
  <si>
    <t>'0307102</t>
  </si>
  <si>
    <t>TELEPHONE CABLE 2PAIR</t>
  </si>
  <si>
    <t>'0307116</t>
  </si>
  <si>
    <t>COPPER FLEX.WIRE 1.5 SQ.MM</t>
  </si>
  <si>
    <t>'0307125</t>
  </si>
  <si>
    <t>TELEPHONE CABLE 10 PAIR SOLIDE</t>
  </si>
  <si>
    <t>'0307133</t>
  </si>
  <si>
    <t>TELEPHONE CABLE  4 PAIR</t>
  </si>
  <si>
    <t>'0307160</t>
  </si>
  <si>
    <t>K TYPE THERMOCOUPLE 600 MM LG</t>
  </si>
  <si>
    <t>'0307172</t>
  </si>
  <si>
    <t>PVC TRAY FOR 50K02</t>
  </si>
  <si>
    <t>'0307173</t>
  </si>
  <si>
    <t>PVC TRAY FOR 1T123</t>
  </si>
  <si>
    <t>'0307186</t>
  </si>
  <si>
    <t>CAT 6 CABLE 4 PAIR</t>
  </si>
  <si>
    <t>'0307195</t>
  </si>
  <si>
    <t>MCCB ,DU400N,Thermal release</t>
  </si>
  <si>
    <t>'0307197</t>
  </si>
  <si>
    <t>G.I PERFORATED CABLE TRAYS</t>
  </si>
  <si>
    <t>'0307200</t>
  </si>
  <si>
    <t>G.I. FLAT STRIP 50 X 5 MM</t>
  </si>
  <si>
    <t>'0307202</t>
  </si>
  <si>
    <t>G.I. FLAT STRIP 25 X 5 MM</t>
  </si>
  <si>
    <t>'0307213</t>
  </si>
  <si>
    <t>4 CORE PVC FLEXIBLE CABLE</t>
  </si>
  <si>
    <t>'0307227</t>
  </si>
  <si>
    <t>COPPER FLEXIBLE CABLE 1sq mm</t>
  </si>
  <si>
    <t>'0307228</t>
  </si>
  <si>
    <t>COPPER FLEX. CABLE 6 SQ MM</t>
  </si>
  <si>
    <t>'0308006</t>
  </si>
  <si>
    <t>CABLE TIES 200MM</t>
  </si>
  <si>
    <t>'0308009</t>
  </si>
  <si>
    <t>CABLE TIE -250MM</t>
  </si>
  <si>
    <t>'0308025</t>
  </si>
  <si>
    <t>COPPER LUG 10 SQ.MM</t>
  </si>
  <si>
    <t>'0308029</t>
  </si>
  <si>
    <t>COPPER LUGS 6 SQ.MM</t>
  </si>
  <si>
    <t>'0308041</t>
  </si>
  <si>
    <t>COPPER LUG 25 SQ.MM BOTTLE</t>
  </si>
  <si>
    <t>'0308056</t>
  </si>
  <si>
    <t>G.I.SADDLE 1"</t>
  </si>
  <si>
    <t>'0308058</t>
  </si>
  <si>
    <t>PVC JUNCTION BOX 2 WAY 3/4"</t>
  </si>
  <si>
    <t>'0308059</t>
  </si>
  <si>
    <t>PVC JUNCTION BOX 4 WAY 3/4"</t>
  </si>
  <si>
    <t>'0308067</t>
  </si>
  <si>
    <t>PVC JUNCTION BOX</t>
  </si>
  <si>
    <t>'0308084</t>
  </si>
  <si>
    <t>CABLE TRAY 100X25X16GAUGEX2.5M</t>
  </si>
  <si>
    <t>'0308091</t>
  </si>
  <si>
    <t>TELEPHONE INSTRUMENTS WITH</t>
  </si>
  <si>
    <t>'0308092</t>
  </si>
  <si>
    <t>TELEPHONE CONNECTOR IDC MODULE</t>
  </si>
  <si>
    <t>'0308103</t>
  </si>
  <si>
    <t>COPPER LUG 4-6 SQ.MM</t>
  </si>
  <si>
    <t>'0308114</t>
  </si>
  <si>
    <t>PVC CONDUCT PIPE 3/4"</t>
  </si>
  <si>
    <t>'0308125</t>
  </si>
  <si>
    <t>DOWELLS MAKE COPPER LUG CP1</t>
  </si>
  <si>
    <t>'0308144</t>
  </si>
  <si>
    <t>DOWELLS LUGS RS 7251</t>
  </si>
  <si>
    <t>'0308147</t>
  </si>
  <si>
    <t>'0308156</t>
  </si>
  <si>
    <t>CABLE TIES 150 MM</t>
  </si>
  <si>
    <t>'0308182</t>
  </si>
  <si>
    <t>COPPER LUG 4 SQ MM PIN TYPE</t>
  </si>
  <si>
    <t>'0308189</t>
  </si>
  <si>
    <t>GLAND FLANGE TYPE FOR</t>
  </si>
  <si>
    <t>'0308190</t>
  </si>
  <si>
    <t>CABLE TRAY 200W X 100H X 16SWG</t>
  </si>
  <si>
    <t>'0308191</t>
  </si>
  <si>
    <t>ALLUMINIUM CABLE LUG 400 SQMM</t>
  </si>
  <si>
    <t>'0308192</t>
  </si>
  <si>
    <t>G.I. EARTHING PLATE</t>
  </si>
  <si>
    <t>'0308212</t>
  </si>
  <si>
    <t>COPPER LUG 35 SQ.MM C.NO-7038</t>
  </si>
  <si>
    <t>'0308221</t>
  </si>
  <si>
    <t>COPPER LUG 185 SQ.MM CUS/28</t>
  </si>
  <si>
    <t>'0308268</t>
  </si>
  <si>
    <t>MIS CHOKE -3 Phase INPUT CHOKE</t>
  </si>
  <si>
    <t>'0308278</t>
  </si>
  <si>
    <t>TELEPHONE DISTRIBUTION BOX</t>
  </si>
  <si>
    <t>'0308279</t>
  </si>
  <si>
    <t>PVC GLAND PG-11</t>
  </si>
  <si>
    <t>'0308280</t>
  </si>
  <si>
    <t>PVC GLAND PG-16</t>
  </si>
  <si>
    <t>'0308281</t>
  </si>
  <si>
    <t>PVC GLAND PG - 13.5</t>
  </si>
  <si>
    <t>'0308282</t>
  </si>
  <si>
    <t>DOWELLS MAKE CRIMPING TOOL</t>
  </si>
  <si>
    <t>'0308283</t>
  </si>
  <si>
    <t>DOWELLS INSULATED FERRULS</t>
  </si>
  <si>
    <t>'0308284</t>
  </si>
  <si>
    <t>DOWELLS FORK TERMINALS</t>
  </si>
  <si>
    <t>'0308285</t>
  </si>
  <si>
    <t>DOWELLS PIN TERMINALS</t>
  </si>
  <si>
    <t>'0308286</t>
  </si>
  <si>
    <t>DOWELLS RING TERMINALS</t>
  </si>
  <si>
    <t>'0309001</t>
  </si>
  <si>
    <t>HRC FUSES NS TYPE 2 AMPERES</t>
  </si>
  <si>
    <t>'0309002</t>
  </si>
  <si>
    <t>HRC FUSE 4 AMPERES. NS</t>
  </si>
  <si>
    <t>'0309037</t>
  </si>
  <si>
    <t>GLASS FUSE 1.5 AMP</t>
  </si>
  <si>
    <t>'0309038</t>
  </si>
  <si>
    <t>GLASS FUSE 2 AMP</t>
  </si>
  <si>
    <t>'0309039</t>
  </si>
  <si>
    <t>GLASS FUSE 3 AMP</t>
  </si>
  <si>
    <t>'0309048</t>
  </si>
  <si>
    <t>HRC FUSE FITTING TIS 63A,</t>
  </si>
  <si>
    <t>'0309058</t>
  </si>
  <si>
    <t>HRC FUSE LINK 250 AMP 'L&amp;T'</t>
  </si>
  <si>
    <t>'0309120</t>
  </si>
  <si>
    <t>GLASS FUSE 6 AMP</t>
  </si>
  <si>
    <t>'0309128</t>
  </si>
  <si>
    <t>GLASS FUSE 10 AMP</t>
  </si>
  <si>
    <t>'0309130</t>
  </si>
  <si>
    <t>GLASS FUSE 5 AMP</t>
  </si>
  <si>
    <t>'0309149</t>
  </si>
  <si>
    <t>GLASS FUSE 200mAMP</t>
  </si>
  <si>
    <t>'0310001</t>
  </si>
  <si>
    <t>TEMPERATURE CONTROLLER 0-1200</t>
  </si>
  <si>
    <t>'0310026</t>
  </si>
  <si>
    <t xml:space="preserve"> VOLTMETER 0-500 VOLT</t>
  </si>
  <si>
    <t>'0310036</t>
  </si>
  <si>
    <t>TEMP.CONTROLLER MODEL DTC-324</t>
  </si>
  <si>
    <t>'0310037</t>
  </si>
  <si>
    <t>TEMPERATURE CONTROLLER SELEC</t>
  </si>
  <si>
    <t>'0310050</t>
  </si>
  <si>
    <t>ONLINE PH METER PO 650</t>
  </si>
  <si>
    <t>'0310083</t>
  </si>
  <si>
    <t>TEMP. CONTROLLER 96X96</t>
  </si>
  <si>
    <t>'0310116</t>
  </si>
  <si>
    <t>TEMP.CONTROLLER PID 500 48X48</t>
  </si>
  <si>
    <t>'0310129</t>
  </si>
  <si>
    <t>SELEC.TIMER XT-56   48X48</t>
  </si>
  <si>
    <t>'0310132</t>
  </si>
  <si>
    <t>PH SENSOR 5 mtr CABLE</t>
  </si>
  <si>
    <t>'0310136</t>
  </si>
  <si>
    <t>APFC CONTROLLER  Model</t>
  </si>
  <si>
    <t>'0310137</t>
  </si>
  <si>
    <t>ELECTRONIC TIMER 3RP15</t>
  </si>
  <si>
    <t>'0311004</t>
  </si>
  <si>
    <t>CURRENT TRANSFORMER  200/5</t>
  </si>
  <si>
    <t>'0311005</t>
  </si>
  <si>
    <t>CURRENT TRANSFORMER 300/5</t>
  </si>
  <si>
    <t>'0312001</t>
  </si>
  <si>
    <t>PVC INS.TAPE 3/4"STEEL GRIP</t>
  </si>
  <si>
    <t>'0312003</t>
  </si>
  <si>
    <t>SOLDERING IRON 65 WATTS</t>
  </si>
  <si>
    <t>'0312028</t>
  </si>
  <si>
    <t>AMMETER DC 0 TO 10A   96X96AE</t>
  </si>
  <si>
    <t>'0312056</t>
  </si>
  <si>
    <t>FERRULE BIG  0- 09 universal</t>
  </si>
  <si>
    <t>'0312062</t>
  </si>
  <si>
    <t>PANEL LOCKING NUTM6 X 20MM</t>
  </si>
  <si>
    <t>'0312086</t>
  </si>
  <si>
    <t>SOLDER WIRE</t>
  </si>
  <si>
    <t>'0312112</t>
  </si>
  <si>
    <t>EARTHING CLAMP 600 AMPS</t>
  </si>
  <si>
    <t>'0312114</t>
  </si>
  <si>
    <t>SMPS-24 VDC / 10A</t>
  </si>
  <si>
    <t>'0312124</t>
  </si>
  <si>
    <t>PROBE FOR MULTIMETER</t>
  </si>
  <si>
    <t>'0312125</t>
  </si>
  <si>
    <t>DIGITAL MULTIMETER</t>
  </si>
  <si>
    <t>'0312131</t>
  </si>
  <si>
    <t>AMMETER 0 TO 250 AMP 50 HZ.</t>
  </si>
  <si>
    <t>'0312148</t>
  </si>
  <si>
    <t>USB LAN CARD</t>
  </si>
  <si>
    <t>'0312149</t>
  </si>
  <si>
    <t>VGA CABLE</t>
  </si>
  <si>
    <t>'0312165</t>
  </si>
  <si>
    <t>COPPER PIPE 22MM IDX 25 MM OD</t>
  </si>
  <si>
    <t>'0312169</t>
  </si>
  <si>
    <t>RJ45 CONNECTOR</t>
  </si>
  <si>
    <t>'0312174</t>
  </si>
  <si>
    <t>PIN IMPACT FOR TMP1700</t>
  </si>
  <si>
    <t>'0312192</t>
  </si>
  <si>
    <t>DIGITAL KWH METER 3 PHASE,5AMP</t>
  </si>
  <si>
    <t>'0312201</t>
  </si>
  <si>
    <t>RTD SENSOR 6MM 0-250 DEG.C.</t>
  </si>
  <si>
    <t>'0312204</t>
  </si>
  <si>
    <t>PVC CHANNEL ELMEX</t>
  </si>
  <si>
    <t>'0312226</t>
  </si>
  <si>
    <t>SIMMERSTATE 0-300</t>
  </si>
  <si>
    <t>'0312234</t>
  </si>
  <si>
    <t>GLASS ADHESIVE 15 MM</t>
  </si>
  <si>
    <t>'0312246</t>
  </si>
  <si>
    <t>CARBON BRUSH FOR "BOSH" MAKE</t>
  </si>
  <si>
    <t>'0312259</t>
  </si>
  <si>
    <t>AMMETER 0 T0 20 SUPRESS SCALE</t>
  </si>
  <si>
    <t>'0312262</t>
  </si>
  <si>
    <t>K TYPE THERMOCOUPLE SIMPLEX</t>
  </si>
  <si>
    <t>'0312293</t>
  </si>
  <si>
    <t>CERAMIC STRIP HEATER WIDTH 60</t>
  </si>
  <si>
    <t>'0312312</t>
  </si>
  <si>
    <t>DC SHUNT 400 AMP</t>
  </si>
  <si>
    <t>'0312337</t>
  </si>
  <si>
    <t>TOP PIN FOR LOOP CONVEYOR</t>
  </si>
  <si>
    <t>'0312361</t>
  </si>
  <si>
    <t>ELECT. HEAT TRACERKSX20-2-OJ</t>
  </si>
  <si>
    <t>'0312364</t>
  </si>
  <si>
    <t>CARBON BRUSH “KPT 990774</t>
  </si>
  <si>
    <t>'0312367</t>
  </si>
  <si>
    <t>TIME TOTALISER 6 DIGIT</t>
  </si>
  <si>
    <t>'0312396</t>
  </si>
  <si>
    <t>ALU. ADHESIVE TAPE 2"</t>
  </si>
  <si>
    <t>'0312397</t>
  </si>
  <si>
    <t>AMMETER 0-30 AMP, DC, 96X96</t>
  </si>
  <si>
    <t>'0312418</t>
  </si>
  <si>
    <t>K TYPE THERMOCOUPLE 1050°C</t>
  </si>
  <si>
    <t>'0312432</t>
  </si>
  <si>
    <t>DUPLEX THERMOCOUPLE  K-TYPE</t>
  </si>
  <si>
    <t>'0312433</t>
  </si>
  <si>
    <t>'0312444</t>
  </si>
  <si>
    <t>HEATER BLADE FRO STRAPING M/C</t>
  </si>
  <si>
    <t>'0312455</t>
  </si>
  <si>
    <t>LAPTOP  BATTERY</t>
  </si>
  <si>
    <t>'0312464</t>
  </si>
  <si>
    <t>CERAMIC TUBE 19MM ODX18" LONG</t>
  </si>
  <si>
    <t>'0312466</t>
  </si>
  <si>
    <t>EPOXY INSULATOR OD.48MM</t>
  </si>
  <si>
    <t>'0312467</t>
  </si>
  <si>
    <t>SMPS MEAN WELL MAKE NES-200-12</t>
  </si>
  <si>
    <t>'0312471</t>
  </si>
  <si>
    <t>PVC WIRING DUCT 45 X 25</t>
  </si>
  <si>
    <t>'0312472</t>
  </si>
  <si>
    <t>CERMAIC FLX. HEATER 1 KW</t>
  </si>
  <si>
    <t>'0312480</t>
  </si>
  <si>
    <t>APC BATTERY –RBC 125</t>
  </si>
  <si>
    <t>'0312481</t>
  </si>
  <si>
    <t>SEMIPACK MODEL-SKKT92B16E</t>
  </si>
  <si>
    <t>'0312485</t>
  </si>
  <si>
    <t>VGA LAN EXTENDER</t>
  </si>
  <si>
    <t>'0312488</t>
  </si>
  <si>
    <t>BRASS FERRULE</t>
  </si>
  <si>
    <t>'0312492</t>
  </si>
  <si>
    <t>M.S.PANEL BOX 400X450X250 MM</t>
  </si>
  <si>
    <t>'0312495</t>
  </si>
  <si>
    <t>REXNORD MAKE EXAUST FAN</t>
  </si>
  <si>
    <t>'0312530</t>
  </si>
  <si>
    <t>ISOLATION TRANSFORMER 0-415</t>
  </si>
  <si>
    <t>'0312540</t>
  </si>
  <si>
    <t>HEATER BLADE HOLDER -INDIAN &amp;</t>
  </si>
  <si>
    <t>'0312550</t>
  </si>
  <si>
    <t>COPPER PIPE ID:3.4 mm,OD:6mM L</t>
  </si>
  <si>
    <t>'0312556</t>
  </si>
  <si>
    <t>AC AMMETER,MAKE MECO-G</t>
  </si>
  <si>
    <t>'0312561</t>
  </si>
  <si>
    <t>ALU. STANCHION FRONT</t>
  </si>
  <si>
    <t>'0312562</t>
  </si>
  <si>
    <t>INNER SHIELD ASSY 250-300DL</t>
  </si>
  <si>
    <t>'0312563</t>
  </si>
  <si>
    <t>BACK REMOVABLE PANEL 250-300 D</t>
  </si>
  <si>
    <t>'0312566</t>
  </si>
  <si>
    <t>DR - 2365 (DRUM UNIT) BROTHER</t>
  </si>
  <si>
    <t>'0312569</t>
  </si>
  <si>
    <t>TMC 420 KEYBOARD ASSEMBLY PCB</t>
  </si>
  <si>
    <t>'0312570</t>
  </si>
  <si>
    <t>TMC 420 LCD DISPLAY</t>
  </si>
  <si>
    <t>'0312576</t>
  </si>
  <si>
    <t>S.S. TERMINAL ROD</t>
  </si>
  <si>
    <t>'0312577</t>
  </si>
  <si>
    <t>HOLDING PIN “U” SHAPED</t>
  </si>
  <si>
    <t>'0312578</t>
  </si>
  <si>
    <t>HOLDING PIN “V” SHAPED</t>
  </si>
  <si>
    <t>'0312579</t>
  </si>
  <si>
    <t>UNIVERSAL CHAIN LOCK 5/8''</t>
  </si>
  <si>
    <t>'0312580</t>
  </si>
  <si>
    <t>UNIVERSAL CHAIN LOCK 3/4''</t>
  </si>
  <si>
    <t>'0312585</t>
  </si>
  <si>
    <t>LAPTOP DISPLAY SCREEN DELL</t>
  </si>
  <si>
    <t>'0312586</t>
  </si>
  <si>
    <t>TEFLON FILM FOR PRINTER CANON</t>
  </si>
  <si>
    <t>'0312587</t>
  </si>
  <si>
    <t>PRESSURE ROLLER(STEEL)</t>
  </si>
  <si>
    <t>'0312588</t>
  </si>
  <si>
    <t>VFD SINAMICS V20, MAKE SIEMENS</t>
  </si>
  <si>
    <t>'0312591</t>
  </si>
  <si>
    <t>ROTAMETER,RANGE 1 LPM TO 10LPM</t>
  </si>
  <si>
    <t>'0312592</t>
  </si>
  <si>
    <t>SIEMENS VFD V20</t>
  </si>
  <si>
    <t>'0312593</t>
  </si>
  <si>
    <t>VFD INPUT CHOKE</t>
  </si>
  <si>
    <t>'0312595</t>
  </si>
  <si>
    <t>CERAMIC STRIP HEATER  W-150MM</t>
  </si>
  <si>
    <t>'032A0009D</t>
  </si>
  <si>
    <t>32A09 TWO CAVITY WAX INJECTION</t>
  </si>
  <si>
    <t>'032A0010D</t>
  </si>
  <si>
    <t>32A10 TWO CAVITY WAX INJECTION</t>
  </si>
  <si>
    <t>'033H0014D</t>
  </si>
  <si>
    <t>33H14 TWO CAVITY WAX INJECTION</t>
  </si>
  <si>
    <t>'034T0206RD</t>
  </si>
  <si>
    <t>34T206(58K01)NEW RISER MOULD</t>
  </si>
  <si>
    <t>'039H0001D</t>
  </si>
  <si>
    <t>39H1 SIX CAVITY WAX INJ. DIE</t>
  </si>
  <si>
    <t>'0401030</t>
  </si>
  <si>
    <t>M.S.ANGLE 50X50X 6 MM</t>
  </si>
  <si>
    <t>'0401033</t>
  </si>
  <si>
    <t>M.S.PIPE 1/2" (15 NB) 'B'CLASS</t>
  </si>
  <si>
    <t>'0401042</t>
  </si>
  <si>
    <t>M.S.PLATE 10 MM THICK</t>
  </si>
  <si>
    <t>'0401043</t>
  </si>
  <si>
    <t>M.S.CHEQUERED PLATE 8"X4"X 6MM</t>
  </si>
  <si>
    <t>'0401045</t>
  </si>
  <si>
    <t>M.S.SQUARE PIPE 30MM (4MM THK)</t>
  </si>
  <si>
    <t>'0401063</t>
  </si>
  <si>
    <t>M.S. PLATE 8' X 4' X 16 MM</t>
  </si>
  <si>
    <t>'0401067</t>
  </si>
  <si>
    <t>SS316 SHEET NET 31"*X43"X3MM</t>
  </si>
  <si>
    <t>'0401094</t>
  </si>
  <si>
    <t>M.S.PLATE 5 MM THICK</t>
  </si>
  <si>
    <t>'0401099</t>
  </si>
  <si>
    <t>M.S.SHEET  2 MM THICK</t>
  </si>
  <si>
    <t>'0401114</t>
  </si>
  <si>
    <t>M.S.CHANNEL 100X50X6 MM THICK</t>
  </si>
  <si>
    <t>'0401140</t>
  </si>
  <si>
    <t>M.S.PIPE 1" DIA  C CLASS</t>
  </si>
  <si>
    <t>'0401142</t>
  </si>
  <si>
    <t>M.S.ANGLE 25X25X3MM</t>
  </si>
  <si>
    <t>'0401143</t>
  </si>
  <si>
    <t>S.S.ANGLE 40X40X3MM</t>
  </si>
  <si>
    <t>'0401155</t>
  </si>
  <si>
    <t>M.S.SHEET 3 MM THICK</t>
  </si>
  <si>
    <t>'0401233</t>
  </si>
  <si>
    <t>TANK NIPPLE 50MM</t>
  </si>
  <si>
    <t>'0401239</t>
  </si>
  <si>
    <t>FRP ANGLE 75X75X6mm</t>
  </si>
  <si>
    <t>'0401240</t>
  </si>
  <si>
    <t>S.S.316L PLAIN PLATE 2mm THICK</t>
  </si>
  <si>
    <t>'0402002</t>
  </si>
  <si>
    <t>M.S.WELDING RODS 3.15MM</t>
  </si>
  <si>
    <t>'0402012</t>
  </si>
  <si>
    <t>CP HAND AIR DIE GRINDER</t>
  </si>
  <si>
    <t>'0402022</t>
  </si>
  <si>
    <t>CUTTING NOZZLE 1/16"</t>
  </si>
  <si>
    <t>'0402025</t>
  </si>
  <si>
    <t>ADAPTOR FOR LPG REGULATOR</t>
  </si>
  <si>
    <t>'0402034</t>
  </si>
  <si>
    <t>NITROGEN CYLINDER (COMMERCIAL)</t>
  </si>
  <si>
    <t>'0402036</t>
  </si>
  <si>
    <t>WELDING GLASS (BLACK)</t>
  </si>
  <si>
    <t>'0402037</t>
  </si>
  <si>
    <t>PLAIN WELDING GLASS</t>
  </si>
  <si>
    <t>'0402038</t>
  </si>
  <si>
    <t>WELDING HOLDER 600 AMPS</t>
  </si>
  <si>
    <t>'0402043</t>
  </si>
  <si>
    <t>WELDING CABLE 95sq mm</t>
  </si>
  <si>
    <t>'0402045</t>
  </si>
  <si>
    <t>LPG GAS CYLINDER REGULATOR</t>
  </si>
  <si>
    <t>'0402048</t>
  </si>
  <si>
    <t>WELDING ELECTRODE-308L</t>
  </si>
  <si>
    <t>'0402049</t>
  </si>
  <si>
    <t>OXYGEN GAS CYLINDER</t>
  </si>
  <si>
    <t>'0402051</t>
  </si>
  <si>
    <t>WIRE BRUSH</t>
  </si>
  <si>
    <t>'0402052</t>
  </si>
  <si>
    <t>WELDING ROD RS316L 2.5 MM</t>
  </si>
  <si>
    <t>'0402053</t>
  </si>
  <si>
    <t>WELDING ELECTRODE INOX 25/35H</t>
  </si>
  <si>
    <t>'0402054</t>
  </si>
  <si>
    <t>NOZZLE COVER FOR ARGON WELDING</t>
  </si>
  <si>
    <t>'0402059</t>
  </si>
  <si>
    <t>WELDING ROD SUPERINOX 2A 2.5MM</t>
  </si>
  <si>
    <t>'0402061</t>
  </si>
  <si>
    <t>R - 22 GAS .</t>
  </si>
  <si>
    <t>'0402069</t>
  </si>
  <si>
    <t>OXYGEN REGULATOR SINGLE STAGE</t>
  </si>
  <si>
    <t>'0402071</t>
  </si>
  <si>
    <t>SS410 3.15x350M WELDING ROD</t>
  </si>
  <si>
    <t>'0402076</t>
  </si>
  <si>
    <t>ARGON GAS SPL.GRADE</t>
  </si>
  <si>
    <t>M3</t>
  </si>
  <si>
    <t>'0402077</t>
  </si>
  <si>
    <t>SUPER INOX RS 308L</t>
  </si>
  <si>
    <t>'0402079</t>
  </si>
  <si>
    <t>ELECTRODE 444L 3.15 MM</t>
  </si>
  <si>
    <t>'0402082</t>
  </si>
  <si>
    <t>ELECTRODE 444L,2.5MM</t>
  </si>
  <si>
    <t>'0402084</t>
  </si>
  <si>
    <t>S.S.310 WELDING ELECTRODE</t>
  </si>
  <si>
    <t>'0402091</t>
  </si>
  <si>
    <t>GAS L.P.G. (COMMERCIAL)</t>
  </si>
  <si>
    <t>'0402093</t>
  </si>
  <si>
    <t>GAS BURNER GB-2001 "PIEZO"</t>
  </si>
  <si>
    <t>'0402099</t>
  </si>
  <si>
    <t>WELDING ROD  SS 316L  3.15MM</t>
  </si>
  <si>
    <t>'0402100</t>
  </si>
  <si>
    <t>ARGON CYLINDER COMMERCIAL</t>
  </si>
  <si>
    <t>'0402106</t>
  </si>
  <si>
    <t>FILLER WIRE 316L- 1.6MM</t>
  </si>
  <si>
    <t>'0402111</t>
  </si>
  <si>
    <t>WELDING HOLDER 1000 AMP</t>
  </si>
  <si>
    <t>'0402116</t>
  </si>
  <si>
    <t>TUNGSTEN ROD 2.4MM X 150MM L</t>
  </si>
  <si>
    <t>'0402118</t>
  </si>
  <si>
    <t>TIG WELDING FILLER WIRE DIA2.4</t>
  </si>
  <si>
    <t>'0402121</t>
  </si>
  <si>
    <t>LPG HOSE 8MM</t>
  </si>
  <si>
    <t>'0402125</t>
  </si>
  <si>
    <t>SUPER INOX RS 309 3.15MM</t>
  </si>
  <si>
    <t>'0402126</t>
  </si>
  <si>
    <t>LIQUID NITROGEN</t>
  </si>
  <si>
    <t>'0402127</t>
  </si>
  <si>
    <t>SUPER BOND "S" 2.5MM</t>
  </si>
  <si>
    <t>'0402135</t>
  </si>
  <si>
    <t>SILVER BRAZING ROD</t>
  </si>
  <si>
    <t>'0402141</t>
  </si>
  <si>
    <t>WELDING HOLDER 200 AMPS</t>
  </si>
  <si>
    <t>'0402144</t>
  </si>
  <si>
    <t>WELDING SCREEN { HEAD SCREEN}</t>
  </si>
  <si>
    <t>'0402151</t>
  </si>
  <si>
    <t>WELDING SCREEN HELMET TYPE</t>
  </si>
  <si>
    <t>'0402156</t>
  </si>
  <si>
    <t>OXYGEN REGULATOR NUT</t>
  </si>
  <si>
    <t>'0402157</t>
  </si>
  <si>
    <t>BETACHROME 13 CR</t>
  </si>
  <si>
    <t>'0402158</t>
  </si>
  <si>
    <t>BETACHROME-13 CR</t>
  </si>
  <si>
    <t>'0402169</t>
  </si>
  <si>
    <t>M.S.WELD MESH 1"X1" THK 12 SWG</t>
  </si>
  <si>
    <t>SF</t>
  </si>
  <si>
    <t>'0402170</t>
  </si>
  <si>
    <t>BETANOX  3.2MM,  E-2553</t>
  </si>
  <si>
    <t>'0402173</t>
  </si>
  <si>
    <t>ARGON REGULATOR TWO STAGE</t>
  </si>
  <si>
    <t>'0402175</t>
  </si>
  <si>
    <t>CAST IRON 3.15MM WELDING ROD</t>
  </si>
  <si>
    <t>'0402178</t>
  </si>
  <si>
    <t>GAS CUTTING NOZZLE 3/64"</t>
  </si>
  <si>
    <t>'0402179</t>
  </si>
  <si>
    <t>WELDING ELTRD.THERMANIT 25/35R</t>
  </si>
  <si>
    <t>'0402186</t>
  </si>
  <si>
    <t>ARGON GAS FLOW METER</t>
  </si>
  <si>
    <t>'0402193</t>
  </si>
  <si>
    <t>KASPERSKY INTERNET SECURITY</t>
  </si>
  <si>
    <t>'0402196</t>
  </si>
  <si>
    <t>COPPER BRAZING ROD</t>
  </si>
  <si>
    <t>'0402198</t>
  </si>
  <si>
    <t>IGNITION ELECTRODE CABLE</t>
  </si>
  <si>
    <t>'0402199</t>
  </si>
  <si>
    <t>WELDING ELECTRODE 17 CR 2.5</t>
  </si>
  <si>
    <t>'0402201</t>
  </si>
  <si>
    <t>WELDING ELECTRODE 17-4PH</t>
  </si>
  <si>
    <t>'0402203</t>
  </si>
  <si>
    <t>ADOR WELDING MAKE ELECTRODE</t>
  </si>
  <si>
    <t>'0402211</t>
  </si>
  <si>
    <t>IMPACT DRILL M/C 13mm BOSCH</t>
  </si>
  <si>
    <t>'0402212</t>
  </si>
  <si>
    <t>MINI AGNLE DIE GRINDER</t>
  </si>
  <si>
    <t>'0402213</t>
  </si>
  <si>
    <t>ANGLE GRINDER 5" MODEL :DW831</t>
  </si>
  <si>
    <t>'0402214</t>
  </si>
  <si>
    <t>SANDER MACHINE CP-9778</t>
  </si>
  <si>
    <t>'0403010</t>
  </si>
  <si>
    <t>M.S. PIPE 2" BSP C CLASS</t>
  </si>
  <si>
    <t>FT</t>
  </si>
  <si>
    <t>'0403011</t>
  </si>
  <si>
    <t>M.S.FLANGE 2" F TABLE MATERIAL</t>
  </si>
  <si>
    <t>'0403021</t>
  </si>
  <si>
    <t>S.S. HEX NIPPLE 1/4" BSP</t>
  </si>
  <si>
    <t>'0403057</t>
  </si>
  <si>
    <t>M.S.BEND 1"BSP "C"CLASS</t>
  </si>
  <si>
    <t>'0403058</t>
  </si>
  <si>
    <t>M.S.BEND 1/2"BSP "C"CLASS</t>
  </si>
  <si>
    <t>'0403064</t>
  </si>
  <si>
    <t>M.S.COUPLING 1/4"</t>
  </si>
  <si>
    <t>'0403077</t>
  </si>
  <si>
    <t>M.S. LONG BEND 2" C CLASS</t>
  </si>
  <si>
    <t>'0403100</t>
  </si>
  <si>
    <t>M.S.COUPLING 1/2"</t>
  </si>
  <si>
    <t>'0403102</t>
  </si>
  <si>
    <t>M.S.BARREL NIPPLE 1/2" X 6"</t>
  </si>
  <si>
    <t>'0403116</t>
  </si>
  <si>
    <t>M.S FLANGE 1/2" D TABLE</t>
  </si>
  <si>
    <t>'0403123</t>
  </si>
  <si>
    <t>M.S.HEX NIPPLE 1/2"</t>
  </si>
  <si>
    <t>'0403128</t>
  </si>
  <si>
    <t>M.S.BARREL NIPPLE 2" X 6"</t>
  </si>
  <si>
    <t>'0403135</t>
  </si>
  <si>
    <t>M.S.FLANGE SLIPON TYPE 2 " THK</t>
  </si>
  <si>
    <t>'0403139</t>
  </si>
  <si>
    <t>M.S. BARREL NIPPLE 2" X 6"</t>
  </si>
  <si>
    <t>'0403140</t>
  </si>
  <si>
    <t>M.S TEE 1"X1"X1"</t>
  </si>
  <si>
    <t>'0403230</t>
  </si>
  <si>
    <t>MS HEX NIPPLE 3/8"</t>
  </si>
  <si>
    <t>'0403233</t>
  </si>
  <si>
    <t>M.S HOSE NIPPLE 1/2"</t>
  </si>
  <si>
    <t>'0403240</t>
  </si>
  <si>
    <t>M.S.COUPLING 3/8"</t>
  </si>
  <si>
    <t>'0403241</t>
  </si>
  <si>
    <t>M.S.BARREL NIPPLE 1"X6"</t>
  </si>
  <si>
    <t>'0403249</t>
  </si>
  <si>
    <t>M.S.HOSE NIPPLE 2”</t>
  </si>
  <si>
    <t>'0403264</t>
  </si>
  <si>
    <t>METAL PLUG &amp; SOCKET D.B.WITH</t>
  </si>
  <si>
    <t>'0403267</t>
  </si>
  <si>
    <t>HYD FERRULE 1/4" FOR STEEL</t>
  </si>
  <si>
    <t>'0403272</t>
  </si>
  <si>
    <t>M.S. BARREL NIPPLE 4” X 8”</t>
  </si>
  <si>
    <t>'0404003</t>
  </si>
  <si>
    <t>G.I.PIPE 1"BSP  C CLASS</t>
  </si>
  <si>
    <t>'0404005</t>
  </si>
  <si>
    <t>G.I.PIPE 2"</t>
  </si>
  <si>
    <t>'0404011</t>
  </si>
  <si>
    <t>M.S.FLANGE 1" NB SORF- ASA 150</t>
  </si>
  <si>
    <t>'0404013</t>
  </si>
  <si>
    <t>M.S.FLANGE 1 1/2" F TABLE</t>
  </si>
  <si>
    <t>'0404014</t>
  </si>
  <si>
    <t>M.S.FLANGE 1" F TABLE</t>
  </si>
  <si>
    <t>'0404019</t>
  </si>
  <si>
    <t>2" G.I. BEND</t>
  </si>
  <si>
    <t>'0404022</t>
  </si>
  <si>
    <t>G.I.COUPLING 1/2"</t>
  </si>
  <si>
    <t>'0404025</t>
  </si>
  <si>
    <t>G.I.COUPLING 1-1/2" BSP C CLAS</t>
  </si>
  <si>
    <t>'0404050</t>
  </si>
  <si>
    <t>G.I.TEE 1/2"</t>
  </si>
  <si>
    <t>'0404071</t>
  </si>
  <si>
    <t>G.I.COUPLING 2 1/2"BSP</t>
  </si>
  <si>
    <t>'0404094</t>
  </si>
  <si>
    <t>SS  PNEUMATIC  TEE 1/4' X 6MM</t>
  </si>
  <si>
    <t>'0404112</t>
  </si>
  <si>
    <t>BARREL NIPPLE 1 1/2 X 4"</t>
  </si>
  <si>
    <t>'0404150</t>
  </si>
  <si>
    <t>G.I.BARREL NIPPLE 1"X6"</t>
  </si>
  <si>
    <t>'0404264</t>
  </si>
  <si>
    <t>G.I.BARREL NIPPLE 2 1/2" X 4"</t>
  </si>
  <si>
    <t>'0404278</t>
  </si>
  <si>
    <t>S.S. BARREL NIPPLE 2” X 9”</t>
  </si>
  <si>
    <t>'0404279</t>
  </si>
  <si>
    <t>S.S. BARREL NIPPLE 1 ½” X 9"</t>
  </si>
  <si>
    <t>'0404287</t>
  </si>
  <si>
    <t>S.S.304 BARREL NIPPLE  1” X 6”</t>
  </si>
  <si>
    <t>'0404295</t>
  </si>
  <si>
    <t>UNIQUE TYRE COUPLING WITH STD.</t>
  </si>
  <si>
    <t>'0404406</t>
  </si>
  <si>
    <t>M.S FLAT 40X5MM</t>
  </si>
  <si>
    <t>'0405012</t>
  </si>
  <si>
    <t>HYTHERM 500 OIL</t>
  </si>
  <si>
    <t>'0405019</t>
  </si>
  <si>
    <t>OIL ENKLO -320 "H.P"</t>
  </si>
  <si>
    <t>'0405024</t>
  </si>
  <si>
    <t>OIL AVLON-220 [ENKLO -220 ]</t>
  </si>
  <si>
    <t>'0405025</t>
  </si>
  <si>
    <t>ENKLO-68 OIL</t>
  </si>
  <si>
    <t>'0405048</t>
  </si>
  <si>
    <t>CLEAN SOL</t>
  </si>
  <si>
    <t>'0405049</t>
  </si>
  <si>
    <t>MOBIL VACTRA OIL NO.2</t>
  </si>
  <si>
    <t>'0405050</t>
  </si>
  <si>
    <t>BLASCOCUT 4000 STRONG</t>
  </si>
  <si>
    <t>'0405052</t>
  </si>
  <si>
    <t>METAQUENCH-42</t>
  </si>
  <si>
    <t>'0405055</t>
  </si>
  <si>
    <t>AQUAL SOLCUT OIL</t>
  </si>
  <si>
    <t>'0405065</t>
  </si>
  <si>
    <t>AUQAL S-CUT48 (HONE OIL)</t>
  </si>
  <si>
    <t>'0405091</t>
  </si>
  <si>
    <t>FREEZOL 68  OIL</t>
  </si>
  <si>
    <t>'0405092</t>
  </si>
  <si>
    <t>SHELL CORENA S3 R 68</t>
  </si>
  <si>
    <t>'0405308</t>
  </si>
  <si>
    <t>S.S.320 GEAR OIL</t>
  </si>
  <si>
    <t>'0405310</t>
  </si>
  <si>
    <t>TAP 'O' FINE OIL</t>
  </si>
  <si>
    <t>'0406004</t>
  </si>
  <si>
    <t>BALL BEARING 6004 Z</t>
  </si>
  <si>
    <t>'0406017</t>
  </si>
  <si>
    <t>BALL BEARING 6206/C-3 SKF</t>
  </si>
  <si>
    <t>'0406019</t>
  </si>
  <si>
    <t>BALL BEARING 6208</t>
  </si>
  <si>
    <t>'0406021</t>
  </si>
  <si>
    <t>BALL BEARING 6210</t>
  </si>
  <si>
    <t>'0406022</t>
  </si>
  <si>
    <t>BALL BEARING 6215</t>
  </si>
  <si>
    <t>'0406025</t>
  </si>
  <si>
    <t>BALL BEARING 6303</t>
  </si>
  <si>
    <t>'0406030</t>
  </si>
  <si>
    <t>BALL BEARING 6308 C3</t>
  </si>
  <si>
    <t>'0406037</t>
  </si>
  <si>
    <t>BALL BEARING 608 ZZ</t>
  </si>
  <si>
    <t>'0406038</t>
  </si>
  <si>
    <t>BALL BEARING R-4</t>
  </si>
  <si>
    <t>'0406045</t>
  </si>
  <si>
    <t>ROLLER BEARING NJ-2209 EC-3</t>
  </si>
  <si>
    <t>'0406050</t>
  </si>
  <si>
    <t>ROLLER BEARING 30305</t>
  </si>
  <si>
    <t>'0406068</t>
  </si>
  <si>
    <t>THRUST BEARING 51107</t>
  </si>
  <si>
    <t>'0406072</t>
  </si>
  <si>
    <t>BALL BEARING 6205 ZZ</t>
  </si>
  <si>
    <t>'0406080</t>
  </si>
  <si>
    <t>THURST  BALL BEARING 51105</t>
  </si>
  <si>
    <t>'0406092</t>
  </si>
  <si>
    <t>BALL BEARING 6201 ZZ</t>
  </si>
  <si>
    <t>'0406094</t>
  </si>
  <si>
    <t>SKF BALL BEARING 6203 ZZ</t>
  </si>
  <si>
    <t>'0406097</t>
  </si>
  <si>
    <t>BEARING 6005ZZ</t>
  </si>
  <si>
    <t>'0406108</t>
  </si>
  <si>
    <t>BALL BEARING 6207ZZ</t>
  </si>
  <si>
    <t>'0406113</t>
  </si>
  <si>
    <t>BALL BEARING 6204ZZ</t>
  </si>
  <si>
    <t>'0406120</t>
  </si>
  <si>
    <t>BALL BEARING 6310 ZZ</t>
  </si>
  <si>
    <t>'0406138</t>
  </si>
  <si>
    <t>BALL BEARING 6202 ZZ</t>
  </si>
  <si>
    <t>'0406141</t>
  </si>
  <si>
    <t>TAPPER ROLLER BEARING 32210</t>
  </si>
  <si>
    <t>'0406157</t>
  </si>
  <si>
    <t>TAPER ROLLER BEARING 32209</t>
  </si>
  <si>
    <t>'0406163</t>
  </si>
  <si>
    <t>BALL BEARING ENT 2309</t>
  </si>
  <si>
    <t>'0406164</t>
  </si>
  <si>
    <t>TAPER ROLLER BEARING NU 2311</t>
  </si>
  <si>
    <t>'0406188</t>
  </si>
  <si>
    <t>BEARING UNIT UCFX-05-100</t>
  </si>
  <si>
    <t>'0406194</t>
  </si>
  <si>
    <t>BALL BEARING 6209 ZZ</t>
  </si>
  <si>
    <t>'0406202</t>
  </si>
  <si>
    <t>BALL BEARING 6308 ZZ</t>
  </si>
  <si>
    <t>'0406207</t>
  </si>
  <si>
    <t>BEARING UNIT UCP-208-108 'NTN'</t>
  </si>
  <si>
    <t>'0406209</t>
  </si>
  <si>
    <t>NTN BEARING UCP-207</t>
  </si>
  <si>
    <t>'0406222</t>
  </si>
  <si>
    <t>BALL BEARING 6002 ZZ</t>
  </si>
  <si>
    <t>'0406224</t>
  </si>
  <si>
    <t>BALL BEARING 3201 A-22TN9/MT33</t>
  </si>
  <si>
    <t>'0406228</t>
  </si>
  <si>
    <t>BEARING 3206 LZECH PK ZKL MAKE</t>
  </si>
  <si>
    <t>'0406229</t>
  </si>
  <si>
    <t>BEARING 22206 MW33MA KOYO MAKE</t>
  </si>
  <si>
    <t>'0406307</t>
  </si>
  <si>
    <t>BALL BEARING 32211 T/R</t>
  </si>
  <si>
    <t>'0406364</t>
  </si>
  <si>
    <t>BALL BEARING 6301-ZZ</t>
  </si>
  <si>
    <t>'0406365</t>
  </si>
  <si>
    <t>BALL BEARING 6306 ZZ</t>
  </si>
  <si>
    <t>'0406367</t>
  </si>
  <si>
    <t>BALL BEARING 3201-ZZ</t>
  </si>
  <si>
    <t>'0406368</t>
  </si>
  <si>
    <t>BALL BEARING 629 Z</t>
  </si>
  <si>
    <t>'0406370</t>
  </si>
  <si>
    <t>HOUSING BEARING F-209 IN MM</t>
  </si>
  <si>
    <t>'0406373</t>
  </si>
  <si>
    <t>BALL BEARING 6304 ZZ</t>
  </si>
  <si>
    <t>'0406379</t>
  </si>
  <si>
    <t>BALL BEARING 627ZZ</t>
  </si>
  <si>
    <t>'0406382</t>
  </si>
  <si>
    <t>BEARING 30210 FAG</t>
  </si>
  <si>
    <t>'0406388</t>
  </si>
  <si>
    <t>ROLLER BEARING NU-215, ECP,</t>
  </si>
  <si>
    <t>'0406402</t>
  </si>
  <si>
    <t>ROLLER BEARING NU 205 ECP SKF</t>
  </si>
  <si>
    <t>'0406403</t>
  </si>
  <si>
    <t>BEARING 22210 C3, SKF</t>
  </si>
  <si>
    <t>'0406404</t>
  </si>
  <si>
    <t>BEARING 3209 C3, SKF</t>
  </si>
  <si>
    <t>'0407002</t>
  </si>
  <si>
    <t>V BELT A-34</t>
  </si>
  <si>
    <t>'0407004</t>
  </si>
  <si>
    <t>V BELT A-38</t>
  </si>
  <si>
    <t>'0407015</t>
  </si>
  <si>
    <t>V BELT B-46</t>
  </si>
  <si>
    <t>'0407033</t>
  </si>
  <si>
    <t>V BELT A-28</t>
  </si>
  <si>
    <t>'0407034</t>
  </si>
  <si>
    <t>V BELT A-30</t>
  </si>
  <si>
    <t>'0407036</t>
  </si>
  <si>
    <t>V BELT A-60</t>
  </si>
  <si>
    <t>'0407044</t>
  </si>
  <si>
    <t>V.BELT B-34</t>
  </si>
  <si>
    <t>'0407066</t>
  </si>
  <si>
    <t>V BELT B-64</t>
  </si>
  <si>
    <t>'0407071</t>
  </si>
  <si>
    <t>V BELT B-54</t>
  </si>
  <si>
    <t>'0407083</t>
  </si>
  <si>
    <t>V BELT B - 28 "FENNER" MAKE</t>
  </si>
  <si>
    <t>'0407110</t>
  </si>
  <si>
    <t>FHP BELT 2170</t>
  </si>
  <si>
    <t>'0407307</t>
  </si>
  <si>
    <t>V BELT B-37</t>
  </si>
  <si>
    <t>'0407321</t>
  </si>
  <si>
    <t>V-BELT SPB-4000</t>
  </si>
  <si>
    <t>'0408001</t>
  </si>
  <si>
    <t>WHEEL BEARING GREASE</t>
  </si>
  <si>
    <t>'0408002</t>
  </si>
  <si>
    <t>OIL PAINT YELLOW</t>
  </si>
  <si>
    <t>'0408005</t>
  </si>
  <si>
    <t>WHITE PAINT</t>
  </si>
  <si>
    <t>'0408006</t>
  </si>
  <si>
    <t>GREEN PAINT</t>
  </si>
  <si>
    <t>'0408007</t>
  </si>
  <si>
    <t>OIL PAINT RED</t>
  </si>
  <si>
    <t>'0408008</t>
  </si>
  <si>
    <t>OIL PAINT BLUE</t>
  </si>
  <si>
    <t>'0408009</t>
  </si>
  <si>
    <t>GREY OIL PAINT</t>
  </si>
  <si>
    <t>'0408010</t>
  </si>
  <si>
    <t>INSULATING VARNISH</t>
  </si>
  <si>
    <t>'0408013</t>
  </si>
  <si>
    <t>PAINTING BRUSH 1" (25 MM )</t>
  </si>
  <si>
    <t>'0408015</t>
  </si>
  <si>
    <t>PAINTING BRUSH 3"</t>
  </si>
  <si>
    <t>'0408017</t>
  </si>
  <si>
    <t>SILVER OIL PAINT ( HEAT RESIST</t>
  </si>
  <si>
    <t>'0408021</t>
  </si>
  <si>
    <t>OIL PAINT BLACK</t>
  </si>
  <si>
    <t>'0408029</t>
  </si>
  <si>
    <t>PAINTING BRUSH 2" { 50MM }</t>
  </si>
  <si>
    <t>'0408030</t>
  </si>
  <si>
    <t>RED OXIDE</t>
  </si>
  <si>
    <t>'0408063</t>
  </si>
  <si>
    <t>TURPENTINE</t>
  </si>
  <si>
    <t>'0408064</t>
  </si>
  <si>
    <t>WOOD PRIMER PAINT</t>
  </si>
  <si>
    <t>'0408072</t>
  </si>
  <si>
    <t>TRACTOR EMULSION PAINT</t>
  </si>
  <si>
    <t>'0408079</t>
  </si>
  <si>
    <t>WD-40 CONTACT CLEANER</t>
  </si>
  <si>
    <t>'0408080</t>
  </si>
  <si>
    <t>SILICON SEALENT GE-2000</t>
  </si>
  <si>
    <t>'0408086</t>
  </si>
  <si>
    <t>OIL PAINT BROWN</t>
  </si>
  <si>
    <t>'0408089</t>
  </si>
  <si>
    <t>HIGH TEMP.GREASE BR-2</t>
  </si>
  <si>
    <t>'0408102</t>
  </si>
  <si>
    <t>PAINT ROLLER SET    4’’</t>
  </si>
  <si>
    <t>'0408108</t>
  </si>
  <si>
    <t>WALL PUTTY</t>
  </si>
  <si>
    <t>'0408109</t>
  </si>
  <si>
    <t>APEX IVORY PAINT</t>
  </si>
  <si>
    <t>'0408110</t>
  </si>
  <si>
    <t>PLASTER OF PARIS(P.O.P.)</t>
  </si>
  <si>
    <t>'0408111</t>
  </si>
  <si>
    <t>PUTTY KNIFE (PALTI PATRA) 6</t>
  </si>
  <si>
    <t>'0408113</t>
  </si>
  <si>
    <t>DR. FIXIT POWDER</t>
  </si>
  <si>
    <t>'0408114</t>
  </si>
  <si>
    <t>APEX ULTIMA PINE  N 0757</t>
  </si>
  <si>
    <t>'0408115</t>
  </si>
  <si>
    <t>HIGH TEMPERATURE RESISTANT</t>
  </si>
  <si>
    <t>'0408116</t>
  </si>
  <si>
    <t>GREASE HIGH TEMPERATURE -20</t>
  </si>
  <si>
    <t>'0409027</t>
  </si>
  <si>
    <t>BALL VALVE 1/2"BSP  SCREW</t>
  </si>
  <si>
    <t>'0409047</t>
  </si>
  <si>
    <t>BUTTERFLY VALVE 2" BSP</t>
  </si>
  <si>
    <t>'0409058</t>
  </si>
  <si>
    <t>BALL VALVE S.S.304 1"BSP X70MM</t>
  </si>
  <si>
    <t>'0409059</t>
  </si>
  <si>
    <t>WATER TAP WASH BASIN  1/2" BSP</t>
  </si>
  <si>
    <t>'0409073</t>
  </si>
  <si>
    <t>NON RETURN VALVE 1.5 BSP GM</t>
  </si>
  <si>
    <t>'0409078</t>
  </si>
  <si>
    <t>S.S. BALL VALVE 1/2" BSP</t>
  </si>
  <si>
    <t>'0409079</t>
  </si>
  <si>
    <t>DOUBLE SOLIOND VALVE 1/4" BSP</t>
  </si>
  <si>
    <t>'0409080</t>
  </si>
  <si>
    <t>NRV 1 1/2" (40MM)SOCKET THREAD</t>
  </si>
  <si>
    <t>'0409081</t>
  </si>
  <si>
    <t>GLOBE VALVE 1/2” BSP SCREWED</t>
  </si>
  <si>
    <t>'0409087</t>
  </si>
  <si>
    <t>FOOT VALVE 4" GUN METAL</t>
  </si>
  <si>
    <t>'0409101</t>
  </si>
  <si>
    <t>S.S.BALL VALVE 1" BSP SCREW</t>
  </si>
  <si>
    <t>'0409120</t>
  </si>
  <si>
    <t>AUDCO BALL VALVE 1 1/4" SCREW</t>
  </si>
  <si>
    <t>'0409135</t>
  </si>
  <si>
    <t>NON RETURN VALVE 3.4 20 MM</t>
  </si>
  <si>
    <t>'0409155</t>
  </si>
  <si>
    <t>BMW - S4 -50 SD BALL VALVE 2"</t>
  </si>
  <si>
    <t>'0409156</t>
  </si>
  <si>
    <t>BALL VALVE 1" SCREW TYPE AUDCO</t>
  </si>
  <si>
    <t>'0409157</t>
  </si>
  <si>
    <t>BALL VALVE 2" SCREW TYPE</t>
  </si>
  <si>
    <t>'0409160</t>
  </si>
  <si>
    <t>BALL VALVE 1 1/4" "AUDCO"</t>
  </si>
  <si>
    <t>'0409164</t>
  </si>
  <si>
    <t>S.S BIB COCK 1/2</t>
  </si>
  <si>
    <t>'0409175</t>
  </si>
  <si>
    <t>COOLANT VALVE(VNC301A-20A)</t>
  </si>
  <si>
    <t>'0409179</t>
  </si>
  <si>
    <t>PISTON VALVE 1" KVN25</t>
  </si>
  <si>
    <t>'0409348</t>
  </si>
  <si>
    <t>PISTON VALVE KVN15</t>
  </si>
  <si>
    <t>'0409374</t>
  </si>
  <si>
    <t>NRV 50MM</t>
  </si>
  <si>
    <t>'0409380</t>
  </si>
  <si>
    <t>MULTIPORT VALVE 20 nb</t>
  </si>
  <si>
    <t>'0409382</t>
  </si>
  <si>
    <t>1622906200 CHECK VALVE FOR</t>
  </si>
  <si>
    <t>'0409483</t>
  </si>
  <si>
    <t>FILTER STAINER MODEL:SC-77-32</t>
  </si>
  <si>
    <t>'0409488</t>
  </si>
  <si>
    <t>SAFETY VALVE 2" 250 PSI, ANGLE</t>
  </si>
  <si>
    <t>'0409489</t>
  </si>
  <si>
    <t>DISTRIBUTION SYSTEM STRAINER</t>
  </si>
  <si>
    <t>'0409490</t>
  </si>
  <si>
    <t>SINGLE SOLENOID VALVE AIRA</t>
  </si>
  <si>
    <t>'0410026</t>
  </si>
  <si>
    <t>SILENCER 1/4" BSP</t>
  </si>
  <si>
    <t>'0410027</t>
  </si>
  <si>
    <t>SILENCER 1/2" BSP</t>
  </si>
  <si>
    <t>'0410034</t>
  </si>
  <si>
    <t>SPARE SEAL KIT RMS-200</t>
  </si>
  <si>
    <t>'0410040</t>
  </si>
  <si>
    <t>DIRECTION CONTROL VALVE</t>
  </si>
  <si>
    <t>'0410042</t>
  </si>
  <si>
    <t>1/4 X 5/2  FOOT OPERATED VALVE</t>
  </si>
  <si>
    <t>'0410061</t>
  </si>
  <si>
    <t>SOLENOID VAVLE AVCON MAKE</t>
  </si>
  <si>
    <t>'0410090</t>
  </si>
  <si>
    <t>FLOW CONTROL VALVE 1/4" X 8 MM</t>
  </si>
  <si>
    <t>'0410100</t>
  </si>
  <si>
    <t>DOUBLE SOLENOID VALVE 24VDC</t>
  </si>
  <si>
    <t>'0410112</t>
  </si>
  <si>
    <t>DOUBLE PILOT OPERATED VALVE</t>
  </si>
  <si>
    <t>'0410399</t>
  </si>
  <si>
    <t>SOLENOID VALVE 1/2" 5 PORT,2WA</t>
  </si>
  <si>
    <t>'0410409</t>
  </si>
  <si>
    <t>SPARE SEAL KIT PART NO:SK53004</t>
  </si>
  <si>
    <t>'0410410</t>
  </si>
  <si>
    <t>SEAL SET FOR  DIRECTION CONTRO</t>
  </si>
  <si>
    <t>'0410411</t>
  </si>
  <si>
    <t>SEAL KIT FOR DANFOSS MAKE</t>
  </si>
  <si>
    <t>'0411010</t>
  </si>
  <si>
    <t>O RING 15 X 2.5MM</t>
  </si>
  <si>
    <t>'0411030</t>
  </si>
  <si>
    <t>VITON "O" RING</t>
  </si>
  <si>
    <t>'0411032</t>
  </si>
  <si>
    <t>NYLON ROD ,50MM DIA</t>
  </si>
  <si>
    <t>'0411036</t>
  </si>
  <si>
    <t>O RING 66 X 6 MM</t>
  </si>
  <si>
    <t>'0412004</t>
  </si>
  <si>
    <t>OIL SEAL 45 X 62 X 10MM</t>
  </si>
  <si>
    <t>'0412005</t>
  </si>
  <si>
    <t>OIL SEAL 45 X 62 X8MM</t>
  </si>
  <si>
    <t>'0412006</t>
  </si>
  <si>
    <t>OIL SEAL 50 X 62 X 7MM</t>
  </si>
  <si>
    <t>'0412011</t>
  </si>
  <si>
    <t>OIL SEAL 20 X 35 X 7MM</t>
  </si>
  <si>
    <t>'0412045</t>
  </si>
  <si>
    <t>OIL SEAL 35X45X10</t>
  </si>
  <si>
    <t>'0412048</t>
  </si>
  <si>
    <t>OIL SEAL 55X35X12</t>
  </si>
  <si>
    <t>'0412050</t>
  </si>
  <si>
    <t>PUSH IN CONNECTOR 1/4" MALE</t>
  </si>
  <si>
    <t>'0412067</t>
  </si>
  <si>
    <t>OIL SEAL 30 X 47 X 10</t>
  </si>
  <si>
    <t>'0412073</t>
  </si>
  <si>
    <t>NRV SEAL FOR BOILER FEED PUMP</t>
  </si>
  <si>
    <t>'0412074</t>
  </si>
  <si>
    <t>OIL SEAL 25X47X10</t>
  </si>
  <si>
    <t>'0412079</t>
  </si>
  <si>
    <t>OIL SEAL 60-85-10</t>
  </si>
  <si>
    <t>'0413001</t>
  </si>
  <si>
    <t>GASKET 3MM CHAMPION</t>
  </si>
  <si>
    <t>'0413007</t>
  </si>
  <si>
    <t>PU RUBBER SHEET</t>
  </si>
  <si>
    <t>'0413012</t>
  </si>
  <si>
    <t>NEOPRENE RUBBER SHEET 1/2" THK</t>
  </si>
  <si>
    <t>'0413021</t>
  </si>
  <si>
    <t>ARALDITE 180 GMS</t>
  </si>
  <si>
    <t>'0413023</t>
  </si>
  <si>
    <t>TEFLON TAPE</t>
  </si>
  <si>
    <t>'0413026</t>
  </si>
  <si>
    <t>SELF ADHESIVE TAPE</t>
  </si>
  <si>
    <t>'0413027</t>
  </si>
  <si>
    <t>SPEB - 7 RUBBER SOLUTION</t>
  </si>
  <si>
    <t>'0413031</t>
  </si>
  <si>
    <t>SPONGE RUBBER SHEET 1/4" THICK</t>
  </si>
  <si>
    <t>'0413032</t>
  </si>
  <si>
    <t>NEOPRENE RUBBER SHEET 4MM TH.</t>
  </si>
  <si>
    <t>'0413076</t>
  </si>
  <si>
    <t>M SEAL</t>
  </si>
  <si>
    <t>'0413077</t>
  </si>
  <si>
    <t>POLYURITHIN SHEET1MTRX1MTRX6MM</t>
  </si>
  <si>
    <t>'0413081</t>
  </si>
  <si>
    <t>LOCTITE</t>
  </si>
  <si>
    <t>'0413082</t>
  </si>
  <si>
    <t>NEOPRENE RUBBER CORD 6 MM DI</t>
  </si>
  <si>
    <t>'0413153</t>
  </si>
  <si>
    <t>P.U.TUBE 6 X 8 MM</t>
  </si>
  <si>
    <t>'0413154</t>
  </si>
  <si>
    <t>PU TUBE 10MM DIA</t>
  </si>
  <si>
    <t>'0413340</t>
  </si>
  <si>
    <t>GASKET RING 25MM</t>
  </si>
  <si>
    <t>'0413344</t>
  </si>
  <si>
    <t>PU TUBE 6MM DIA</t>
  </si>
  <si>
    <t>'0413347</t>
  </si>
  <si>
    <t>NEOPRENE RUBBER CORD DIA 1mm</t>
  </si>
  <si>
    <t>'0413348</t>
  </si>
  <si>
    <t>NEOPRENE RUBBER CORD DIA 2mm</t>
  </si>
  <si>
    <t>'0413349</t>
  </si>
  <si>
    <t>NEOPRENE RUBBER CORD DIA 3mm</t>
  </si>
  <si>
    <t>'0413350</t>
  </si>
  <si>
    <t>NEOPRENE RUBBER CORD DIA 4mm</t>
  </si>
  <si>
    <t>'0413351</t>
  </si>
  <si>
    <t>NEOPRENE RUBBER CORD DIA 5 MM</t>
  </si>
  <si>
    <t>'0413352</t>
  </si>
  <si>
    <t>NEOPRENE RUBBER CORD DIA 8mm</t>
  </si>
  <si>
    <t>'0413355</t>
  </si>
  <si>
    <t>HYDRAULIC HOSE DIA 1”,R2</t>
  </si>
  <si>
    <t>'0413356</t>
  </si>
  <si>
    <t>HYDRAULIC HOSE DIA 3/4”,R2</t>
  </si>
  <si>
    <t>'0413357</t>
  </si>
  <si>
    <t>HYDRAULIC HOSE DIA 1/2”,R2</t>
  </si>
  <si>
    <t>'0413359</t>
  </si>
  <si>
    <t>HYDRAULIC HOSE ¼” R2</t>
  </si>
  <si>
    <t>'0413368</t>
  </si>
  <si>
    <t>POLY PROPYLENE SHEET</t>
  </si>
  <si>
    <t>'0414001</t>
  </si>
  <si>
    <t>PNEUMATIC  HOSE  PIPE 1/4"</t>
  </si>
  <si>
    <t>'0414002</t>
  </si>
  <si>
    <t>PNEUMATIC HOSE PIPE 1/2"</t>
  </si>
  <si>
    <t>'0414027</t>
  </si>
  <si>
    <t>PVC PIPE 3/4" BSP</t>
  </si>
  <si>
    <t>'0414028</t>
  </si>
  <si>
    <t>PVC TUBE 4MM ID X 6MM OD</t>
  </si>
  <si>
    <t>'0415011</t>
  </si>
  <si>
    <t>S.S.HOSE CLIP 1"</t>
  </si>
  <si>
    <t>'0415012</t>
  </si>
  <si>
    <t>SS HOSE CLIP 1/2"</t>
  </si>
  <si>
    <t>'0415013</t>
  </si>
  <si>
    <t xml:space="preserve"> SS HOSE CLIP 3\4"</t>
  </si>
  <si>
    <t>'0415015</t>
  </si>
  <si>
    <t>HOSE CLIP 11/4"</t>
  </si>
  <si>
    <t>'0415016</t>
  </si>
  <si>
    <t>S.S.HOSE CLIP 11/2"</t>
  </si>
  <si>
    <t>'0415017</t>
  </si>
  <si>
    <t>S.S.HOSE CLIP 2"</t>
  </si>
  <si>
    <t>'0415023</t>
  </si>
  <si>
    <t>SS HOSE CLIP 2"</t>
  </si>
  <si>
    <t>'0415032</t>
  </si>
  <si>
    <t>HOSE CLIP S.S.304  2.5" KLIPCO</t>
  </si>
  <si>
    <t>'0415035</t>
  </si>
  <si>
    <t>HOSE CLIP G.I.8"</t>
  </si>
  <si>
    <t>'0416008</t>
  </si>
  <si>
    <t>C.I.WHEEL 6"X2"BALL BEARING</t>
  </si>
  <si>
    <t>'0416010</t>
  </si>
  <si>
    <t>NYLON WHEEL 82MM DIA X 70MM WI</t>
  </si>
  <si>
    <t>'0416013</t>
  </si>
  <si>
    <t>NYLON WHEEL 7"OD X 2" WIDTH</t>
  </si>
  <si>
    <t>'0416030</t>
  </si>
  <si>
    <t>C. I. WHEELS FIX 4" X 2" WITH</t>
  </si>
  <si>
    <t>'0416031</t>
  </si>
  <si>
    <t>C.I. WHEELS 4" X 2" WITH BALL</t>
  </si>
  <si>
    <t>'0416033</t>
  </si>
  <si>
    <t>C.I.EHEEL 6"X2" BALL BEARING</t>
  </si>
  <si>
    <t>'0416038</t>
  </si>
  <si>
    <t>WHEEL  16" X3" FOR TROLLY</t>
  </si>
  <si>
    <t>'0416047</t>
  </si>
  <si>
    <t>NYLON TROLLY WHEEL ASSEMBLY 3"</t>
  </si>
  <si>
    <t>'0416052</t>
  </si>
  <si>
    <t>6" X 2" CI-PU WHEEL  WITH</t>
  </si>
  <si>
    <t>'0416053</t>
  </si>
  <si>
    <t>6" X 2" CI-PU WHEEL WITH</t>
  </si>
  <si>
    <t>'0416054</t>
  </si>
  <si>
    <t>4" X 2" CI-PU WHEEL WITH</t>
  </si>
  <si>
    <t>'0416055</t>
  </si>
  <si>
    <t>CI-PU WHEEL 4" X 2"</t>
  </si>
  <si>
    <t>'0416056</t>
  </si>
  <si>
    <t>'0416060</t>
  </si>
  <si>
    <t>6"X2" CI PU WHEEL WITH NUT</t>
  </si>
  <si>
    <t>'0417015</t>
  </si>
  <si>
    <t>PU PUSH FITTING</t>
  </si>
  <si>
    <t>'0417053</t>
  </si>
  <si>
    <t>PU TUBE 8MM DIA</t>
  </si>
  <si>
    <t>'0418011</t>
  </si>
  <si>
    <t>AIR LINE LUBRICATOR 1/2"</t>
  </si>
  <si>
    <t>'0418030</t>
  </si>
  <si>
    <t>AIR GUN ¼” BSP PVC LONG HANDLE</t>
  </si>
  <si>
    <t>'0418038</t>
  </si>
  <si>
    <t>PRESSURE GAUGES 0T03000 PSI 6"</t>
  </si>
  <si>
    <t>'0418039</t>
  </si>
  <si>
    <t>PRESSURE GAUGE 0-150PSI 10.6KG</t>
  </si>
  <si>
    <t>'0418055</t>
  </si>
  <si>
    <t>PRESSURE GAUGE 0-70 KGS</t>
  </si>
  <si>
    <t>'0418076</t>
  </si>
  <si>
    <t>FRL UNIT 1" WITH PRESSURE GUAG</t>
  </si>
  <si>
    <t>EA</t>
  </si>
  <si>
    <t>'0418085</t>
  </si>
  <si>
    <t>PRESSURE GAUGE 2.5"DIA 1/4"BSP</t>
  </si>
  <si>
    <t>'0418088</t>
  </si>
  <si>
    <t>MASTER GAUGE 0 -100KG/CM2</t>
  </si>
  <si>
    <t>'0418097</t>
  </si>
  <si>
    <t>FILTER REGULATOR 1"</t>
  </si>
  <si>
    <t>'0418120</t>
  </si>
  <si>
    <t>REGULATOR WITH GAUGE1/2"</t>
  </si>
  <si>
    <t>'0418121</t>
  </si>
  <si>
    <t>REGULATOR WITH GAUGE 3/8"</t>
  </si>
  <si>
    <t>'0418123</t>
  </si>
  <si>
    <t>PRESSURE GAUGE  0 -210 KG/CM2</t>
  </si>
  <si>
    <t>'0418143</t>
  </si>
  <si>
    <t>TEMPERATURE GAUGE 1/2"BSP</t>
  </si>
  <si>
    <t>'0418150</t>
  </si>
  <si>
    <t>1/2" FRL UNIT WITH GAUGE</t>
  </si>
  <si>
    <t>'0418153</t>
  </si>
  <si>
    <t>COMPOUND GAUGE,  DIAL Ø 6”,</t>
  </si>
  <si>
    <t>'0418159</t>
  </si>
  <si>
    <t>NRV 6 ‐ 4 OD</t>
  </si>
  <si>
    <t>'0419002</t>
  </si>
  <si>
    <t>COTTON WASTE</t>
  </si>
  <si>
    <t>'0419005</t>
  </si>
  <si>
    <t>ACRYLIC SHEET 11 1/2  1/4</t>
  </si>
  <si>
    <t>'0419006</t>
  </si>
  <si>
    <t>ACRYLIC SHEET 3MM</t>
  </si>
  <si>
    <t>'0419007</t>
  </si>
  <si>
    <t>ASBESTOS ROPE 1/8".</t>
  </si>
  <si>
    <t>'0419020</t>
  </si>
  <si>
    <t>M.S.IMPELLER FOR SEC.STIRRER</t>
  </si>
  <si>
    <t>'0419042</t>
  </si>
  <si>
    <t>HAND LETTER PUNCH 1/8"</t>
  </si>
  <si>
    <t>'0419043</t>
  </si>
  <si>
    <t xml:space="preserve"> NUMBER PUNCH  1\8</t>
  </si>
  <si>
    <t>'0419051</t>
  </si>
  <si>
    <t>LETTER PUNCH 1/4"</t>
  </si>
  <si>
    <t>'0419052</t>
  </si>
  <si>
    <t>LOVEJOY COUPLING L 110</t>
  </si>
  <si>
    <t>'0419056</t>
  </si>
  <si>
    <t>STAR WHEEL L-110</t>
  </si>
  <si>
    <t>'0419067</t>
  </si>
  <si>
    <t>MEASURING TAPE 30 MTR</t>
  </si>
  <si>
    <t>'0419075</t>
  </si>
  <si>
    <t>ACRYLIC SHEET 10MM</t>
  </si>
  <si>
    <t>'0419082</t>
  </si>
  <si>
    <t>STAR WHEEL / SPIDER L-190</t>
  </si>
  <si>
    <t>'0419087</t>
  </si>
  <si>
    <t>TAPER PIN MANDRILL DIA  25</t>
  </si>
  <si>
    <t>'0419097</t>
  </si>
  <si>
    <t>FAN BLADE 610MM SWEEP</t>
  </si>
  <si>
    <t>'0419105</t>
  </si>
  <si>
    <t>S.S.SIEVE 30 MESH 11" DIA</t>
  </si>
  <si>
    <t>'0419109</t>
  </si>
  <si>
    <t>S.S.SIEVE 300 MESH 11"</t>
  </si>
  <si>
    <t>'0419117</t>
  </si>
  <si>
    <t>60 MESH S.S.SIEVE G.I.FRAME</t>
  </si>
  <si>
    <t>'0419122</t>
  </si>
  <si>
    <t>S.S.SIEVE 200 MESH 11" DIA</t>
  </si>
  <si>
    <t>'0419125</t>
  </si>
  <si>
    <t>G.I.SIEVE 16"MESH 18"DIA</t>
  </si>
  <si>
    <t>'0419134</t>
  </si>
  <si>
    <t>M.S.SAMPLING SPOON</t>
  </si>
  <si>
    <t>'0419171</t>
  </si>
  <si>
    <t>INNER ANCHOR FASTNER M10X 75</t>
  </si>
  <si>
    <t>'0419172</t>
  </si>
  <si>
    <t>2" ROLLAC DISC HOLDER</t>
  </si>
  <si>
    <t>'0419178</t>
  </si>
  <si>
    <t>16 MESH S.S.SIEVE,18" DIA</t>
  </si>
  <si>
    <t>'0419182</t>
  </si>
  <si>
    <t>COMPACT PORTABLE SPEAKERPHONE</t>
  </si>
  <si>
    <t>'0419183</t>
  </si>
  <si>
    <t>COTTON CLOTH COLOR</t>
  </si>
  <si>
    <t>'0419184</t>
  </si>
  <si>
    <t>FOAM SHEET 8MM</t>
  </si>
  <si>
    <t>'0419193</t>
  </si>
  <si>
    <t>A 030-R-D03 FUEL PUMP</t>
  </si>
  <si>
    <t>'0419197</t>
  </si>
  <si>
    <t>TEFLON ROD DIA 40 X 300 MM L.</t>
  </si>
  <si>
    <t>'0419199</t>
  </si>
  <si>
    <t>TEA STANNER S.S.4" DIA</t>
  </si>
  <si>
    <t>'0419202</t>
  </si>
  <si>
    <t>LOVEJOY COUPLING L 100</t>
  </si>
  <si>
    <t>'0419211</t>
  </si>
  <si>
    <t>CHAIN LOCK FOR 3/4" SIMPLEX</t>
  </si>
  <si>
    <t>'0419216</t>
  </si>
  <si>
    <t>M.S. HEX NUT 3/8”</t>
  </si>
  <si>
    <t>'0419221</t>
  </si>
  <si>
    <t>FLEXIBLE MAGNETIC DIAL STAND</t>
  </si>
  <si>
    <t>'0419233</t>
  </si>
  <si>
    <t>SPRING ASOCIATED-D12620</t>
  </si>
  <si>
    <t>'0419236</t>
  </si>
  <si>
    <t>CABLE TRAY JOINING CLAMPS</t>
  </si>
  <si>
    <t>'0419260</t>
  </si>
  <si>
    <t>GLAND PACKING STYLE 1100 6MM</t>
  </si>
  <si>
    <t>'0419262</t>
  </si>
  <si>
    <t>GLAND PACKING 10MM STYLE-1100</t>
  </si>
  <si>
    <t>'0419287</t>
  </si>
  <si>
    <t>BEVEL GEAR</t>
  </si>
  <si>
    <t>'0419295</t>
  </si>
  <si>
    <t>IMPELLER BEACON PUMP 10HP DM8</t>
  </si>
  <si>
    <t>'0419297</t>
  </si>
  <si>
    <t>AIR OPERATED DOUBLE DIAPHRAME</t>
  </si>
  <si>
    <t>'0419391</t>
  </si>
  <si>
    <t>DUMMY / BLANK PLATE FOR PVC</t>
  </si>
  <si>
    <t>'0419402</t>
  </si>
  <si>
    <t>M.S.HINGES 4" X 1"</t>
  </si>
  <si>
    <t>'0419414</t>
  </si>
  <si>
    <t>HOLDING GRIPPER (STRAPING M/C)</t>
  </si>
  <si>
    <t>'0419415</t>
  </si>
  <si>
    <t>STEEL WOOL</t>
  </si>
  <si>
    <t>'0419417</t>
  </si>
  <si>
    <t>SMPS FOR 30 KGS CAP.</t>
  </si>
  <si>
    <t>'0419418</t>
  </si>
  <si>
    <t>SPRING SET FOR STRAPING M/C</t>
  </si>
  <si>
    <t>'0419430</t>
  </si>
  <si>
    <t>SHIM (TNMG160404)</t>
  </si>
  <si>
    <t>'0419440</t>
  </si>
  <si>
    <t>BLADE 'UHMW' DIA 8" FOR HIGH</t>
  </si>
  <si>
    <t>'0419453</t>
  </si>
  <si>
    <t>ANCHOR FASTNER M12 X 150MM</t>
  </si>
  <si>
    <t>'0419454</t>
  </si>
  <si>
    <t>ELECTRIC ENGRAVING M/C 230V</t>
  </si>
  <si>
    <t>'0419459</t>
  </si>
  <si>
    <t>ANCHOR FASTNER M12 X 115/20MM</t>
  </si>
  <si>
    <t>'0419473</t>
  </si>
  <si>
    <t>DISC SPRING FOR DRAW BAR ASSLY</t>
  </si>
  <si>
    <t>'0419475</t>
  </si>
  <si>
    <t>MEASURING TAPE 5 MTR</t>
  </si>
  <si>
    <t>'0419479</t>
  </si>
  <si>
    <t>ANCHOR FASTENER 1/2" X 4"</t>
  </si>
  <si>
    <t>'0419482</t>
  </si>
  <si>
    <t>TAPE DISPENCER</t>
  </si>
  <si>
    <t>'0419497</t>
  </si>
  <si>
    <t>MECHANICAL SEAL FOR KIRLOSKAR</t>
  </si>
  <si>
    <t>'0419506</t>
  </si>
  <si>
    <t>REMI STIRRER SHAFT WITH BLADE</t>
  </si>
  <si>
    <t>'0419512</t>
  </si>
  <si>
    <t>WIPER KIT Y-AXIS VF-0/1/2</t>
  </si>
  <si>
    <t>'0419515</t>
  </si>
  <si>
    <t>END GRIPPER FOR STRAPPING M/C</t>
  </si>
  <si>
    <t>'0419519</t>
  </si>
  <si>
    <t>LINCH PIN "A" TYPE</t>
  </si>
  <si>
    <t>'0419540</t>
  </si>
  <si>
    <t>SYNTEX TANK 1000 LTR CAP</t>
  </si>
  <si>
    <t>'0419541</t>
  </si>
  <si>
    <t>J HOOK 6" LONG WITH NUT/WASHER</t>
  </si>
  <si>
    <t>'0419542</t>
  </si>
  <si>
    <t>L HOOK 6"/5" LONG</t>
  </si>
  <si>
    <t>'0419545</t>
  </si>
  <si>
    <t>ASBESTOS  CEMENT  SHEET 6MM</t>
  </si>
  <si>
    <t>'0419548</t>
  </si>
  <si>
    <t>M.S. WIRE ROPE 12MM DIA</t>
  </si>
  <si>
    <t>'0419554</t>
  </si>
  <si>
    <t>TAR (DAMBER)WASHER</t>
  </si>
  <si>
    <t>'0419557</t>
  </si>
  <si>
    <t>LAPTOP CHARGER</t>
  </si>
  <si>
    <t>'0419573</t>
  </si>
  <si>
    <t>G.I.SIEVE 60 MESH 11" DIA</t>
  </si>
  <si>
    <t>'0419593</t>
  </si>
  <si>
    <t>S.S. WIRE ROPE 3/8" DIA</t>
  </si>
  <si>
    <t>'0419604</t>
  </si>
  <si>
    <t>P.B.BUSH FOR JAW OF ROBOTIC</t>
  </si>
  <si>
    <t>'0419613</t>
  </si>
  <si>
    <t>AXIAL FIMPELLER FOR GLOB FAN</t>
  </si>
  <si>
    <t>'0419617</t>
  </si>
  <si>
    <t>LAPING PASTE ROUGH/ FINE</t>
  </si>
  <si>
    <t>'0419624</t>
  </si>
  <si>
    <t>TOGGLE CLAMP VTC-3670 UB</t>
  </si>
  <si>
    <t>'0419628</t>
  </si>
  <si>
    <t>GUIDE ROLLER ASSEMBLY COMPLETE</t>
  </si>
  <si>
    <t>'0419629</t>
  </si>
  <si>
    <t>GUIDE ROLLER PIN WITH NUT</t>
  </si>
  <si>
    <t>'0419639</t>
  </si>
  <si>
    <t>TP LINK OUTDOOR CPE 210</t>
  </si>
  <si>
    <t>'0419647</t>
  </si>
  <si>
    <t>PVC FILLS 24"X12"X6"</t>
  </si>
  <si>
    <t>'0419650</t>
  </si>
  <si>
    <t>MICRO SWITCH HEAVY FOR STRPING</t>
  </si>
  <si>
    <t>'0419651</t>
  </si>
  <si>
    <t>MICRO SWITCH LIGHT FOR</t>
  </si>
  <si>
    <t>'0419657</t>
  </si>
  <si>
    <t>PRESSURE GAUGE 0-10 KG/CM</t>
  </si>
  <si>
    <t>'0419684</t>
  </si>
  <si>
    <t>NAILS(SHOE TACKS)</t>
  </si>
  <si>
    <t>'0419690</t>
  </si>
  <si>
    <t>CRIMPING TOOLS SYT 17</t>
  </si>
  <si>
    <t>'0419711</t>
  </si>
  <si>
    <t>G. I. CHAIN  LINK  FENCING</t>
  </si>
  <si>
    <t>'0419716</t>
  </si>
  <si>
    <t>GLAND PACKING 8MM THK</t>
  </si>
  <si>
    <t>'0419734</t>
  </si>
  <si>
    <t>0.6MM CORR SHEET COLOUR COATED</t>
  </si>
  <si>
    <t>'0419741</t>
  </si>
  <si>
    <t>DIFFUSER PLATE</t>
  </si>
  <si>
    <t>'0419752</t>
  </si>
  <si>
    <t>CONCRETE TROLLEY 250 KG CAP.</t>
  </si>
  <si>
    <t>'0419761</t>
  </si>
  <si>
    <t>5S300105 PLUNGER ASSEMBLY</t>
  </si>
  <si>
    <t>'0419762</t>
  </si>
  <si>
    <t>G16070019 V BELT K19(TTS)</t>
  </si>
  <si>
    <t>'0419773</t>
  </si>
  <si>
    <t>PLAIN WHEEL ASSLY COMPLETE</t>
  </si>
  <si>
    <t>'0419779</t>
  </si>
  <si>
    <t>STEEL ROLLER P/NO-513141</t>
  </si>
  <si>
    <t>'0419802</t>
  </si>
  <si>
    <t>KOEL CARE SUPER GENUINE OIL</t>
  </si>
  <si>
    <t>'0419803</t>
  </si>
  <si>
    <t>SPIN ON FILTER FOR LUBRICATING</t>
  </si>
  <si>
    <t>'0419809</t>
  </si>
  <si>
    <t>SPARE SET FOR APEX PUMP</t>
  </si>
  <si>
    <t>'0419813</t>
  </si>
  <si>
    <t>MOULD LOCKING BUSH EN8</t>
  </si>
  <si>
    <t>'0419815</t>
  </si>
  <si>
    <t>PINION GEAR FOR 2T EOT CRANE</t>
  </si>
  <si>
    <t>'0419825</t>
  </si>
  <si>
    <t>SPUR GEAR NO OF TEETH-34</t>
  </si>
  <si>
    <t>'0419826</t>
  </si>
  <si>
    <t>'0419829</t>
  </si>
  <si>
    <t>ALTRA WORM GEARBOX ALM 50 80:1</t>
  </si>
  <si>
    <t>'0419830</t>
  </si>
  <si>
    <t>FENAFLEX TYRE COUPLING F-40</t>
  </si>
  <si>
    <t>'0419831</t>
  </si>
  <si>
    <t>TIMING BELT 5M GT 770X60mm</t>
  </si>
  <si>
    <t>'0419832</t>
  </si>
  <si>
    <t>C.I. BUSH FOR FOUNDRY LOOP</t>
  </si>
  <si>
    <t>'0419833</t>
  </si>
  <si>
    <t>M.S. BUSH FOR FOUNDRY LOOP</t>
  </si>
  <si>
    <t>'0419834</t>
  </si>
  <si>
    <t>EPSON FX-2175 CARTRIDGE</t>
  </si>
  <si>
    <t>'0419835</t>
  </si>
  <si>
    <t>EPSON FX-2175 RIBBON</t>
  </si>
  <si>
    <t>'0419837</t>
  </si>
  <si>
    <t>RELAY BOARD 24VDC,8 CH, 1 CO</t>
  </si>
  <si>
    <t>'0419838</t>
  </si>
  <si>
    <t>RELAY BOARD 24VDC, 4 CH, 1  CO</t>
  </si>
  <si>
    <t>'0419839</t>
  </si>
  <si>
    <t>RELAY BOARD 24VDC, 2 CH, 1 CO</t>
  </si>
  <si>
    <t>'0419846</t>
  </si>
  <si>
    <t>WALL MOUNTED FAN 16"(400mm)</t>
  </si>
  <si>
    <t>'0419847</t>
  </si>
  <si>
    <t>HEATER ARM FOR STRAPPING M/C</t>
  </si>
  <si>
    <t>'041G0017D</t>
  </si>
  <si>
    <t>41G17 SINGLE CAVITY WAX INJE.</t>
  </si>
  <si>
    <t>'0422001</t>
  </si>
  <si>
    <t>DESKTOP 80GB IDE HARD DISK</t>
  </si>
  <si>
    <t>'0425267</t>
  </si>
  <si>
    <t>SPARE CONTACT KIT FOR L&amp;T ML-6</t>
  </si>
  <si>
    <t>'0425338</t>
  </si>
  <si>
    <t>SIEMENS AUXILARY CONTACT BLOCK</t>
  </si>
  <si>
    <t>'0425429</t>
  </si>
  <si>
    <t>Star rubber washer L-110</t>
  </si>
  <si>
    <t>'0425430</t>
  </si>
  <si>
    <t>Star rubber washer L-100</t>
  </si>
  <si>
    <t>'0425431</t>
  </si>
  <si>
    <t>Star rubber washer L-95</t>
  </si>
  <si>
    <t>'0425560</t>
  </si>
  <si>
    <t>DRILL CHUCK SLEEVE MT2-3</t>
  </si>
  <si>
    <t>'0425562</t>
  </si>
  <si>
    <t>SENSOR FOR WATER LEVEL -</t>
  </si>
  <si>
    <t>'043T0009D</t>
  </si>
  <si>
    <t>43T09 TWO CAVITY WAX INJECTION</t>
  </si>
  <si>
    <t>'049B0009D</t>
  </si>
  <si>
    <t>49B09 SIX CAVITY WAX</t>
  </si>
  <si>
    <t>'049B0010D</t>
  </si>
  <si>
    <t>49B10 FOUR CAVITY WAX INEJ.</t>
  </si>
  <si>
    <t>'0501014</t>
  </si>
  <si>
    <t>M.S.BOLT WITH NUT M-10 X 70</t>
  </si>
  <si>
    <t>'0501016</t>
  </si>
  <si>
    <t>M S BOLT WITH NUT M10X100</t>
  </si>
  <si>
    <t>'0501051</t>
  </si>
  <si>
    <t>M.S. HEX BOLT M6 X 20MM</t>
  </si>
  <si>
    <t>'0501074</t>
  </si>
  <si>
    <t>M.S.BOLT 3/8" X 2.5"</t>
  </si>
  <si>
    <t>'0501082</t>
  </si>
  <si>
    <t>M.S. T BOLT SMALL ½ BSW</t>
  </si>
  <si>
    <t>'0501084</t>
  </si>
  <si>
    <t>M.S.BOLT M10X40MM</t>
  </si>
  <si>
    <t>'0501086</t>
  </si>
  <si>
    <t>M.S.HEX BOLT M16X75MM</t>
  </si>
  <si>
    <t>'0501089</t>
  </si>
  <si>
    <t>WOODEN SCREW NO 8X35</t>
  </si>
  <si>
    <t>'0501090</t>
  </si>
  <si>
    <t>M.S.HEX BOLT WITH NUT M16X50</t>
  </si>
  <si>
    <t>'0501108</t>
  </si>
  <si>
    <t>MS BOLT M20X300MM</t>
  </si>
  <si>
    <t>'0501124</t>
  </si>
  <si>
    <t>M.S. BOLTS M8X30</t>
  </si>
  <si>
    <t>'0501125</t>
  </si>
  <si>
    <t>M.S. BOLTS M8X25</t>
  </si>
  <si>
    <t>'0501132</t>
  </si>
  <si>
    <t>M.S.STUD 1/2"X1.5"</t>
  </si>
  <si>
    <t>'0501146</t>
  </si>
  <si>
    <t>WOODEN SCREW  8 X 50</t>
  </si>
  <si>
    <t>'0501164</t>
  </si>
  <si>
    <t>T ROD (BOLT) AS PER DRAWING</t>
  </si>
  <si>
    <t>'0501170</t>
  </si>
  <si>
    <t>M.S.BOLT 1/2"X2"</t>
  </si>
  <si>
    <t>'0501181</t>
  </si>
  <si>
    <t>M.S WASHER 1/4"</t>
  </si>
  <si>
    <t>'0501183</t>
  </si>
  <si>
    <t>M.S. BOLT M10 X 50 MM WITH NUT</t>
  </si>
  <si>
    <t>'0501191</t>
  </si>
  <si>
    <t>M.S.STUD  M10 X M80</t>
  </si>
  <si>
    <t>'0501197</t>
  </si>
  <si>
    <t>M.S.HEX BOLT WITH NUT M16X 40</t>
  </si>
  <si>
    <t>'0501204</t>
  </si>
  <si>
    <t>M.S.HEX BOLT M10X100 WITH NUT</t>
  </si>
  <si>
    <t>'0501208</t>
  </si>
  <si>
    <t>M.S.BOLT M12 X 50 F.T.</t>
  </si>
  <si>
    <t>'0501213</t>
  </si>
  <si>
    <t>M.S.BOLT WITH NUT M16X100MM</t>
  </si>
  <si>
    <t>'0501214</t>
  </si>
  <si>
    <t>M.S.BOLT WITH NUT M12X50MM</t>
  </si>
  <si>
    <t>'0501215</t>
  </si>
  <si>
    <t>ANCHOR BOLT M12X75</t>
  </si>
  <si>
    <t>'0501216</t>
  </si>
  <si>
    <t>ANCHOR BOLT M12X100</t>
  </si>
  <si>
    <t>'0501239</t>
  </si>
  <si>
    <t>M.S. BOLT M12X100</t>
  </si>
  <si>
    <t>'0501244</t>
  </si>
  <si>
    <t>M.S.HEX BOLT  WITH NUT M12X35</t>
  </si>
  <si>
    <t>'0501247</t>
  </si>
  <si>
    <t>S.S.STUD 1/2"  X 1 MTR LONG</t>
  </si>
  <si>
    <t>'0501253</t>
  </si>
  <si>
    <t>ANCHOR BOLT M16 X 150MM</t>
  </si>
  <si>
    <t>'0501268</t>
  </si>
  <si>
    <t>ZINC PLATED PLAIN WASHER 3/16"</t>
  </si>
  <si>
    <t>'0501269</t>
  </si>
  <si>
    <t>DOWELLS MAKE COPPER LUG</t>
  </si>
  <si>
    <t>'0501271</t>
  </si>
  <si>
    <t>FLANGE TYPE CABLE GLAND</t>
  </si>
  <si>
    <t>'0501272</t>
  </si>
  <si>
    <t>'0501278</t>
  </si>
  <si>
    <t>ZINC PLATED NUT M6</t>
  </si>
  <si>
    <t>'0501279</t>
  </si>
  <si>
    <t>ZINC PLATED PLAIN WASHER M6</t>
  </si>
  <si>
    <t>'0501281</t>
  </si>
  <si>
    <t>'0501287</t>
  </si>
  <si>
    <t>ROTARY HAMMER DRILL M/C BOS</t>
  </si>
  <si>
    <t>'0501288</t>
  </si>
  <si>
    <t>HOLE SAW CUTTER 16mm</t>
  </si>
  <si>
    <t>'0501289</t>
  </si>
  <si>
    <t>HILTI HAMMER DRILL BIT 5mm</t>
  </si>
  <si>
    <t>'0501290</t>
  </si>
  <si>
    <t>HILTI HAMMER DRILL BIT 8mm</t>
  </si>
  <si>
    <t>'0501291</t>
  </si>
  <si>
    <t>HILTI HAMMER DRILL BIT 10m</t>
  </si>
  <si>
    <t>'0501292</t>
  </si>
  <si>
    <t>HILTI HAMMER DRILL BIT 12m</t>
  </si>
  <si>
    <t>'0501293</t>
  </si>
  <si>
    <t>HILTI HAMMER DRILL BIT 16mM</t>
  </si>
  <si>
    <t>'0501294</t>
  </si>
  <si>
    <t>HILTI HAMMER DRILL BIT 20m</t>
  </si>
  <si>
    <t>'0501295</t>
  </si>
  <si>
    <t>INCONEL 600 ROD DIA 15.85mm</t>
  </si>
  <si>
    <t>'0501296</t>
  </si>
  <si>
    <t>M12 C WASHER THICKNESS 9MM</t>
  </si>
  <si>
    <t>'0502034</t>
  </si>
  <si>
    <t>S.S.BOLT 1/2" X 2"</t>
  </si>
  <si>
    <t>'0502065</t>
  </si>
  <si>
    <t>SS 304 NUT BOLT M10X50MM</t>
  </si>
  <si>
    <t>'0502167</t>
  </si>
  <si>
    <t>S.S.HEX BOLT M12X50 WITH NUT</t>
  </si>
  <si>
    <t>'0502169</t>
  </si>
  <si>
    <t>S.S.BOLT WITH NUT M10X35</t>
  </si>
  <si>
    <t>'0502170</t>
  </si>
  <si>
    <t>S.S.BOLT, NUT WITH WASHER</t>
  </si>
  <si>
    <t>'0503005</t>
  </si>
  <si>
    <t>BRASS NUT 1/2"</t>
  </si>
  <si>
    <t>'0503006</t>
  </si>
  <si>
    <t>BRASS NUT 5/16"</t>
  </si>
  <si>
    <t>'0503065</t>
  </si>
  <si>
    <t>BRASS BOLT 3/8" X 2"</t>
  </si>
  <si>
    <t>'0503066</t>
  </si>
  <si>
    <t>BRASS NUT 3/8"</t>
  </si>
  <si>
    <t>'0503068</t>
  </si>
  <si>
    <t>BRASS HEX BOLT  5/16 , FUL</t>
  </si>
  <si>
    <t>'0503069</t>
  </si>
  <si>
    <t>BRASS HEX BOLT 1/4 , FULL</t>
  </si>
  <si>
    <t>'0503070</t>
  </si>
  <si>
    <t>BRASS HEX NUT 1/4''</t>
  </si>
  <si>
    <t>'0504011</t>
  </si>
  <si>
    <t>ALLEN BOLT M6 X 20</t>
  </si>
  <si>
    <t>'0504035</t>
  </si>
  <si>
    <t>ALLEN BOLT M8X30</t>
  </si>
  <si>
    <t>'0504040</t>
  </si>
  <si>
    <t>ALLEN BOLT M5 X20</t>
  </si>
  <si>
    <t>'0504044</t>
  </si>
  <si>
    <t>ALLEN BOLT M6 X 30</t>
  </si>
  <si>
    <t>'0504048</t>
  </si>
  <si>
    <t>ALLEN BOLT M8 X 40</t>
  </si>
  <si>
    <t>'0504050</t>
  </si>
  <si>
    <t>ALLEN BOLT 1/4" X 1"</t>
  </si>
  <si>
    <t>'0504062</t>
  </si>
  <si>
    <t>ALLEN BOLT M12X30</t>
  </si>
  <si>
    <t>'0504072</t>
  </si>
  <si>
    <t>ALLEN BOLT M8X90</t>
  </si>
  <si>
    <t>'0504080</t>
  </si>
  <si>
    <t>ALLEN BOLT M10X50</t>
  </si>
  <si>
    <t>'0504081</t>
  </si>
  <si>
    <t>ALLEN BOLT M8 X 25</t>
  </si>
  <si>
    <t>'0504082</t>
  </si>
  <si>
    <t>ALLEN BOLT M10X75 H/T TVS</t>
  </si>
  <si>
    <t>'0504086</t>
  </si>
  <si>
    <t>ALLEN BOLT M8X150</t>
  </si>
  <si>
    <t>'0504123</t>
  </si>
  <si>
    <t>ALLEN BOLT M12 X 50</t>
  </si>
  <si>
    <t>'0504131</t>
  </si>
  <si>
    <t>ALLEN BOLT M12 X 75</t>
  </si>
  <si>
    <t>'0504135</t>
  </si>
  <si>
    <t>ALLEN BOLT M4X15</t>
  </si>
  <si>
    <t>'0504153</t>
  </si>
  <si>
    <t>ALLEN CSK BOLT M8X30</t>
  </si>
  <si>
    <t>'0504154</t>
  </si>
  <si>
    <t>ALLEN BOLT M10X30</t>
  </si>
  <si>
    <t>'0504160</t>
  </si>
  <si>
    <t>O RING 16mm ID X 3mm THK</t>
  </si>
  <si>
    <t>'0504161</t>
  </si>
  <si>
    <t>ALLEN BOLT 3/8” X 1-1/4”</t>
  </si>
  <si>
    <t>'0504162</t>
  </si>
  <si>
    <t>ALLEN BOLT 5/16” X 1-1/4” LONG</t>
  </si>
  <si>
    <t>'0504163</t>
  </si>
  <si>
    <t>ALLEN BOLT 1/4” X 1/2” LONG</t>
  </si>
  <si>
    <t>'0505003</t>
  </si>
  <si>
    <t>GRUB SCREW M5 X 20</t>
  </si>
  <si>
    <t>'0505009</t>
  </si>
  <si>
    <t>GRUB SCREW M6X6</t>
  </si>
  <si>
    <t>'0505023</t>
  </si>
  <si>
    <t>SELF DRILLING SCREW NO.5 X 1"</t>
  </si>
  <si>
    <t>'0505031</t>
  </si>
  <si>
    <t>GRUB SCREW 3/8 X 20MM (3/4")</t>
  </si>
  <si>
    <t>'0505032</t>
  </si>
  <si>
    <t>GRUB SCREW 5/16" X 20MM (3/4")</t>
  </si>
  <si>
    <t>'0505039</t>
  </si>
  <si>
    <t>GRUB SCREW 6 X 25MM</t>
  </si>
  <si>
    <t>'0505040</t>
  </si>
  <si>
    <t>GRUB SCREW 8 X 25MM</t>
  </si>
  <si>
    <t>'0505041</t>
  </si>
  <si>
    <t>GRUB SCREW 10 X 25MM</t>
  </si>
  <si>
    <t>'0505042</t>
  </si>
  <si>
    <t>GRUB SCREW 12 X 25MM</t>
  </si>
  <si>
    <t>'0507027</t>
  </si>
  <si>
    <t>M.S. PLAIN WASHER M6</t>
  </si>
  <si>
    <t>'0507028</t>
  </si>
  <si>
    <t>M.S. PLAIN WASHER M8</t>
  </si>
  <si>
    <t>'0507029</t>
  </si>
  <si>
    <t>M.S. WASHER M10</t>
  </si>
  <si>
    <t>'0507031</t>
  </si>
  <si>
    <t>M.S. WASHER M16</t>
  </si>
  <si>
    <t>'0507037</t>
  </si>
  <si>
    <t>M.S.PLAIN WASHER M12</t>
  </si>
  <si>
    <t>'0508003</t>
  </si>
  <si>
    <t>WOODEN SCREW 25X/8</t>
  </si>
  <si>
    <t>'0511001</t>
  </si>
  <si>
    <t>S.S. WASHER 1/2" 2 MM THICK</t>
  </si>
  <si>
    <t>'0513006</t>
  </si>
  <si>
    <t>HEX NUT M10</t>
  </si>
  <si>
    <t>'0513014</t>
  </si>
  <si>
    <t>M.S.NUT 5/8"</t>
  </si>
  <si>
    <t>'0513018</t>
  </si>
  <si>
    <t>M.S.NUT M6</t>
  </si>
  <si>
    <t>'0513021</t>
  </si>
  <si>
    <t>HEX NUT M16</t>
  </si>
  <si>
    <t>'0513024</t>
  </si>
  <si>
    <t>M.S. NUT 1/2"</t>
  </si>
  <si>
    <t>'0513026</t>
  </si>
  <si>
    <t>M4 ZINK PLATED NUT</t>
  </si>
  <si>
    <t>'0513029</t>
  </si>
  <si>
    <t>M.S. HEX NUT M12</t>
  </si>
  <si>
    <t>'0513031</t>
  </si>
  <si>
    <t>MS NUT M20</t>
  </si>
  <si>
    <t>'0513032</t>
  </si>
  <si>
    <t>ZINC PLATED NUT M5</t>
  </si>
  <si>
    <t>'052A0036D</t>
  </si>
  <si>
    <t>52A36 DIE</t>
  </si>
  <si>
    <t>'052A0063D</t>
  </si>
  <si>
    <t>52A63/95S32 SINGLE CAVITY MAIN</t>
  </si>
  <si>
    <t>'052S0002D</t>
  </si>
  <si>
    <t>52S2 TWO CAVITY WAX INJ. DIE</t>
  </si>
  <si>
    <t>'056M0019D</t>
  </si>
  <si>
    <t>56M19 ONE CAVITY WAX INJECTION</t>
  </si>
  <si>
    <t>'056M0020D</t>
  </si>
  <si>
    <t>56M20 ONE CAVITY WAX INJECTION</t>
  </si>
  <si>
    <t>'056M0021D</t>
  </si>
  <si>
    <t>56M21 ONE CAVITY WAX INJECTION</t>
  </si>
  <si>
    <t>'056M0023D</t>
  </si>
  <si>
    <t>56M23 ONE CAVITY WAX INJECTION</t>
  </si>
  <si>
    <t>'056M0024D</t>
  </si>
  <si>
    <t>56M24 ONE CAVITY WAX INJECTION</t>
  </si>
  <si>
    <t>'059T0004</t>
  </si>
  <si>
    <t>Führungsschlitten R (2947-UD)</t>
  </si>
  <si>
    <t>'059T0005</t>
  </si>
  <si>
    <t>Führungsschlitten L (2948-UD)</t>
  </si>
  <si>
    <t>'059T0011D</t>
  </si>
  <si>
    <t>59T11 TWO CAVITY WAX INJECTION</t>
  </si>
  <si>
    <t>'059T0012D</t>
  </si>
  <si>
    <t>59T12 TWO CAVITY WAX INJECTION</t>
  </si>
  <si>
    <t>'059T0013D</t>
  </si>
  <si>
    <t>59T13 TWO CAVITY WAX INJECTION</t>
  </si>
  <si>
    <t>'059T0014D</t>
  </si>
  <si>
    <t>59T14 TWO CAVITY WAX INJECTION</t>
  </si>
  <si>
    <t>'059T0015D</t>
  </si>
  <si>
    <t>059T0015 TWO CAVITY WAX INJE.</t>
  </si>
  <si>
    <t>'0603001</t>
  </si>
  <si>
    <t>M.S.EJECTOR PIN</t>
  </si>
  <si>
    <t>'0603084</t>
  </si>
  <si>
    <t>MICA BAND HEATER 200WT/230 V.</t>
  </si>
  <si>
    <t>'0603129</t>
  </si>
  <si>
    <t>PRESSURE SWITCH IPS-70</t>
  </si>
  <si>
    <t>'0603173</t>
  </si>
  <si>
    <t>PRESSURE SWITCH RT-18</t>
  </si>
  <si>
    <t>'0603175</t>
  </si>
  <si>
    <t>ELECTRODE CAP</t>
  </si>
  <si>
    <t>'0603177</t>
  </si>
  <si>
    <t>PHOTO CELL VIEW GLASS</t>
  </si>
  <si>
    <t>'0603187</t>
  </si>
  <si>
    <t>SEAL KIT FOR HYDRAULIC PALLET</t>
  </si>
  <si>
    <t>'0603188</t>
  </si>
  <si>
    <t>SEAL KIT FOR REXROTH MAKE</t>
  </si>
  <si>
    <t>'0603189</t>
  </si>
  <si>
    <t>R902002387 SEAL KIT TW A4VG40/</t>
  </si>
  <si>
    <t>'0603190</t>
  </si>
  <si>
    <t>R902600558 ROD GUIDANCE</t>
  </si>
  <si>
    <t>'0603191</t>
  </si>
  <si>
    <t>R902602138 ROD SEAL 52 X 59,3X</t>
  </si>
  <si>
    <t>'0603194</t>
  </si>
  <si>
    <t>R902446567 TW A10V G 46 R21</t>
  </si>
  <si>
    <t>'0603197</t>
  </si>
  <si>
    <t>SEAL KIT FOR FOUNDRY BULK</t>
  </si>
  <si>
    <t>'0603198</t>
  </si>
  <si>
    <t>6SEAL KIT FOR PNEU. CYLINDER</t>
  </si>
  <si>
    <t>'0603203</t>
  </si>
  <si>
    <t>CRADLE (ROTARY )R909921133</t>
  </si>
  <si>
    <t>'0603204</t>
  </si>
  <si>
    <t>BEARING SHELL PAIR (ROTARY )</t>
  </si>
  <si>
    <t>'0603205</t>
  </si>
  <si>
    <t>CAGE PAIR (ROTARY )R902603726</t>
  </si>
  <si>
    <t>'0603206</t>
  </si>
  <si>
    <t>ROTARY SHAFT LIP SEAL (ROTARY)</t>
  </si>
  <si>
    <t>'0603207</t>
  </si>
  <si>
    <t>ECCENTRIC SCREW AXIAL PISTON</t>
  </si>
  <si>
    <t>'0603208</t>
  </si>
  <si>
    <t>SEALING NUT AXIAL PISTON PUMP</t>
  </si>
  <si>
    <t>'0603209</t>
  </si>
  <si>
    <t>SEAL KIT  AXIAL PISTON PUMP</t>
  </si>
  <si>
    <t>'0603210</t>
  </si>
  <si>
    <t>HOUSING COMPLETE SET R90210564</t>
  </si>
  <si>
    <t>'0604006</t>
  </si>
  <si>
    <t>RUBBER SEAL FOR 6" CYLINDER</t>
  </si>
  <si>
    <t>'0604031</t>
  </si>
  <si>
    <t>PNUMATIC CYLINDER 50 BOREX 100</t>
  </si>
  <si>
    <t>'0604037</t>
  </si>
  <si>
    <t>PISTON ROD DIA 50X770L</t>
  </si>
  <si>
    <t>'0604038</t>
  </si>
  <si>
    <t>EN8 BUSH 80X50X205L</t>
  </si>
  <si>
    <t>'0604039</t>
  </si>
  <si>
    <t>G.M. BUSH 64X50X50</t>
  </si>
  <si>
    <t>'0604040</t>
  </si>
  <si>
    <t>EN8 BUSH 75X40X30mm</t>
  </si>
  <si>
    <t>'0605015</t>
  </si>
  <si>
    <t>HEATING ELEMENT NICHROME STRIP</t>
  </si>
  <si>
    <t>'0605096</t>
  </si>
  <si>
    <t>SUB ZERO MAKE TEMPERATURE</t>
  </si>
  <si>
    <t>'0605108</t>
  </si>
  <si>
    <t>NICHROME 80.20 WIRE</t>
  </si>
  <si>
    <t>'0605302</t>
  </si>
  <si>
    <t>KETTLE ELEMENT 1.5 KW</t>
  </si>
  <si>
    <t>'0605311</t>
  </si>
  <si>
    <t>HEATING ELEMENT FOR LAB</t>
  </si>
  <si>
    <t>'0606033</t>
  </si>
  <si>
    <t>MECHANICAL SEAL FOR LMW</t>
  </si>
  <si>
    <t>'0606034</t>
  </si>
  <si>
    <t>MECHANICAL SEAL SIZE 16MM</t>
  </si>
  <si>
    <t>'0606036</t>
  </si>
  <si>
    <t>MECHANICAL SEAL FOR KDS527</t>
  </si>
  <si>
    <t>'0606037</t>
  </si>
  <si>
    <t>MECHANICAL SEAL FOR KDS 314</t>
  </si>
  <si>
    <t>'0606096</t>
  </si>
  <si>
    <t>SUCTION FILTERS ( NYLON ) FOR</t>
  </si>
  <si>
    <t>'0606097</t>
  </si>
  <si>
    <t>PRE FILTER IN ALU COSNT BOX</t>
  </si>
  <si>
    <t>'0606101</t>
  </si>
  <si>
    <t>SHAFT SEAL ASSEMBLY</t>
  </si>
  <si>
    <t>'0606140</t>
  </si>
  <si>
    <t>SPOOL SHAFT DIA 50mm X 620m</t>
  </si>
  <si>
    <t>'0606143</t>
  </si>
  <si>
    <t>2 TR ROTARY COMPRESSOR FOR</t>
  </si>
  <si>
    <t>'0606148</t>
  </si>
  <si>
    <t>PUMP IMPELLER CASING FOR ETP</t>
  </si>
  <si>
    <t>'0606149</t>
  </si>
  <si>
    <t>C.I. SUCTION COVER</t>
  </si>
  <si>
    <t>'0606217</t>
  </si>
  <si>
    <t>S.S.TUBULAR HEATER WITH S.S.</t>
  </si>
  <si>
    <t>'0606239</t>
  </si>
  <si>
    <t>FILTER BAGS</t>
  </si>
  <si>
    <t>'0606241</t>
  </si>
  <si>
    <t xml:space="preserve"> AHU FILTER BOX TYPE</t>
  </si>
  <si>
    <t>'0606242</t>
  </si>
  <si>
    <t>AHU PRE FILTER 592X296X50MM</t>
  </si>
  <si>
    <t>'0606246</t>
  </si>
  <si>
    <t>MESH FILTER</t>
  </si>
  <si>
    <t>'0606247</t>
  </si>
  <si>
    <t>SEDEX FILTERS 50X50X15MM</t>
  </si>
  <si>
    <t>'0606248</t>
  </si>
  <si>
    <t>STELEX FILTERS 50X50X20 MM</t>
  </si>
  <si>
    <t>'0609001</t>
  </si>
  <si>
    <t>MUSHROOM VALVE</t>
  </si>
  <si>
    <t>'0609002</t>
  </si>
  <si>
    <t>O RING FOR SB M/C</t>
  </si>
  <si>
    <t>'0609008</t>
  </si>
  <si>
    <t>SB GLASS 4"X11"X1/4"</t>
  </si>
  <si>
    <t>'0609009</t>
  </si>
  <si>
    <t>TUNGSTON CARBIDE INSERT 25X50</t>
  </si>
  <si>
    <t>'0609010</t>
  </si>
  <si>
    <t>S.B M/C NOZZLE HOLDER</t>
  </si>
  <si>
    <t>'0609030</t>
  </si>
  <si>
    <t>MIXING TUBE</t>
  </si>
  <si>
    <t>'0609038</t>
  </si>
  <si>
    <t>M.S.PERFORATED PLATE/ SHEET</t>
  </si>
  <si>
    <t>'0609080</t>
  </si>
  <si>
    <t>2 AL.DUPLEX GAS  DIFFUSER</t>
  </si>
  <si>
    <t>'0609090</t>
  </si>
  <si>
    <t>SHOT BLASTING HOSE 11/4"</t>
  </si>
  <si>
    <t>'0609096</t>
  </si>
  <si>
    <t>COMPLETE CYCLONE CONE WITH</t>
  </si>
  <si>
    <t>'0609099</t>
  </si>
  <si>
    <t>PILOT OP. NRV GV21080851</t>
  </si>
  <si>
    <t>'0609100</t>
  </si>
  <si>
    <t>SEAL KIT FOR 60 TON PRESS WAX</t>
  </si>
  <si>
    <t>'0609118</t>
  </si>
  <si>
    <t>S B  WIRE GLASS 27 1/4" X 7"</t>
  </si>
  <si>
    <t>'0609127</t>
  </si>
  <si>
    <t>HEAT SINK FOR SSR</t>
  </si>
  <si>
    <t>'0609128</t>
  </si>
  <si>
    <t>S.S. HEX NUT M10</t>
  </si>
  <si>
    <t>'0609129</t>
  </si>
  <si>
    <t>M.S. STUD 5/8” X 3”</t>
  </si>
  <si>
    <t>'0609130</t>
  </si>
  <si>
    <t>RUBBER MAT</t>
  </si>
  <si>
    <t>'0610153</t>
  </si>
  <si>
    <t>CYCLIC TIMER</t>
  </si>
  <si>
    <t>'0610154</t>
  </si>
  <si>
    <t>STAR DELTA TIMER 3-30</t>
  </si>
  <si>
    <t>'0611009</t>
  </si>
  <si>
    <t>PISTON FOR KNOCK-OUT HAMMER.</t>
  </si>
  <si>
    <t>'0611015</t>
  </si>
  <si>
    <t>VALVE CASE COMPLET ASSEMBLY</t>
  </si>
  <si>
    <t>'0611021</t>
  </si>
  <si>
    <t>V.C.DOWEL  PART NO.0442007</t>
  </si>
  <si>
    <t>'0611024</t>
  </si>
  <si>
    <t>HANDLE COMPLETE ASSEMBLY</t>
  </si>
  <si>
    <t>'0611036</t>
  </si>
  <si>
    <t>VALVE PART NO.0442003</t>
  </si>
  <si>
    <t>'0611051</t>
  </si>
  <si>
    <t>SPRING CLIP 0443009</t>
  </si>
  <si>
    <t>'0611064</t>
  </si>
  <si>
    <t>KNOCKOUT PIN FOR  HAMMER</t>
  </si>
  <si>
    <t>'0611070</t>
  </si>
  <si>
    <t>CYLINDER RC 11 0443015</t>
  </si>
  <si>
    <t>'0611072</t>
  </si>
  <si>
    <t>LOCK COLLAR P/NO-0443011</t>
  </si>
  <si>
    <t>'0611078</t>
  </si>
  <si>
    <t>T.V.PLUG 0369000</t>
  </si>
  <si>
    <t>'0611089</t>
  </si>
  <si>
    <t>ENDLESS CONVEYOR BELT ,M-2</t>
  </si>
  <si>
    <t>'0612001</t>
  </si>
  <si>
    <t>SPRING C-118770</t>
  </si>
  <si>
    <t>'0612002</t>
  </si>
  <si>
    <t>'O' RING 103700</t>
  </si>
  <si>
    <t>'0612004</t>
  </si>
  <si>
    <t>ROTAR BLADE  H-5001510</t>
  </si>
  <si>
    <t>'0612010</t>
  </si>
  <si>
    <t>COLLECT NUT D-9821055</t>
  </si>
  <si>
    <t>'0612014</t>
  </si>
  <si>
    <t>COLLECT BODY D7608501</t>
  </si>
  <si>
    <t>'0612015</t>
  </si>
  <si>
    <t>THROTTLELEVER FOR PNEU GRINDER</t>
  </si>
  <si>
    <t>'0612016</t>
  </si>
  <si>
    <t>LINER P NO D7101510</t>
  </si>
  <si>
    <t>'0612017</t>
  </si>
  <si>
    <t>ROTAR PART #1701511</t>
  </si>
  <si>
    <t>'0612020</t>
  </si>
  <si>
    <t>THROTTLE VALVE D-1201510</t>
  </si>
  <si>
    <t>'0612023</t>
  </si>
  <si>
    <t>MOTOR HOUSING  D-9418510</t>
  </si>
  <si>
    <t>'0612024</t>
  </si>
  <si>
    <t>U.E.PLATED-4402510</t>
  </si>
  <si>
    <t>'0612025</t>
  </si>
  <si>
    <t>L.E.PLATE D-4401510</t>
  </si>
  <si>
    <t>'0612026</t>
  </si>
  <si>
    <t>RETAINING NUT 7733510</t>
  </si>
  <si>
    <t>'0612027</t>
  </si>
  <si>
    <t>SPRING PLUG D 324510</t>
  </si>
  <si>
    <t>'0612032</t>
  </si>
  <si>
    <t>INDICATOR PIN M4851510</t>
  </si>
  <si>
    <t>'0612036</t>
  </si>
  <si>
    <t>THROTTLE LEVER PIN</t>
  </si>
  <si>
    <t>'0612038</t>
  </si>
  <si>
    <t>BEARING SPACER D4060510</t>
  </si>
  <si>
    <t>'0612041</t>
  </si>
  <si>
    <t>"O" RING P.NO.Q-0102700</t>
  </si>
  <si>
    <t>'0612052</t>
  </si>
  <si>
    <t>BLADE SET ROTOR FOR CP875 PNU</t>
  </si>
  <si>
    <t>'0612053</t>
  </si>
  <si>
    <t>LINER FOR CP875 PNU GRINDER</t>
  </si>
  <si>
    <t>'0612146</t>
  </si>
  <si>
    <t>ROTOR CA144795 FOR 875 GRINDER</t>
  </si>
  <si>
    <t>'0612164</t>
  </si>
  <si>
    <t>SPINDLE CA144812 For CP 875</t>
  </si>
  <si>
    <t>'0612165</t>
  </si>
  <si>
    <t>PINION CA144802 For CP 875</t>
  </si>
  <si>
    <t>'0613003</t>
  </si>
  <si>
    <t>SPARE SEAL FOR BALL VALVE</t>
  </si>
  <si>
    <t>'0613018</t>
  </si>
  <si>
    <t>G.I.HOSE NIPPLE 3/4"X3/8"</t>
  </si>
  <si>
    <t>'0613023</t>
  </si>
  <si>
    <t>L.P.HOSE 3/4" X 1 MTR</t>
  </si>
  <si>
    <t>'0613049</t>
  </si>
  <si>
    <t>HYD.FLEX. HOSE 3/8 F X 3/8 F</t>
  </si>
  <si>
    <t>'0613054</t>
  </si>
  <si>
    <t>M.S.HYDRAULIC PIPE  12MM.OD</t>
  </si>
  <si>
    <t>'0613167</t>
  </si>
  <si>
    <t>END SEAL HEATON ES-001</t>
  </si>
  <si>
    <t>'0613182</t>
  </si>
  <si>
    <t>STRAIGHT UNION ONE TOUCH</t>
  </si>
  <si>
    <t>'0613183</t>
  </si>
  <si>
    <t>Y UNION ONE TOUCH FITTING 6MM</t>
  </si>
  <si>
    <t>'0613184</t>
  </si>
  <si>
    <t>Y UNION ONE TOUGH FITTING 10MM</t>
  </si>
  <si>
    <t>'0613185</t>
  </si>
  <si>
    <t>MALE ELBOW ONE TOUCH FITTING</t>
  </si>
  <si>
    <t>'0613186</t>
  </si>
  <si>
    <t>Y UNION ONE TOUCH FITTING 8MM</t>
  </si>
  <si>
    <t>'0613187</t>
  </si>
  <si>
    <t>'0613188</t>
  </si>
  <si>
    <t>'0613189</t>
  </si>
  <si>
    <t>HOIST CONTROL PUSH BUTTON</t>
  </si>
  <si>
    <t>'0613190</t>
  </si>
  <si>
    <t>NYLON BRAIDED HOSE 1” DIA</t>
  </si>
  <si>
    <t>'0613191</t>
  </si>
  <si>
    <t>HSS HAND TAP M18</t>
  </si>
  <si>
    <t>'0613192</t>
  </si>
  <si>
    <t>ONE TOUCH FITTING  MALE</t>
  </si>
  <si>
    <t>'0613193</t>
  </si>
  <si>
    <t>Hydraulic Tee for 12mm OD TUBE</t>
  </si>
  <si>
    <t>'0613194</t>
  </si>
  <si>
    <t>Hydraulic Elbow for 12mm tube</t>
  </si>
  <si>
    <t>'0613195</t>
  </si>
  <si>
    <t>Straight Fitting  for 12 mm OD</t>
  </si>
  <si>
    <t>'0613196</t>
  </si>
  <si>
    <t>Flow Control Valve ½’’,350 Bar</t>
  </si>
  <si>
    <t>'0613197</t>
  </si>
  <si>
    <t>Fitting for ½’’ Valve to 12mm</t>
  </si>
  <si>
    <t>'0613198</t>
  </si>
  <si>
    <t>Ferrule suitable for 12 mm OD</t>
  </si>
  <si>
    <t>'0614001</t>
  </si>
  <si>
    <t>CERWOOL BLANKET 1200 DEG C</t>
  </si>
  <si>
    <t>'0614003</t>
  </si>
  <si>
    <t>CERAWOOL BLANKET 12MM THK</t>
  </si>
  <si>
    <t>'0614005</t>
  </si>
  <si>
    <t>BURNER BLOCK 9"X9"X9"</t>
  </si>
  <si>
    <t>'0614009</t>
  </si>
  <si>
    <t>CERAWOOL BLANKET HTZ 128</t>
  </si>
  <si>
    <t>'0614027</t>
  </si>
  <si>
    <t>CERAWOOL MODULES 225X300X300</t>
  </si>
  <si>
    <t>'0614039</t>
  </si>
  <si>
    <t>FIRE TILE IS8 24" X12"X 6"</t>
  </si>
  <si>
    <t>'0614074</t>
  </si>
  <si>
    <t>END TAPER BRICKS 9"X4.5"X3"X2.</t>
  </si>
  <si>
    <t>'0614097</t>
  </si>
  <si>
    <t>MUFFLE FURNACE. BRICKS</t>
  </si>
  <si>
    <t>'0614099</t>
  </si>
  <si>
    <t>IS8 BRICKS 9" X 4" X3"</t>
  </si>
  <si>
    <t>'0614113</t>
  </si>
  <si>
    <t>FIRE BRICKS 18"X18"X 3"</t>
  </si>
  <si>
    <t>'0614114</t>
  </si>
  <si>
    <t>SS 310 ANCHOR   L-TYPE FLAT</t>
  </si>
  <si>
    <t>'0614129</t>
  </si>
  <si>
    <t>IS8 FIRE BRICKS S/A</t>
  </si>
  <si>
    <t>'0614145</t>
  </si>
  <si>
    <t>CORE BREAKERS</t>
  </si>
  <si>
    <t>'0614150</t>
  </si>
  <si>
    <t>CERAMIC ROD 101A1 100MM LONG</t>
  </si>
  <si>
    <t>'0614151</t>
  </si>
  <si>
    <t>CERAMIC ROD 101A1 140MM LONG</t>
  </si>
  <si>
    <t>'0614193</t>
  </si>
  <si>
    <t>CERAMIC DISC 0515</t>
  </si>
  <si>
    <t>'0614196</t>
  </si>
  <si>
    <t>VACUUM CUP 0679</t>
  </si>
  <si>
    <t>'0614197</t>
  </si>
  <si>
    <t>VACUUM CUP 4556</t>
  </si>
  <si>
    <t>'0616029</t>
  </si>
  <si>
    <t>DIAMOND HOINING STICKS</t>
  </si>
  <si>
    <t>'0616031</t>
  </si>
  <si>
    <t>HARDNESS TEST BLOCK  45-55 HRC</t>
  </si>
  <si>
    <t>'0617018</t>
  </si>
  <si>
    <t>SENSITROL OIL VALVE</t>
  </si>
  <si>
    <t>'0617040</t>
  </si>
  <si>
    <t>FUEL FEED PUMP</t>
  </si>
  <si>
    <t>'0617065</t>
  </si>
  <si>
    <t>OIL NOZZLE</t>
  </si>
  <si>
    <t>'0617066</t>
  </si>
  <si>
    <t>OIL TUBE- 6425-2</t>
  </si>
  <si>
    <t>'0617067</t>
  </si>
  <si>
    <t>OIL CONNECTION ASSEMBLY</t>
  </si>
  <si>
    <t>'0618011</t>
  </si>
  <si>
    <t>PULSE FIRING MODULE FMOD5520</t>
  </si>
  <si>
    <t>'0618061</t>
  </si>
  <si>
    <t>ANTEENA ROD M 12MM 13" LONG</t>
  </si>
  <si>
    <t>'0618080</t>
  </si>
  <si>
    <t>ALUMINUM CLAMPING ROD</t>
  </si>
  <si>
    <t>'0618150</t>
  </si>
  <si>
    <t>BASE FSFO 0558</t>
  </si>
  <si>
    <t>'0618152</t>
  </si>
  <si>
    <t>THINNER N.C.SP.FCON1018</t>
  </si>
  <si>
    <t>'0618156</t>
  </si>
  <si>
    <t>HARDNER FOR POLY.RESIN</t>
  </si>
  <si>
    <t>'0618158</t>
  </si>
  <si>
    <t>ACTIVATOR FOR POLY.RESIN</t>
  </si>
  <si>
    <t>'0618171</t>
  </si>
  <si>
    <t>ASBESTOS SLEEVE 2"</t>
  </si>
  <si>
    <t>'0618173</t>
  </si>
  <si>
    <t>KILLO WATT METER 0-150 KW</t>
  </si>
  <si>
    <t>'0618202</t>
  </si>
  <si>
    <t>SYNDANIA SHEET ASBESTOSE</t>
  </si>
  <si>
    <t>'0618209</t>
  </si>
  <si>
    <t>ALUMINUM CLAMPING ROD TOP FOR</t>
  </si>
  <si>
    <t>'0618211</t>
  </si>
  <si>
    <t>FIBER GLASS SHEET 4MM</t>
  </si>
  <si>
    <t>'0618217</t>
  </si>
  <si>
    <t>SYNDYANIO SHEET 360 X200X19</t>
  </si>
  <si>
    <t>'0618219</t>
  </si>
  <si>
    <t>PRESSURE GAUGE 0-7KG X 2"DIAL</t>
  </si>
  <si>
    <t>'0618234</t>
  </si>
  <si>
    <t>G.M.BUSH FOR 3HP BEACON PUMP</t>
  </si>
  <si>
    <t>'0618282</t>
  </si>
  <si>
    <t>MINI RECEPTICAL R/S TYPE FOR</t>
  </si>
  <si>
    <t>'0618298</t>
  </si>
  <si>
    <t>THERMOCUPLE TIPS 13%</t>
  </si>
  <si>
    <t>'0618300</t>
  </si>
  <si>
    <t>COMPENSATING CABLE R/S TYPE</t>
  </si>
  <si>
    <t>'0618327</t>
  </si>
  <si>
    <t>ASBESTOS SLEEVE 40 MM ID</t>
  </si>
  <si>
    <t>'0618328</t>
  </si>
  <si>
    <t>P.B.BUSH WITH WASHER</t>
  </si>
  <si>
    <t>'0618337</t>
  </si>
  <si>
    <t>P.B.BUSH 50DAIX60 WITH SS</t>
  </si>
  <si>
    <t>'0618371</t>
  </si>
  <si>
    <t>STUD UNION 16 W.C. LEAD</t>
  </si>
  <si>
    <t>'0618372</t>
  </si>
  <si>
    <t>STUD UNION 16 # PLAIN END</t>
  </si>
  <si>
    <t>'0618373</t>
  </si>
  <si>
    <t>W.W. RESISTOR 10 OHM 300 W</t>
  </si>
  <si>
    <t>'0618374</t>
  </si>
  <si>
    <t>ALUMINUM CLAMPING ROD 40mm Ø</t>
  </si>
  <si>
    <t>'0618375</t>
  </si>
  <si>
    <t>FIBER GLASS SHEET 10MM</t>
  </si>
  <si>
    <t>'0619001</t>
  </si>
  <si>
    <t>ROTAR BLADE P.NO.-30001</t>
  </si>
  <si>
    <t>'0619004</t>
  </si>
  <si>
    <t>CONTROL CAGE 50003</t>
  </si>
  <si>
    <t>'0619013</t>
  </si>
  <si>
    <t>LOWER END LINER</t>
  </si>
  <si>
    <t>'0619014</t>
  </si>
  <si>
    <t>TOP LINER P.NO,30023</t>
  </si>
  <si>
    <t>'0619024</t>
  </si>
  <si>
    <t>AUXILLARY LINER P.NO.30029</t>
  </si>
  <si>
    <t>'0619032</t>
  </si>
  <si>
    <t>COMPLETE BARREL HEAD ASSEMBLY</t>
  </si>
  <si>
    <t>'0619036</t>
  </si>
  <si>
    <t>SPROCKET 13T, 30MM ID P.23102</t>
  </si>
  <si>
    <t>'0619039</t>
  </si>
  <si>
    <t>BOOT PULLEY  P.NO.16209</t>
  </si>
  <si>
    <t>'0619042</t>
  </si>
  <si>
    <t>UPPER END LINER P.NO 30021</t>
  </si>
  <si>
    <t>'0619047</t>
  </si>
  <si>
    <t>ROTOR SHAFT  PART NO.30030</t>
  </si>
  <si>
    <t>'0619052</t>
  </si>
  <si>
    <t>CNTRL CAGE SIDE LINER 30024</t>
  </si>
  <si>
    <t>'0619053</t>
  </si>
  <si>
    <t>AUXILIARY LINER 30028</t>
  </si>
  <si>
    <t>'0619073</t>
  </si>
  <si>
    <t>BLADE LOCK P.NO.(30002)30002</t>
  </si>
  <si>
    <t>'0619074</t>
  </si>
  <si>
    <t>DISTRIBUTOR P.NO.50004</t>
  </si>
  <si>
    <t>'0619075</t>
  </si>
  <si>
    <t>ROTOR HUB PART NO.30007</t>
  </si>
  <si>
    <t>'0619077</t>
  </si>
  <si>
    <t>CONTROL CAGE ADOPTER 30069</t>
  </si>
  <si>
    <t>'0619085</t>
  </si>
  <si>
    <t>HUB SEAL RETAINER 30027</t>
  </si>
  <si>
    <t>'0619088</t>
  </si>
  <si>
    <t>UPPER END LINER 30083</t>
  </si>
  <si>
    <t>'0619089</t>
  </si>
  <si>
    <t>LOWER END LINER 30084</t>
  </si>
  <si>
    <t>'0619090</t>
  </si>
  <si>
    <t>COVER SIDE LINER 30074</t>
  </si>
  <si>
    <t>'0619092</t>
  </si>
  <si>
    <t>DISTRIBUTOR BOLT 12324</t>
  </si>
  <si>
    <t>'0619096</t>
  </si>
  <si>
    <t>ROTOR P.NO.30009</t>
  </si>
  <si>
    <t>'0619111</t>
  </si>
  <si>
    <t>SHAFT FOR T/B DOOR</t>
  </si>
  <si>
    <t>'0619118</t>
  </si>
  <si>
    <t>60 TEETH SPROKET 5/8"P-23152</t>
  </si>
  <si>
    <t>'0619128</t>
  </si>
  <si>
    <t>SPROCKET 60 TEETH,5/8" PITCH</t>
  </si>
  <si>
    <t>'0619134</t>
  </si>
  <si>
    <t>CHAIN 5/8"  PITCH</t>
  </si>
  <si>
    <t>'0619135</t>
  </si>
  <si>
    <t>SIDE LINER (HUB SIDE) 30025</t>
  </si>
  <si>
    <t>'0619137</t>
  </si>
  <si>
    <t>CONVAYOUR BELT FOR T.B MC</t>
  </si>
  <si>
    <t>'0619139</t>
  </si>
  <si>
    <t>HEAD SHAFT 20609 FOR ELEVATOR</t>
  </si>
  <si>
    <t>'0619140</t>
  </si>
  <si>
    <t>HEAD PULLEY P.NO.16207 FOR T/B</t>
  </si>
  <si>
    <t>'0619142</t>
  </si>
  <si>
    <t>BOOT SHAFT P.NO.20002</t>
  </si>
  <si>
    <t>'0619144</t>
  </si>
  <si>
    <t>DOOR HANDLE 6”, HEAVY DUTY</t>
  </si>
  <si>
    <t>'0619147</t>
  </si>
  <si>
    <t>FRONT CONVEYOR ROLLP.NO.37040</t>
  </si>
  <si>
    <t>'0619152</t>
  </si>
  <si>
    <t>CHAIN LOCK FOR 5/8"</t>
  </si>
  <si>
    <t>'0619155</t>
  </si>
  <si>
    <t>ROTOR PULLEY P. NO- 16529</t>
  </si>
  <si>
    <t>'0619158</t>
  </si>
  <si>
    <t>ROTOR SIDE MOTOR PULLEY</t>
  </si>
  <si>
    <t>'0619161</t>
  </si>
  <si>
    <t>BOTTOM CONVEYOR SHAFT 20211</t>
  </si>
  <si>
    <t>'0619162</t>
  </si>
  <si>
    <t>13 TEETH SPROCKET 32MM BORE</t>
  </si>
  <si>
    <t>'0619166</t>
  </si>
  <si>
    <t>TOP CONVEYOR SHAFT 20209</t>
  </si>
  <si>
    <t>'0619168</t>
  </si>
  <si>
    <t>CHAIN LOCK 3/4" DUPLEX</t>
  </si>
  <si>
    <t>'0619171</t>
  </si>
  <si>
    <t>MANGANESE WEAR PLATE</t>
  </si>
  <si>
    <t>'0619180</t>
  </si>
  <si>
    <t>SPACER PART-30065</t>
  </si>
  <si>
    <t>'0619185</t>
  </si>
  <si>
    <t xml:space="preserve"> WOOLEN FELT SHEET 2' X 3'</t>
  </si>
  <si>
    <t>'0619199</t>
  </si>
  <si>
    <t>WHEEL SHAFT ASSEMBLY</t>
  </si>
  <si>
    <t>'0619219</t>
  </si>
  <si>
    <t>SEAL COVER PLATE(HD) 5H40-2433</t>
  </si>
  <si>
    <t>'0619225</t>
  </si>
  <si>
    <t>GEAR BOX PULLEY P.NO.16400</t>
  </si>
  <si>
    <t>'0619226</t>
  </si>
  <si>
    <t>5H40-1091 5H40/60/80/120 OIL</t>
  </si>
  <si>
    <t>'0619227</t>
  </si>
  <si>
    <t>5H40-1002 40/60//80/120 C.R</t>
  </si>
  <si>
    <t>'0619228</t>
  </si>
  <si>
    <t>5H46-1023/5H126-1023 PISTON</t>
  </si>
  <si>
    <t>'0619229</t>
  </si>
  <si>
    <t>5H40-1072 THRUST WASHER</t>
  </si>
  <si>
    <t>'0619230</t>
  </si>
  <si>
    <t>5H40-1082 5H P.E. BRASS</t>
  </si>
  <si>
    <t>'0619231</t>
  </si>
  <si>
    <t>5H40-1142 5H40/60/120</t>
  </si>
  <si>
    <t>'0619232</t>
  </si>
  <si>
    <t>AT61AA 272 5H40 CON ROD LOCK</t>
  </si>
  <si>
    <t>'0619234</t>
  </si>
  <si>
    <t>5F40/5H40/60/80 OIL PUMP</t>
  </si>
  <si>
    <t>'0619235</t>
  </si>
  <si>
    <t>5H46-114 5H46 CRANKSHAFT</t>
  </si>
  <si>
    <t>'0619236</t>
  </si>
  <si>
    <t>TOP CONVEYOR ROLLER P.NO.37041</t>
  </si>
  <si>
    <t>'0619237</t>
  </si>
  <si>
    <t>FRONT CONVEYOR SHAFT</t>
  </si>
  <si>
    <t>'0619238</t>
  </si>
  <si>
    <t>BOTTOM CONVEYOR ROLLER </t>
  </si>
  <si>
    <t>'0619239</t>
  </si>
  <si>
    <t>GS 38 PUR , PU RUBBER SPIDER</t>
  </si>
  <si>
    <t>'0619240</t>
  </si>
  <si>
    <t>GS 42 PUR , PU RUBBER SPIDER</t>
  </si>
  <si>
    <t>'0619241</t>
  </si>
  <si>
    <t>5H60 SUCTION /DISCHARGE VALVE</t>
  </si>
  <si>
    <t>'0619242</t>
  </si>
  <si>
    <t>SEAL COVER GASKET 5H40-3692</t>
  </si>
  <si>
    <t>'0619245</t>
  </si>
  <si>
    <t>ELEVATOR SHAFT FOR TUMB BLAST</t>
  </si>
  <si>
    <t>'0619507</t>
  </si>
  <si>
    <t>ALUMINIUM PULLEY OF BELT</t>
  </si>
  <si>
    <t>'061T0005D</t>
  </si>
  <si>
    <t>061T0005 TWO CAVITY WAX INEJ.</t>
  </si>
  <si>
    <t>'0620004</t>
  </si>
  <si>
    <t>FLUIDISING BED NOZZLES</t>
  </si>
  <si>
    <t>'0620007</t>
  </si>
  <si>
    <t>AIR HEATER 1KWT/240V</t>
  </si>
  <si>
    <t>'0620010</t>
  </si>
  <si>
    <t>SAFETY VALVE 1" 175 TO 250 PSI</t>
  </si>
  <si>
    <t>'0620026</t>
  </si>
  <si>
    <t>PHOTOCELL THERMAX MAKE</t>
  </si>
  <si>
    <t>'0620051</t>
  </si>
  <si>
    <t>SPARE COIL MAXIMA BOILER</t>
  </si>
  <si>
    <t>'0620102</t>
  </si>
  <si>
    <t>NOZZLE FOR BOILER 2.5 GPH -45°</t>
  </si>
  <si>
    <t>'0620129</t>
  </si>
  <si>
    <t>AUTOCLAVE BOILER GASKET 141.86</t>
  </si>
  <si>
    <t>'0620134</t>
  </si>
  <si>
    <t>IGNITION ELECTRODE</t>
  </si>
  <si>
    <t>'0620144</t>
  </si>
  <si>
    <t>OPEN CARTRIDGE HEATER 1KW 230V</t>
  </si>
  <si>
    <t>'0620146</t>
  </si>
  <si>
    <t>ASPEE HSP POWER SPRAYER</t>
  </si>
  <si>
    <t>'0620151</t>
  </si>
  <si>
    <t>NOZZLE  4.5 G.P.H.</t>
  </si>
  <si>
    <t>'0620152</t>
  </si>
  <si>
    <t>NOZZLE 5.0 G.P.H.</t>
  </si>
  <si>
    <t>'0620162</t>
  </si>
  <si>
    <t>STEAM VALVE 1" SCREW TYPE</t>
  </si>
  <si>
    <t>'0620551</t>
  </si>
  <si>
    <t>IGNITION TRANSFORMER</t>
  </si>
  <si>
    <t>'0620555</t>
  </si>
  <si>
    <t>SEQUENCE CONTROLLER</t>
  </si>
  <si>
    <t>'0620557</t>
  </si>
  <si>
    <t>INDICATOR GLASS FOR</t>
  </si>
  <si>
    <t>'0620574</t>
  </si>
  <si>
    <t>BURNER ROD LDO</t>
  </si>
  <si>
    <t>'0621001</t>
  </si>
  <si>
    <t>CHANNEL &amp; SPRING A54C33LP</t>
  </si>
  <si>
    <t>'0621015</t>
  </si>
  <si>
    <t>MACHINE SCREW 77A2S29</t>
  </si>
  <si>
    <t>'0621017</t>
  </si>
  <si>
    <t>OIL FILTER 645861</t>
  </si>
  <si>
    <t>'0621035</t>
  </si>
  <si>
    <t>PLUNGER UNLODER IR 28495A</t>
  </si>
  <si>
    <t>'0621065</t>
  </si>
  <si>
    <t>VALVE SEAT RING FLANGE 91004</t>
  </si>
  <si>
    <t>'0621073</t>
  </si>
  <si>
    <t>BLOW OFF VALVE -1622369480</t>
  </si>
  <si>
    <t>'0621081</t>
  </si>
  <si>
    <t>RING PISTON UNLOADER</t>
  </si>
  <si>
    <t>'0621084</t>
  </si>
  <si>
    <t>SPRING UNLODER</t>
  </si>
  <si>
    <t>'0621086</t>
  </si>
  <si>
    <t>SCREW 77 A 25101</t>
  </si>
  <si>
    <t>'0621087</t>
  </si>
  <si>
    <t>SCREW GUIDE 1W89606</t>
  </si>
  <si>
    <t>'0621091</t>
  </si>
  <si>
    <t>SEAT PLATE A54C18</t>
  </si>
  <si>
    <t>'0621093</t>
  </si>
  <si>
    <t>MACHINE SCREW P/NO-87A2S148</t>
  </si>
  <si>
    <t>'0621095</t>
  </si>
  <si>
    <t>CAP SCREW WITH WASHER 35A2D9</t>
  </si>
  <si>
    <t>'0621096</t>
  </si>
  <si>
    <t>CAP SCREW WITH WASHER 35A21C63</t>
  </si>
  <si>
    <t>'0621109</t>
  </si>
  <si>
    <t>NUT SET SCREW WIN 7381</t>
  </si>
  <si>
    <t>'0621122</t>
  </si>
  <si>
    <t>TAPER LOCK PULLEY WITH TAPER</t>
  </si>
  <si>
    <t>'0621162</t>
  </si>
  <si>
    <t>CAP SCREW WITH WASHER35A2-1D60</t>
  </si>
  <si>
    <t>'0621163</t>
  </si>
  <si>
    <t>CAP SCREW WITH WASHER 35A2D7</t>
  </si>
  <si>
    <t>'0621168</t>
  </si>
  <si>
    <t>OIL SEPERATOR ELEMENT KIT</t>
  </si>
  <si>
    <t>'0621178</t>
  </si>
  <si>
    <t>SET SCREW DISCHARGE LP- WIN738</t>
  </si>
  <si>
    <t>'0621181</t>
  </si>
  <si>
    <t>O"RING UNLOADER - 20A11CM334</t>
  </si>
  <si>
    <t>'0621182</t>
  </si>
  <si>
    <t>PLATE SET HP - A357PC18</t>
  </si>
  <si>
    <t>'0621183</t>
  </si>
  <si>
    <t>DOWEL - 28CS17</t>
  </si>
  <si>
    <t>'0621211</t>
  </si>
  <si>
    <t>MAINTENANCE KIT 2901194701</t>
  </si>
  <si>
    <t>'0621212</t>
  </si>
  <si>
    <t>OIL SEPERATOR KIT 2901162600</t>
  </si>
  <si>
    <t>'0621221</t>
  </si>
  <si>
    <t>FILTER KIT PART NO.2901194402</t>
  </si>
  <si>
    <t>'0621229</t>
  </si>
  <si>
    <t>GEAR SET PART NO.35-13/18 FOR</t>
  </si>
  <si>
    <t>'0621242</t>
  </si>
  <si>
    <t>Rubber Gasket for 26E98</t>
  </si>
  <si>
    <t>'0621243</t>
  </si>
  <si>
    <t>Rubber Gasket for 26E99</t>
  </si>
  <si>
    <t>'0621244</t>
  </si>
  <si>
    <t>Rubber Gasket for 26E100</t>
  </si>
  <si>
    <t>'0621248</t>
  </si>
  <si>
    <t>ENGINE OIL 20W40</t>
  </si>
  <si>
    <t>'0621249</t>
  </si>
  <si>
    <t>ALUMINIUM NAME PLATE 150X38 MM</t>
  </si>
  <si>
    <t>'0621253</t>
  </si>
  <si>
    <t>Rubber Gasket for 26E119</t>
  </si>
  <si>
    <t>'0621254</t>
  </si>
  <si>
    <t>Rubber Gasket for 26E120</t>
  </si>
  <si>
    <t>'0621300</t>
  </si>
  <si>
    <t>BLADE SUPPORT STUD OF BAND SAW</t>
  </si>
  <si>
    <t>'0621305</t>
  </si>
  <si>
    <t>AIR FILTER ELEMENT</t>
  </si>
  <si>
    <t>'0621306</t>
  </si>
  <si>
    <t>OIL FILTER 1613610590</t>
  </si>
  <si>
    <t>'0621332</t>
  </si>
  <si>
    <t>GEAR SET SS316, PART NO.100-13</t>
  </si>
  <si>
    <t>'0621333</t>
  </si>
  <si>
    <t>G.M. BUSH FOR AFLA AP 100</t>
  </si>
  <si>
    <t>'0621334</t>
  </si>
  <si>
    <t>O’RING 100 - 06  VITON FOR</t>
  </si>
  <si>
    <t>'0621335</t>
  </si>
  <si>
    <t>HOSE ASSEMBLY 1622319981</t>
  </si>
  <si>
    <t>'0621336</t>
  </si>
  <si>
    <t>PR TRANSDUCER P NO. 1089057</t>
  </si>
  <si>
    <t>'0621337</t>
  </si>
  <si>
    <t>SOLENOID VALVE JMFH-5-1/8 ,</t>
  </si>
  <si>
    <t>'0621338</t>
  </si>
  <si>
    <t>THERMOSTATIC KIT-60 DEG CEL</t>
  </si>
  <si>
    <t>'0621339</t>
  </si>
  <si>
    <t>JAM NUT LP P NO.19A4C10DC</t>
  </si>
  <si>
    <t>'0621340</t>
  </si>
  <si>
    <t>SET OF CHANNEL AND SPRING H</t>
  </si>
  <si>
    <t>'0621341</t>
  </si>
  <si>
    <t>O RING UNLOADER HP</t>
  </si>
  <si>
    <t>'0621342</t>
  </si>
  <si>
    <t>'0621346</t>
  </si>
  <si>
    <t>PUMP END COVER ASSY. WITH</t>
  </si>
  <si>
    <t>'0621347</t>
  </si>
  <si>
    <t>LP GUIDE SCREW FILTER M/C</t>
  </si>
  <si>
    <t>'0621348</t>
  </si>
  <si>
    <t>LP UNLOADER PLUNGER</t>
  </si>
  <si>
    <t>'0621349</t>
  </si>
  <si>
    <t>SPRING UNLOADING P.NO.PP391</t>
  </si>
  <si>
    <t>'0621350</t>
  </si>
  <si>
    <t>SPRING LIFTING P.NO.PP579</t>
  </si>
  <si>
    <t>'0621351</t>
  </si>
  <si>
    <t>1616551700 LIP SEAL</t>
  </si>
  <si>
    <t>'0621352</t>
  </si>
  <si>
    <t>1622662300 BUSHING</t>
  </si>
  <si>
    <t>'0622038</t>
  </si>
  <si>
    <t>M.S.BUSH ID-16MM X 25MMOD</t>
  </si>
  <si>
    <t>'0626001</t>
  </si>
  <si>
    <t>COOLING FAN 22060 S B2 M W</t>
  </si>
  <si>
    <t>'0626002</t>
  </si>
  <si>
    <t>COOLING FAN EC8025 A2 MW</t>
  </si>
  <si>
    <t>'0626003</t>
  </si>
  <si>
    <t>COOLING FAN 28080 B2 HW-MB-C</t>
  </si>
  <si>
    <t>'0626004</t>
  </si>
  <si>
    <t>COOLING FAN 22038 B2 M T/W</t>
  </si>
  <si>
    <t>'0626005</t>
  </si>
  <si>
    <t>COOLING FAN 21725 B2 M W</t>
  </si>
  <si>
    <t>'0626018</t>
  </si>
  <si>
    <t>COOLING FAN 24 V DC</t>
  </si>
  <si>
    <t>'0626041</t>
  </si>
  <si>
    <t>COOLING FAN 12 V DC</t>
  </si>
  <si>
    <t>'0628031</t>
  </si>
  <si>
    <t>MCB CHANNEL (PATTI)</t>
  </si>
  <si>
    <t>'0629001</t>
  </si>
  <si>
    <t>HYDRAULIC GEAR PUMP 3036 DOWTY</t>
  </si>
  <si>
    <t>'0629002</t>
  </si>
  <si>
    <t>MICA BAND HEATER 125 WATT,230V</t>
  </si>
  <si>
    <t>'0629003</t>
  </si>
  <si>
    <t>DC PROXIMITY SWITCH 3 WIRE</t>
  </si>
  <si>
    <t>'0629025</t>
  </si>
  <si>
    <t>WAX PISTON SEAL SET</t>
  </si>
  <si>
    <t>'0629053</t>
  </si>
  <si>
    <t>D.C.VALVE DSG 03-2B2-D24-N50</t>
  </si>
  <si>
    <t>'0629054</t>
  </si>
  <si>
    <t>D.C.VALVE DSG-01-3C2-D24-N50</t>
  </si>
  <si>
    <t>'0629073</t>
  </si>
  <si>
    <t>SEAL KIT FOR 35 TON SUCTION</t>
  </si>
  <si>
    <t>'0629081</t>
  </si>
  <si>
    <t>SUCTION STRAINER SC-3 30 11/2"</t>
  </si>
  <si>
    <t>'0629082</t>
  </si>
  <si>
    <t>RETURN LINE FILTER TIE 08 025</t>
  </si>
  <si>
    <t>'0629098</t>
  </si>
  <si>
    <t>SUCTION/INJECTION CYL.SEAL SET</t>
  </si>
  <si>
    <t>'0629106</t>
  </si>
  <si>
    <t>PROXIMITY SENSOR 8MM 10 TO 30</t>
  </si>
  <si>
    <t>'0629129</t>
  </si>
  <si>
    <t>MECHANICAL LIFTING JACK</t>
  </si>
  <si>
    <t>'0629133</t>
  </si>
  <si>
    <t>SSR WITH HEAT SINK</t>
  </si>
  <si>
    <t>'0629140</t>
  </si>
  <si>
    <t>SEAL SET FOR 6 TON PRESS</t>
  </si>
  <si>
    <t>'0629141</t>
  </si>
  <si>
    <t xml:space="preserve"> SEAL KIT FOR 35 TON HYDRAULIC</t>
  </si>
  <si>
    <t>'0629142</t>
  </si>
  <si>
    <t>SEAL KIT FOR WAX PISTON 35 TON</t>
  </si>
  <si>
    <t>'0629145</t>
  </si>
  <si>
    <t>MICA BAND HEATER 120W</t>
  </si>
  <si>
    <t>'0629155</t>
  </si>
  <si>
    <t xml:space="preserve"> SEAL KIT FOR CUP OF HYDRAULIC</t>
  </si>
  <si>
    <t>'0629156</t>
  </si>
  <si>
    <t xml:space="preserve"> U SEAL FOR 35 TON PRESS</t>
  </si>
  <si>
    <t>'0629158</t>
  </si>
  <si>
    <t>HYDRAULIC PUMP VICKERS MAKE</t>
  </si>
  <si>
    <t>'0629161</t>
  </si>
  <si>
    <t>O RING 65 X 75 X 5 MM</t>
  </si>
  <si>
    <t>'0629163</t>
  </si>
  <si>
    <t>AXIAL PISTON PUMP PVB10-RSY</t>
  </si>
  <si>
    <t>'0629174</t>
  </si>
  <si>
    <t>FLOW METER FOR ACETONE</t>
  </si>
  <si>
    <t>'0629175</t>
  </si>
  <si>
    <t>FLOW METER FOR METHANOL</t>
  </si>
  <si>
    <t>'0629186</t>
  </si>
  <si>
    <t>PROXIMITY SWITCH 18 MM PNP</t>
  </si>
  <si>
    <t>'0629187</t>
  </si>
  <si>
    <t>SUCTION TUBE HEATER</t>
  </si>
  <si>
    <t>'0629191</t>
  </si>
  <si>
    <t>PISTON ROD 40 MM</t>
  </si>
  <si>
    <t>'0629198</t>
  </si>
  <si>
    <t>COMPRESSION SPRING-110MM</t>
  </si>
  <si>
    <t>'0629199</t>
  </si>
  <si>
    <t>COMPRESSION SPRING-90MM</t>
  </si>
  <si>
    <t>'0629203</t>
  </si>
  <si>
    <t>SUCTION INJECTION SEAL SET</t>
  </si>
  <si>
    <t>'0629207</t>
  </si>
  <si>
    <t>TON SEAL FOR SET FURNANCE AIR</t>
  </si>
  <si>
    <t>'0629232</t>
  </si>
  <si>
    <t>SIEMENS MAKE HMI 4” KTP400</t>
  </si>
  <si>
    <t>'0629235</t>
  </si>
  <si>
    <t>PROXIMITY SWITCH 8MM X50 MM</t>
  </si>
  <si>
    <t>'0629237</t>
  </si>
  <si>
    <t>HASS AXIS LUBRICANT</t>
  </si>
  <si>
    <t>'0629239</t>
  </si>
  <si>
    <t>AIR COOLER-WATER  PUMP</t>
  </si>
  <si>
    <t>'0629240</t>
  </si>
  <si>
    <t>FOUNDRY LOOP CONVEYOR HYD.CUP</t>
  </si>
  <si>
    <t>'0629241</t>
  </si>
  <si>
    <t>HYD. NOZZLE CYLENDER SEAL SET</t>
  </si>
  <si>
    <t>'0629242</t>
  </si>
  <si>
    <t>DOWTY MAKE HAND PUMP</t>
  </si>
  <si>
    <t>'0629243</t>
  </si>
  <si>
    <t>SEAL KIT FOR PNEUMATC CYLINDER</t>
  </si>
  <si>
    <t>'0629244</t>
  </si>
  <si>
    <t>HYD. CLAMP CYLINDER SEAL SET</t>
  </si>
  <si>
    <t>'0629252</t>
  </si>
  <si>
    <t>SIEMENS CPU ST30, 18DI, 12 DO</t>
  </si>
  <si>
    <t>'0629253</t>
  </si>
  <si>
    <t>FILTER ELEM REPLACE FOR LUBE</t>
  </si>
  <si>
    <t>'0629254</t>
  </si>
  <si>
    <t>MICRO SWITCH ASSY 16,</t>
  </si>
  <si>
    <t>'0629255</t>
  </si>
  <si>
    <t>SEAL 2.000 CR19737,2.371 OD</t>
  </si>
  <si>
    <t>'0629256</t>
  </si>
  <si>
    <t>DRAWBAR SPD 77 SPRNG 3RD GEN</t>
  </si>
  <si>
    <t>'0629257</t>
  </si>
  <si>
    <t>DRAWBAR SPD 77 SPRNG 1800LB</t>
  </si>
  <si>
    <t>'0629258</t>
  </si>
  <si>
    <t>BL04/08 CBL CAST J BOX 14'</t>
  </si>
  <si>
    <t>'0629281</t>
  </si>
  <si>
    <t>93-30-0154R BEARING ASS PACK</t>
  </si>
  <si>
    <t>'0629282</t>
  </si>
  <si>
    <t>51-2025 BEARING RADIAL 304PP</t>
  </si>
  <si>
    <t>'0629283</t>
  </si>
  <si>
    <t>BEARING CARTRIDGE RETROFIT KIT</t>
  </si>
  <si>
    <t>'0629284</t>
  </si>
  <si>
    <t>D. C. VALVE MRP-01-B</t>
  </si>
  <si>
    <t>'0629285</t>
  </si>
  <si>
    <t>SEAL KIT FOR 60 TON PRESS NO.2</t>
  </si>
  <si>
    <t>'0629286</t>
  </si>
  <si>
    <t>'0629287</t>
  </si>
  <si>
    <t>'0630032</t>
  </si>
  <si>
    <t>SCR INVERTER 147-9109-9-PE</t>
  </si>
  <si>
    <t>'0630076</t>
  </si>
  <si>
    <t>DIODE (INV) 147-9110-7 (A 596</t>
  </si>
  <si>
    <t>'0630081</t>
  </si>
  <si>
    <t>TEMP. SENSOR 145øF 149-0744-8</t>
  </si>
  <si>
    <t>'0630082</t>
  </si>
  <si>
    <t>TEMP. SENSOR 175øF 149-0715-8</t>
  </si>
  <si>
    <t>'0630113</t>
  </si>
  <si>
    <t>BRASS HOSE NIPPLE 1/2" X 1/2"</t>
  </si>
  <si>
    <t>'0630114</t>
  </si>
  <si>
    <t>BOTTOM CASTING 250 KG D.L.(REV</t>
  </si>
  <si>
    <t>'0630130</t>
  </si>
  <si>
    <t>BASE 2216 FSFOO558</t>
  </si>
  <si>
    <t>'0630131</t>
  </si>
  <si>
    <t>THINNER FCON1018 N.C.SP</t>
  </si>
  <si>
    <t>'0630132</t>
  </si>
  <si>
    <t>SILICON RUBBER  TAPE FTAP0021</t>
  </si>
  <si>
    <t>'0630133</t>
  </si>
  <si>
    <t>FIBER GLASS TAPE FTAP0021</t>
  </si>
  <si>
    <t>'0630134</t>
  </si>
  <si>
    <t>BISPHINOL POLYSTER RESIN</t>
  </si>
  <si>
    <t>'0630135</t>
  </si>
  <si>
    <t>HARDNER FOR POLYRESIN</t>
  </si>
  <si>
    <t>'0630136</t>
  </si>
  <si>
    <t>ACTIVATOR FOR POLY RESIN</t>
  </si>
  <si>
    <t>'0630137</t>
  </si>
  <si>
    <t>COIL 300 KG  FFCL1110 DL</t>
  </si>
  <si>
    <t>'0630149</t>
  </si>
  <si>
    <t>HARDNER FSFP 0559</t>
  </si>
  <si>
    <t>'0630152</t>
  </si>
  <si>
    <t>DIODE(CONV)147-1122-0</t>
  </si>
  <si>
    <t>'0630153</t>
  </si>
  <si>
    <t>DIODE(CONV)147-1123-8</t>
  </si>
  <si>
    <t>'0630154</t>
  </si>
  <si>
    <t>TOP CASTING 250/300 KG D.L.</t>
  </si>
  <si>
    <t>'0630166</t>
  </si>
  <si>
    <t>CARBON FREE HOSE PIPE 1/2"</t>
  </si>
  <si>
    <t>'0630172</t>
  </si>
  <si>
    <t>Z CONTROL BOARD REV.9A</t>
  </si>
  <si>
    <t>'0630177</t>
  </si>
  <si>
    <t>CARBON FREE HOSE SPL-GTS 1"</t>
  </si>
  <si>
    <t>'0630184</t>
  </si>
  <si>
    <t>CI BUSH FOR  AP35 ALFA PUMP</t>
  </si>
  <si>
    <t>'0630194</t>
  </si>
  <si>
    <t>OPTO SENOR, TMP1700, X LIMIT</t>
  </si>
  <si>
    <t>'0630195</t>
  </si>
  <si>
    <t>OPTO SENSOR, TMP1700, Y LIMIT</t>
  </si>
  <si>
    <t>'0631007</t>
  </si>
  <si>
    <t>PVC COUPLING 1" BSP</t>
  </si>
  <si>
    <t>'0631012</t>
  </si>
  <si>
    <t>PVC BALL VALVE 11/2" BSP</t>
  </si>
  <si>
    <t>'0631028</t>
  </si>
  <si>
    <t>PVC CONDUIT PIPE 1”</t>
  </si>
  <si>
    <t>'0631034</t>
  </si>
  <si>
    <t>UPVC SOLUTION</t>
  </si>
  <si>
    <t>'0631035</t>
  </si>
  <si>
    <t>PVC BEND 1"</t>
  </si>
  <si>
    <t>'0631038</t>
  </si>
  <si>
    <t>UPVC PIPE 1"</t>
  </si>
  <si>
    <t>'0631039</t>
  </si>
  <si>
    <t>PVC TEE 1 1/2"</t>
  </si>
  <si>
    <t>'0631040</t>
  </si>
  <si>
    <t>PVC COUPLING 6"</t>
  </si>
  <si>
    <t>'0631053</t>
  </si>
  <si>
    <t>1 1/2" UPVC MTA   BRASS</t>
  </si>
  <si>
    <t>'0631061</t>
  </si>
  <si>
    <t>CPVC 1 ½” E/F TANK NIPPLE</t>
  </si>
  <si>
    <t>'0631191</t>
  </si>
  <si>
    <t>UPVC ELBOW 1”</t>
  </si>
  <si>
    <t>'0631212</t>
  </si>
  <si>
    <t>UPVC PIPE 1 ½”</t>
  </si>
  <si>
    <t>'0631215</t>
  </si>
  <si>
    <t>UPVC FTA ¾ ”</t>
  </si>
  <si>
    <t>'0631219</t>
  </si>
  <si>
    <t>UPVC PIPE 2 ½”</t>
  </si>
  <si>
    <t>'0631220</t>
  </si>
  <si>
    <t>UPVC SERVICE SADDLE 2 ½”X 3/4</t>
  </si>
  <si>
    <t>'0631221</t>
  </si>
  <si>
    <t>UPVC END CAP 2 ½” PLAIN PRE</t>
  </si>
  <si>
    <t>'0631222</t>
  </si>
  <si>
    <t>UPVC TEE 2 ½”</t>
  </si>
  <si>
    <t>'0631223</t>
  </si>
  <si>
    <t>UPVC ELBOW 2 ½”</t>
  </si>
  <si>
    <t>'0631224</t>
  </si>
  <si>
    <t>UPVC TAIL PIECE 2 ½”</t>
  </si>
  <si>
    <t>'0631226</t>
  </si>
  <si>
    <t>UPVC BLIND FLANGE 2 ½”</t>
  </si>
  <si>
    <t>'0631227</t>
  </si>
  <si>
    <t>UPVC VALVE 2 ½”</t>
  </si>
  <si>
    <t>'0631228</t>
  </si>
  <si>
    <t>COOLING TOWER SHOWER NOZZLE</t>
  </si>
  <si>
    <t>'0631229</t>
  </si>
  <si>
    <t>PVC PIPE 6”</t>
  </si>
  <si>
    <t>'0631230</t>
  </si>
  <si>
    <t>PVC ELBOW 6”</t>
  </si>
  <si>
    <t>'0631231</t>
  </si>
  <si>
    <t>PVC SOULTION 500ml PACK</t>
  </si>
  <si>
    <t>'0631232</t>
  </si>
  <si>
    <t>SCREW DRIVER 905 IBT, TAPARIA</t>
  </si>
  <si>
    <t>'0631233</t>
  </si>
  <si>
    <t>CPVC BALL VALVE 1 ½”</t>
  </si>
  <si>
    <t>'0631234</t>
  </si>
  <si>
    <t>UPVC BALL VALVE 1 ½”</t>
  </si>
  <si>
    <t>'0631235</t>
  </si>
  <si>
    <t>UPVC MTA 20mm</t>
  </si>
  <si>
    <t>'0631236</t>
  </si>
  <si>
    <t>G.I. PLATED STUD M10X1MTR</t>
  </si>
  <si>
    <t>'0632010</t>
  </si>
  <si>
    <t>CLAMPING LUG 28036</t>
  </si>
  <si>
    <t>'0632016</t>
  </si>
  <si>
    <t>ELEVATOR BOLT,NUT,WAHSER 12309</t>
  </si>
  <si>
    <t>'0632040</t>
  </si>
  <si>
    <t>SPROCKET 15 TEETH ,5/8" PITCH</t>
  </si>
  <si>
    <t>'0632065</t>
  </si>
  <si>
    <t>CA144809 BEVEL GEAR FOR CP</t>
  </si>
  <si>
    <t>'0636027</t>
  </si>
  <si>
    <t>POTENTIO METER 10K RW-3</t>
  </si>
  <si>
    <t>'0636044</t>
  </si>
  <si>
    <t>SYNDANIO SHEET 320X320X16 MMTH</t>
  </si>
  <si>
    <t>'0636179</t>
  </si>
  <si>
    <t>SYNDANIA RING 250MMX210MMX50MM</t>
  </si>
  <si>
    <t>'0636303</t>
  </si>
  <si>
    <t>SILICON RUBBER TAPE FTAP0030</t>
  </si>
  <si>
    <t>'0638006</t>
  </si>
  <si>
    <t>IMPELLER FOR PIT TYPE GAS</t>
  </si>
  <si>
    <t>'0638009</t>
  </si>
  <si>
    <t>OXYGEN PROBE ST 500 KTC</t>
  </si>
  <si>
    <t>'0638032</t>
  </si>
  <si>
    <t>SHAFT, NUT, KEY AND WASTER FOR</t>
  </si>
  <si>
    <t>'0638051</t>
  </si>
  <si>
    <t>RETORT FOR PIT TYPE GAS</t>
  </si>
  <si>
    <t>'0638052</t>
  </si>
  <si>
    <t>SILICON CORD 12.5MM OD</t>
  </si>
  <si>
    <t>'0638054</t>
  </si>
  <si>
    <t>IMPELLER FOR TEMPERING FURNACE</t>
  </si>
  <si>
    <t>'0638056</t>
  </si>
  <si>
    <t>REPAIR KIT FOR AIR BLOWER</t>
  </si>
  <si>
    <t>'0638057</t>
  </si>
  <si>
    <t>'0644006</t>
  </si>
  <si>
    <t>GLASS FUSE 500MA 783-016</t>
  </si>
  <si>
    <t>'0644011</t>
  </si>
  <si>
    <t>GLASS FUSE 1A</t>
  </si>
  <si>
    <t>'0644017</t>
  </si>
  <si>
    <t>SELECTOR SWITCH, NO WITH</t>
  </si>
  <si>
    <t>'0644022</t>
  </si>
  <si>
    <t>GRUB SCREW 15MM</t>
  </si>
  <si>
    <t>'0644030</t>
  </si>
  <si>
    <t>COMPONENT COLLING FAN 50/60HZ</t>
  </si>
  <si>
    <t>'0647003</t>
  </si>
  <si>
    <t>SIDE LINER [C.C.SIDE ] 30081</t>
  </si>
  <si>
    <t>'0647004</t>
  </si>
  <si>
    <t>SIDE LINER [ C.C.SIDE] 30082</t>
  </si>
  <si>
    <t>'0647017</t>
  </si>
  <si>
    <t>COVER LINER 30073 (TOP)</t>
  </si>
  <si>
    <t>'064S0001D</t>
  </si>
  <si>
    <t>64S1 / 10S7 DIE</t>
  </si>
  <si>
    <t>'0656012</t>
  </si>
  <si>
    <t>W.C.LEAD 16 NO 10 FT LONG</t>
  </si>
  <si>
    <t>'0656085</t>
  </si>
  <si>
    <t>COIL SUPPORT FRUB0611</t>
  </si>
  <si>
    <t>'0656121</t>
  </si>
  <si>
    <t>SERVICE KIT WAY COVER Z AXIS</t>
  </si>
  <si>
    <t>'0656154</t>
  </si>
  <si>
    <t>CNC MACHINE CHUCK SOFT JAWS</t>
  </si>
  <si>
    <t>'0656160</t>
  </si>
  <si>
    <t>BALLSCREW,32-8-800.1</t>
  </si>
  <si>
    <t>'0656186</t>
  </si>
  <si>
    <t>WIPER</t>
  </si>
  <si>
    <t>'0656201</t>
  </si>
  <si>
    <t>ANTI ROTATION KEY FOR GRIPPER</t>
  </si>
  <si>
    <t>'0656202</t>
  </si>
  <si>
    <t>PUSH ROD SPRING</t>
  </si>
  <si>
    <t>'0656212</t>
  </si>
  <si>
    <t>20-2516-PIN,DRAWBAR INLINEF</t>
  </si>
  <si>
    <t>'0656215</t>
  </si>
  <si>
    <t>93-2196A-GREASE, HASS LIQUID</t>
  </si>
  <si>
    <t>'0656235</t>
  </si>
  <si>
    <t>58-4000 LUBE FITG FLOWMETER</t>
  </si>
  <si>
    <t>'0656241</t>
  </si>
  <si>
    <t>36-3102 MICRO SW ASSY MOLDED</t>
  </si>
  <si>
    <t>'0656250</t>
  </si>
  <si>
    <t>ELECTRONIC OPTICAL ADGE FINDER</t>
  </si>
  <si>
    <t>'0656257</t>
  </si>
  <si>
    <t>A90L-0001-0509 FAN</t>
  </si>
  <si>
    <t>'0656258</t>
  </si>
  <si>
    <t>A90L-0001-0441#39 FAN</t>
  </si>
  <si>
    <t>'0656259</t>
  </si>
  <si>
    <t>A90L-0001-0511 FAN</t>
  </si>
  <si>
    <t>'0656260</t>
  </si>
  <si>
    <t>A90L-00010510 FAN</t>
  </si>
  <si>
    <t>'0656261</t>
  </si>
  <si>
    <t>A90L-0001-0507#A FAN</t>
  </si>
  <si>
    <t>'0656268</t>
  </si>
  <si>
    <t>COLLET SPLIT-BT40 PART NO.</t>
  </si>
  <si>
    <t>'0656270</t>
  </si>
  <si>
    <t>BUSH LOCATING-BT 40, PART NO.</t>
  </si>
  <si>
    <t>'0656271</t>
  </si>
  <si>
    <t>SPRING SNAP RING</t>
  </si>
  <si>
    <t>'0656279</t>
  </si>
  <si>
    <t>TOOL POCKET SUB ASSLY BT-40</t>
  </si>
  <si>
    <t>'0656280</t>
  </si>
  <si>
    <t>BRK LINER IP66 -EMCO DYNATORQ</t>
  </si>
  <si>
    <t>'0656281</t>
  </si>
  <si>
    <t>D.C VALVE DOUBLE SOLENOID</t>
  </si>
  <si>
    <t>'0656282</t>
  </si>
  <si>
    <t>SINGLE SOLENOID VALVE</t>
  </si>
  <si>
    <t>'0656283</t>
  </si>
  <si>
    <t>PRESSURE SWITCH IPS 50-32</t>
  </si>
  <si>
    <t>'0656284</t>
  </si>
  <si>
    <t>GASKET DISCHERGE CHUTE VMC</t>
  </si>
  <si>
    <t>'0656285</t>
  </si>
  <si>
    <t>GASKET CONVEYOR MTR,</t>
  </si>
  <si>
    <t>'0656286</t>
  </si>
  <si>
    <t>GORDILLO Y-AXIS EC-300B,</t>
  </si>
  <si>
    <t>'0656287</t>
  </si>
  <si>
    <t>DIA 165/3 JAW NEW CNC CHUCK</t>
  </si>
  <si>
    <t>'0656288</t>
  </si>
  <si>
    <t>GT PULLEY ASSEMBLY</t>
  </si>
  <si>
    <t>'0656289</t>
  </si>
  <si>
    <t>TRP BASE ASSY INLINE</t>
  </si>
  <si>
    <t>'0656290</t>
  </si>
  <si>
    <t>METERING CARTRIDGE D1 0.1CC</t>
  </si>
  <si>
    <t>'0656291</t>
  </si>
  <si>
    <t>METERING CARTRIDGE D2 0.25CC</t>
  </si>
  <si>
    <t>'0656292</t>
  </si>
  <si>
    <t>II STAGE CARTRIDGE (VORTEX)</t>
  </si>
  <si>
    <t>'0656293</t>
  </si>
  <si>
    <t>STUD BUSH, P. NO.C74-400027</t>
  </si>
  <si>
    <t>'0656294</t>
  </si>
  <si>
    <t>1 STAGE CARTRIDGE (VORTEX)</t>
  </si>
  <si>
    <t>'0656295</t>
  </si>
  <si>
    <t>RETURN LINE FILTER,</t>
  </si>
  <si>
    <t>'0656296</t>
  </si>
  <si>
    <t>CL/UNCL SENSOR SMTC P.NO. 3</t>
  </si>
  <si>
    <t>'0656297</t>
  </si>
  <si>
    <t>NEW DRAWBAR ASSEMBLY P.No.ID</t>
  </si>
  <si>
    <t>'0656303</t>
  </si>
  <si>
    <t>GT BELT PGGT3 750-5MGT-40</t>
  </si>
  <si>
    <t>'0656304</t>
  </si>
  <si>
    <t>ZBPAN PROJECTION CAP FOR</t>
  </si>
  <si>
    <t>'0656305</t>
  </si>
  <si>
    <t>ECSLUMA008 XB5-AW33B1N LUMINUS</t>
  </si>
  <si>
    <t>'0656306</t>
  </si>
  <si>
    <t>139467 MOBILUBE HD 85W-140</t>
  </si>
  <si>
    <t>'0656307</t>
  </si>
  <si>
    <t>HVARETF004 R.L.F CARTRIDGE SMC</t>
  </si>
  <si>
    <t>'0656308</t>
  </si>
  <si>
    <t>SP0305 SEAL KIT P-80</t>
  </si>
  <si>
    <t>'0656309</t>
  </si>
  <si>
    <t>CA011804 SPRING-PLUNGER-BT40</t>
  </si>
  <si>
    <t>'0656310</t>
  </si>
  <si>
    <t>139468 MOBILUBE HD 85W-140</t>
  </si>
  <si>
    <t>'0656312</t>
  </si>
  <si>
    <t>FAN A90L-0001-0538#RM2</t>
  </si>
  <si>
    <t>'0656319</t>
  </si>
  <si>
    <t>JOG BOX NEXT GENERATION V1.0</t>
  </si>
  <si>
    <t>'0656320</t>
  </si>
  <si>
    <t>Rapid Controller ,TOSOKU TYPE</t>
  </si>
  <si>
    <t>'0657016</t>
  </si>
  <si>
    <t>EARTHING FUNEL FOR 1 "PIPE SIZ</t>
  </si>
  <si>
    <t>'0660016</t>
  </si>
  <si>
    <t>850-015 LUBRICATION MULTEMP</t>
  </si>
  <si>
    <t>'0660052</t>
  </si>
  <si>
    <t>ROBOTIC JAW PISTON</t>
  </si>
  <si>
    <t>'0661020</t>
  </si>
  <si>
    <t>FILLER WIRE FOR WELDING-</t>
  </si>
  <si>
    <t>STSI</t>
  </si>
  <si>
    <t>'0663012</t>
  </si>
  <si>
    <t>1.1 LITER FUEL FILTER KIT</t>
  </si>
  <si>
    <t>'0665013</t>
  </si>
  <si>
    <t>KPT-05 KG DEMOLITN HAMMER</t>
  </si>
  <si>
    <t>'0676001</t>
  </si>
  <si>
    <t>MEMBRANE FOR RO PLANT</t>
  </si>
  <si>
    <t>'0676004</t>
  </si>
  <si>
    <t>CHEMICAL DOSING PUMP : 6 LPH</t>
  </si>
  <si>
    <t>'0677002</t>
  </si>
  <si>
    <t>FLEXIBLE COOLENT PIPE 1/4'</t>
  </si>
  <si>
    <t>'0701004</t>
  </si>
  <si>
    <t>FIX SPANNER 18 X 19</t>
  </si>
  <si>
    <t>'0701006</t>
  </si>
  <si>
    <t>FIX SPANNER 14MM X 15MM</t>
  </si>
  <si>
    <t>'0701024</t>
  </si>
  <si>
    <t>ALLEN KEY 4MM</t>
  </si>
  <si>
    <t>'0701025</t>
  </si>
  <si>
    <t>ALLEN KEY 5 MM</t>
  </si>
  <si>
    <t>'0701027</t>
  </si>
  <si>
    <t>ALLEN KEY 8 MM</t>
  </si>
  <si>
    <t>'0701029</t>
  </si>
  <si>
    <t>ALLEN KEY 10 MM EXTRA LONG</t>
  </si>
  <si>
    <t>'0701033</t>
  </si>
  <si>
    <t>ALLEN KEY 3MM</t>
  </si>
  <si>
    <t>'0701044</t>
  </si>
  <si>
    <t>ALLEN KEY SET MM</t>
  </si>
  <si>
    <t>'0701045</t>
  </si>
  <si>
    <t>ALLEN KEY 6MM</t>
  </si>
  <si>
    <t>'0701052</t>
  </si>
  <si>
    <t>ALLEN KEY 3/16"</t>
  </si>
  <si>
    <t>'0701054</t>
  </si>
  <si>
    <t>TAPARIA FIX SPANNER SET MM</t>
  </si>
  <si>
    <t>'0701056</t>
  </si>
  <si>
    <t>FIX  SPANNER 16 X 17</t>
  </si>
  <si>
    <t>'0701058</t>
  </si>
  <si>
    <t>65RM MILLING 'C' SPANNER</t>
  </si>
  <si>
    <t>'0701062</t>
  </si>
  <si>
    <t>FIX SPANNER 10 MM X 11 MM</t>
  </si>
  <si>
    <t>'0701079</t>
  </si>
  <si>
    <t>FIX SPANNER 8 X 9</t>
  </si>
  <si>
    <t>'0701080</t>
  </si>
  <si>
    <t>RING SPANNER 12 X 13</t>
  </si>
  <si>
    <t>'0701082</t>
  </si>
  <si>
    <t>RING SPANNER  24 X 23</t>
  </si>
  <si>
    <t>'0701110</t>
  </si>
  <si>
    <t>TIN CUTTER</t>
  </si>
  <si>
    <t>'0701111</t>
  </si>
  <si>
    <t>OXYGEN GAS SPANNER</t>
  </si>
  <si>
    <t>'0701112</t>
  </si>
  <si>
    <t>ARGON GAS SPANNER</t>
  </si>
  <si>
    <t>'0702012</t>
  </si>
  <si>
    <t>TESTER NO 813</t>
  </si>
  <si>
    <t>'0702023</t>
  </si>
  <si>
    <t>TAPARIA SCREW DRIVER NO.936</t>
  </si>
  <si>
    <t>'0705039</t>
  </si>
  <si>
    <t>COMBINATION PLIER 8" ( 1621)</t>
  </si>
  <si>
    <t>'0705040</t>
  </si>
  <si>
    <t>LONG NOSE PLIER 1420-8</t>
  </si>
  <si>
    <t>'0705044</t>
  </si>
  <si>
    <t>HAMMER 1000 GMS WITH HANDLE</t>
  </si>
  <si>
    <t>'0705045</t>
  </si>
  <si>
    <t>ADJUSTABLE SPANNER 12" (1173)</t>
  </si>
  <si>
    <t>'0705052</t>
  </si>
  <si>
    <t>CIRCLIP PLIER PVC DIP COATED</t>
  </si>
  <si>
    <t>'0705053</t>
  </si>
  <si>
    <t>'0705061</t>
  </si>
  <si>
    <t>NYLON HAMMER 1"</t>
  </si>
  <si>
    <t>'0705064</t>
  </si>
  <si>
    <t>'0705078</t>
  </si>
  <si>
    <t>LONG NOSE PLIER ,FLAT NOSE</t>
  </si>
  <si>
    <t>'0705079</t>
  </si>
  <si>
    <t>CIRCLIP PLIER, INTRNL ST. NOSE</t>
  </si>
  <si>
    <t>'0705080</t>
  </si>
  <si>
    <t>CIRCLIP PLIER INTRNL BENT NOSE</t>
  </si>
  <si>
    <t>'0706010</t>
  </si>
  <si>
    <t>THREAD PLUG GAUGE M3-6H</t>
  </si>
  <si>
    <t>'0706011</t>
  </si>
  <si>
    <t>THREAD PLUG GAUGE M6X1X6H</t>
  </si>
  <si>
    <t>'0706017</t>
  </si>
  <si>
    <t>THREAD PLUG GAUGE M-4 X 6 H</t>
  </si>
  <si>
    <t>'0706023</t>
  </si>
  <si>
    <t>SC REAMER DIA 4.99MM</t>
  </si>
  <si>
    <t>'0706045</t>
  </si>
  <si>
    <t>CUTTING TOOL</t>
  </si>
  <si>
    <t>'0706067</t>
  </si>
  <si>
    <t>THREAD PLUG GAUGE</t>
  </si>
  <si>
    <t>'0706069</t>
  </si>
  <si>
    <t>THREAD PLUG GAUGE 3/8"X 24UNF</t>
  </si>
  <si>
    <t>'0706102</t>
  </si>
  <si>
    <t>BRADMA NUMBER PUNCH 3MM</t>
  </si>
  <si>
    <t>'0706103</t>
  </si>
  <si>
    <t>BRADMA DIEHARD INTERCHANGABLE</t>
  </si>
  <si>
    <t>'0706115</t>
  </si>
  <si>
    <t>THREAD PLUG GAUGE M16X1.5-6H</t>
  </si>
  <si>
    <t>'0706116</t>
  </si>
  <si>
    <t>THREAD PLUG GAUGE M20 X 1.5 6H</t>
  </si>
  <si>
    <t>'0706146</t>
  </si>
  <si>
    <t>THREAD PLUG GAUGE M50X1.5 6H</t>
  </si>
  <si>
    <t>'0706148</t>
  </si>
  <si>
    <t>BRADMA PUNCH 0-9 NUMBER 6 MM</t>
  </si>
  <si>
    <t>'0706149</t>
  </si>
  <si>
    <t>BRADMA HAND LETTER  PUNCH</t>
  </si>
  <si>
    <t>'0706150</t>
  </si>
  <si>
    <t>BRADMA HAND LETTER PUNCH SET</t>
  </si>
  <si>
    <t>'0706177</t>
  </si>
  <si>
    <t>BRADAM DIEHARD INTERCHANGABLE</t>
  </si>
  <si>
    <t>'0706249</t>
  </si>
  <si>
    <t>THREAD PLUG GUAGE 1/4"-18ANPT</t>
  </si>
  <si>
    <t>'0706276</t>
  </si>
  <si>
    <t>MODIFIED THREAD PLUG GAUGE</t>
  </si>
  <si>
    <t>'0706283</t>
  </si>
  <si>
    <t>BRASS INSERTS</t>
  </si>
  <si>
    <t>'0706288</t>
  </si>
  <si>
    <t>THREAD PLUG GAUGE M8 X 6H</t>
  </si>
  <si>
    <t>'0706304</t>
  </si>
  <si>
    <t>THREAD PLUG GAUGE M10 X 1.5 6H</t>
  </si>
  <si>
    <t>'0706362</t>
  </si>
  <si>
    <t>'0706368</t>
  </si>
  <si>
    <t>BRADMA PUNCH HOLDER</t>
  </si>
  <si>
    <t>'0706371</t>
  </si>
  <si>
    <t>O RING 20 X 2MM</t>
  </si>
  <si>
    <t>'0706372</t>
  </si>
  <si>
    <t>O RING 37 X 4 MM</t>
  </si>
  <si>
    <t>'0706386</t>
  </si>
  <si>
    <t>THREAD PLUG GAUGE AB10605M3</t>
  </si>
  <si>
    <t>'0706389</t>
  </si>
  <si>
    <t>THREAD PLUG GAUGE M12X1 6H</t>
  </si>
  <si>
    <t>'0801022</t>
  </si>
  <si>
    <t>A-5000-3709 RUBY BALL STYLI M4</t>
  </si>
  <si>
    <t>'0801035</t>
  </si>
  <si>
    <t>M4 STY D6R L100 EWL86 d4.5CE</t>
  </si>
  <si>
    <t>'0801087</t>
  </si>
  <si>
    <t>SC REAMER DIA 6H7 X</t>
  </si>
  <si>
    <t>'0801100</t>
  </si>
  <si>
    <t>PNCU SCREW 0905GNER-MJAH725</t>
  </si>
  <si>
    <t>'0801107</t>
  </si>
  <si>
    <t>SC DRILL DIA 19 X 50MM FL X</t>
  </si>
  <si>
    <t>'0801110</t>
  </si>
  <si>
    <t>SIM DNMG 150408 KAYUCERA MAKE </t>
  </si>
  <si>
    <t>'0801121</t>
  </si>
  <si>
    <t>SCREW FOR INSERT CPMT 09T306  </t>
  </si>
  <si>
    <t>'0801124</t>
  </si>
  <si>
    <t xml:space="preserve"> SCREW DNMG 150408 ' KAYUCERA</t>
  </si>
  <si>
    <t>'0801127</t>
  </si>
  <si>
    <t>LOCATOR PIN FOR</t>
  </si>
  <si>
    <t>'0801129</t>
  </si>
  <si>
    <t>VALVE CHECK NPT-1/8 M BRASS</t>
  </si>
  <si>
    <t>'0801130</t>
  </si>
  <si>
    <t>FITTING,CONTROL UNIT 4/0 BIJUR</t>
  </si>
  <si>
    <t>'0801146</t>
  </si>
  <si>
    <t>DIA. 165/3 JAW CNCN CHUCK BASE</t>
  </si>
  <si>
    <t>'0801148</t>
  </si>
  <si>
    <t>ISCAR INSERT WCGT 020102L</t>
  </si>
  <si>
    <t>'0801155</t>
  </si>
  <si>
    <t>CARBIDE BRASED BORING TOOL</t>
  </si>
  <si>
    <t>'0802002</t>
  </si>
  <si>
    <t>MASOONARY DRILL 1/4"</t>
  </si>
  <si>
    <t>'0802003</t>
  </si>
  <si>
    <t>MASOONARY DRILL 5/16"</t>
  </si>
  <si>
    <t>'0802004</t>
  </si>
  <si>
    <t>MASOONARY DRILL 3/8"</t>
  </si>
  <si>
    <t>'0802006</t>
  </si>
  <si>
    <t>HSS DRILL 6MM</t>
  </si>
  <si>
    <t>'0802032</t>
  </si>
  <si>
    <t>MASONRY DRILL 1/2"</t>
  </si>
  <si>
    <t>'0802035</t>
  </si>
  <si>
    <t>HSS DRILL  7/32" (5.557MM DIA)</t>
  </si>
  <si>
    <t>'0802038</t>
  </si>
  <si>
    <t>HSS DRILL 6.8MM</t>
  </si>
  <si>
    <t>'0802046</t>
  </si>
  <si>
    <t>HSS DRILL 3MM</t>
  </si>
  <si>
    <t>'0802047</t>
  </si>
  <si>
    <t>CARBIDE DRILL  DIA 3.65 X FL45</t>
  </si>
  <si>
    <t>'0802058</t>
  </si>
  <si>
    <t>KEY FOR 13MM.DRILL CHUCK</t>
  </si>
  <si>
    <t>'0802059</t>
  </si>
  <si>
    <t>ADDISION MAKE HSS DRILL 10 MM</t>
  </si>
  <si>
    <t>'0802085</t>
  </si>
  <si>
    <t>HOLE SAW CUTER WITH DRILL</t>
  </si>
  <si>
    <t>'0802086</t>
  </si>
  <si>
    <t>'0802120</t>
  </si>
  <si>
    <t>HSS DRILL DIA 25</t>
  </si>
  <si>
    <t>'0802123</t>
  </si>
  <si>
    <t>SC DRILL DIA 5.8X45 FI X 90</t>
  </si>
  <si>
    <t>'0802129</t>
  </si>
  <si>
    <t>SC DRILL DIA 5.00 X FL50 X</t>
  </si>
  <si>
    <t>'0802133</t>
  </si>
  <si>
    <t>SC DRILL DIA 3.3 X FL35 X</t>
  </si>
  <si>
    <t>'0802136</t>
  </si>
  <si>
    <t>SC DRILL DIA 8.5 X FL50 X</t>
  </si>
  <si>
    <t>'0802145</t>
  </si>
  <si>
    <t>H.S.S.DRILL 7.9</t>
  </si>
  <si>
    <t>'0802163</t>
  </si>
  <si>
    <t>HSS DRILL 12.2 MM DIA</t>
  </si>
  <si>
    <t>'0802176</t>
  </si>
  <si>
    <t>HSS DRILL 2.9MM P/S</t>
  </si>
  <si>
    <t>'0802184</t>
  </si>
  <si>
    <t>SC DRILL DIA 6.65X35 FLX80 OAL</t>
  </si>
  <si>
    <t>'0802187</t>
  </si>
  <si>
    <t>SC DRILL DIA 13.00MM</t>
  </si>
  <si>
    <t>'0802189</t>
  </si>
  <si>
    <t>SC CORE DRILL DIA 15.80</t>
  </si>
  <si>
    <t>'0802198</t>
  </si>
  <si>
    <t>HSS DRILL 5.2 MM  ADDISON MAKE</t>
  </si>
  <si>
    <t>'0802200</t>
  </si>
  <si>
    <t>HSS DRILL 16 MM</t>
  </si>
  <si>
    <t>'0802201</t>
  </si>
  <si>
    <t>HSS DRILL 20 MM</t>
  </si>
  <si>
    <t>'0802312</t>
  </si>
  <si>
    <t>HSS DRILL 14.5 MM.</t>
  </si>
  <si>
    <t>'0802318</t>
  </si>
  <si>
    <t>HSS CENTRE DRILL BS4</t>
  </si>
  <si>
    <t>'0802319</t>
  </si>
  <si>
    <t>CONCERETE DRILL  5MM.</t>
  </si>
  <si>
    <t>'0802325</t>
  </si>
  <si>
    <t>SC DRILL DIA 2.80 X 40 FL X</t>
  </si>
  <si>
    <t>'0803003</t>
  </si>
  <si>
    <t>HSS ENDMILL CUTTER 6MM</t>
  </si>
  <si>
    <t>'0803113</t>
  </si>
  <si>
    <t>BALL NOSE CUTTER 10 MM DIA</t>
  </si>
  <si>
    <t>'0804017</t>
  </si>
  <si>
    <t>TAP WRENCH 1/2"</t>
  </si>
  <si>
    <t>'0804023</t>
  </si>
  <si>
    <t>HOLE SAW 25MM HSS</t>
  </si>
  <si>
    <t>'0804056</t>
  </si>
  <si>
    <t>HSS PROFILE TOOL</t>
  </si>
  <si>
    <t>'0804078</t>
  </si>
  <si>
    <t>SPIRAL HSS MACHINE TAP M16X1.5</t>
  </si>
  <si>
    <t>'0804079</t>
  </si>
  <si>
    <t>H.S.S.ROLL TAP M8X1.25</t>
  </si>
  <si>
    <t>'0804081</t>
  </si>
  <si>
    <t>HSS HAND TAP M8</t>
  </si>
  <si>
    <t>'0804089</t>
  </si>
  <si>
    <t>M4X0.7-6HX100 OAL ROLL TAP</t>
  </si>
  <si>
    <t>'0805070</t>
  </si>
  <si>
    <t>M96 X 1.5 - 6H THREAD DIE</t>
  </si>
  <si>
    <t>'0806011</t>
  </si>
  <si>
    <t>CARBIDE REAMER 8MM DIA</t>
  </si>
  <si>
    <t>'0806015</t>
  </si>
  <si>
    <t>PSSC REAMER DIA 6.07</t>
  </si>
  <si>
    <t>'0806035</t>
  </si>
  <si>
    <t>SC REAMER DIA 6.05 X 45 FI</t>
  </si>
  <si>
    <t>'0806096</t>
  </si>
  <si>
    <t>SC REAMER Dia 8.2 x 80 OAL</t>
  </si>
  <si>
    <t>'0806155</t>
  </si>
  <si>
    <t>SPIRAL MACHINE TAP M12X1</t>
  </si>
  <si>
    <t>'0806180</t>
  </si>
  <si>
    <t>SC REAMER DIA 14</t>
  </si>
  <si>
    <t>'0806288</t>
  </si>
  <si>
    <t>SC REAMER DIA 12.07X110MM.</t>
  </si>
  <si>
    <t>'0806295</t>
  </si>
  <si>
    <t>SC REAMER DIA 2.99 X 40 FL</t>
  </si>
  <si>
    <t>'0807003</t>
  </si>
  <si>
    <t>H.S.S.HACKSAW BLADE 12"</t>
  </si>
  <si>
    <t>'0807006</t>
  </si>
  <si>
    <t>HAND HACKSAW FRAME 12"</t>
  </si>
  <si>
    <t>'0807011</t>
  </si>
  <si>
    <t>POWER HACKSAW BLADE 16"X1 1/4"</t>
  </si>
  <si>
    <t>'0807080</t>
  </si>
  <si>
    <t>CARBIDE BRAZED TURNING TOOL LH</t>
  </si>
  <si>
    <t>'0807081</t>
  </si>
  <si>
    <t>CARBIDE BRAZED BORING TOOL</t>
  </si>
  <si>
    <t>'0807082</t>
  </si>
  <si>
    <t>'0807087</t>
  </si>
  <si>
    <t>BI- METAL BAND SAW BLADES</t>
  </si>
  <si>
    <t>'0808003</t>
  </si>
  <si>
    <t>FLAT FILES FINE 8"</t>
  </si>
  <si>
    <t>'0808033</t>
  </si>
  <si>
    <t>HALF ROUND FILE 8" SMOOTH</t>
  </si>
  <si>
    <t>'0808041</t>
  </si>
  <si>
    <t>HALF ROUND FILE 10" MEDIUM</t>
  </si>
  <si>
    <t>'0808043</t>
  </si>
  <si>
    <t>WIRE FILE SET 16 CM J.K.</t>
  </si>
  <si>
    <t>'0808061</t>
  </si>
  <si>
    <t>HALF ROUND FILE BASTARD 8"</t>
  </si>
  <si>
    <t>'0811001</t>
  </si>
  <si>
    <t>MOTHER BOARD</t>
  </si>
  <si>
    <t>'0811003</t>
  </si>
  <si>
    <t>KEYBOARD &amp; MOUSE COMBO</t>
  </si>
  <si>
    <t>'0811049</t>
  </si>
  <si>
    <t>LED MONITOR</t>
  </si>
  <si>
    <t>'085S0007D</t>
  </si>
  <si>
    <t>85S07 (88S10) SIX CAVITY WAX</t>
  </si>
  <si>
    <t>'085S0008D</t>
  </si>
  <si>
    <t>85S08 SIX CAVITY WAX INJ</t>
  </si>
  <si>
    <t>'0901001</t>
  </si>
  <si>
    <t>GAUGES</t>
  </si>
  <si>
    <t>'0901002</t>
  </si>
  <si>
    <t>FIXTURE</t>
  </si>
  <si>
    <t>'0901005</t>
  </si>
  <si>
    <t>PLATE</t>
  </si>
  <si>
    <t>'0901008</t>
  </si>
  <si>
    <t>CHECKING MASTER</t>
  </si>
  <si>
    <t>'0901021</t>
  </si>
  <si>
    <t>TAPER PIN MILLING FIXTURE</t>
  </si>
  <si>
    <t>'0901025</t>
  </si>
  <si>
    <t>2H THICK RISER DIE PEG</t>
  </si>
  <si>
    <t>'0901026</t>
  </si>
  <si>
    <t>LOOSE INSERT FOR DIE</t>
  </si>
  <si>
    <t>'0901053</t>
  </si>
  <si>
    <t>BUSH FOR 2T57 AND 2T54</t>
  </si>
  <si>
    <t>'0901055</t>
  </si>
  <si>
    <t>BUSH FOR 2T52</t>
  </si>
  <si>
    <t>'0901057</t>
  </si>
  <si>
    <t>27D02 BLOCK FOR FLATNESS</t>
  </si>
  <si>
    <t>'0901076</t>
  </si>
  <si>
    <t>9K32/27 COMMON RISER PLATE</t>
  </si>
  <si>
    <t>'0901081</t>
  </si>
  <si>
    <t>FIXTURE PIN</t>
  </si>
  <si>
    <t>'0901085</t>
  </si>
  <si>
    <t>QUALIFYING FIXTURE PIN</t>
  </si>
  <si>
    <t>'0901091</t>
  </si>
  <si>
    <t>25N33 COINING FIXTURE BLOCK</t>
  </si>
  <si>
    <t>'0901107</t>
  </si>
  <si>
    <t>MANDRILL</t>
  </si>
  <si>
    <t>'0901131</t>
  </si>
  <si>
    <t>MEASURING INSERT WITH TUNGST.</t>
  </si>
  <si>
    <t>'0901133</t>
  </si>
  <si>
    <t>MEASURING INSERT WITH RUBY</t>
  </si>
  <si>
    <t>'0901135</t>
  </si>
  <si>
    <t>HEIGHT MASTER</t>
  </si>
  <si>
    <t>'0901161</t>
  </si>
  <si>
    <t>SLIDING PART</t>
  </si>
  <si>
    <t>'0901180</t>
  </si>
  <si>
    <t>LOOSE INSERT</t>
  </si>
  <si>
    <t>'0901185</t>
  </si>
  <si>
    <t>SLIDER</t>
  </si>
  <si>
    <t>'0901190</t>
  </si>
  <si>
    <t>KEY</t>
  </si>
  <si>
    <t>'0901224</t>
  </si>
  <si>
    <t>MEASURING INSERT WITH PIN</t>
  </si>
  <si>
    <t>'0901225</t>
  </si>
  <si>
    <t>IARM 153 C- STAINLESS STEEL</t>
  </si>
  <si>
    <t>'0901226</t>
  </si>
  <si>
    <t>IARM FES7-18 TOOL STEEL DISC</t>
  </si>
  <si>
    <t>'0901228</t>
  </si>
  <si>
    <t>12X 41400B - LOW ALLOY STEEL</t>
  </si>
  <si>
    <t>'0901229</t>
  </si>
  <si>
    <t>IARM 352A STAINLESS STEEL DISC</t>
  </si>
  <si>
    <t>'094A0001D</t>
  </si>
  <si>
    <t>94A1 ONE CAVITY WAX INJECTION</t>
  </si>
  <si>
    <t>'098S0006D</t>
  </si>
  <si>
    <t>98S6 SINGLE CAVITY WAX INJ DIE</t>
  </si>
  <si>
    <t>'108S0001D</t>
  </si>
  <si>
    <t>108S01 SINGLE CAVITY CERAMIC</t>
  </si>
  <si>
    <t>'108S0008D</t>
  </si>
  <si>
    <t>108S08 SINGLE CAVITY WAX INJ.</t>
  </si>
  <si>
    <t>'108S001</t>
  </si>
  <si>
    <t>'108S0010D</t>
  </si>
  <si>
    <t>108S10 SINGLE CAVITY WAX INJ.</t>
  </si>
  <si>
    <t>'108S0012D</t>
  </si>
  <si>
    <t>108S12 SINGLE CAVITY WAX INJ.</t>
  </si>
  <si>
    <t>'108S0014D</t>
  </si>
  <si>
    <t>108S14 SINGLE CAVITY WAX INJ.</t>
  </si>
  <si>
    <t>'108S0022D</t>
  </si>
  <si>
    <t>108S22 TWO CAVITY WAX INJ.</t>
  </si>
  <si>
    <t>'108S0025D</t>
  </si>
  <si>
    <t>108S25 TWO CAVITY WAX INJE.</t>
  </si>
  <si>
    <t>'108S0026D</t>
  </si>
  <si>
    <t>108S26 TWO CAVITY WAX INJE.</t>
  </si>
  <si>
    <t>'108S0030D</t>
  </si>
  <si>
    <t>108S30 TWO CAVITY WAX INJE.</t>
  </si>
  <si>
    <t>'108S0031D</t>
  </si>
  <si>
    <t>108S31 MAIN SINGLE CAVITY WAX</t>
  </si>
  <si>
    <t>'108SC001</t>
  </si>
  <si>
    <t>108S1 CERAMIC CORE</t>
  </si>
  <si>
    <t>'0101001</t>
  </si>
  <si>
    <t>ALUMINIUM PLATES &amp; FLATS</t>
  </si>
  <si>
    <t>'0101018</t>
  </si>
  <si>
    <t>CUPRO MANG INGOTS 70:30(P&amp;R)</t>
  </si>
  <si>
    <t>'0101094</t>
  </si>
  <si>
    <t>TUNGSTON CARBIDE SCRAP</t>
  </si>
  <si>
    <t>'0101187</t>
  </si>
  <si>
    <t>ALUMINIUM PLATE</t>
  </si>
  <si>
    <t>'0102045</t>
  </si>
  <si>
    <t>SILICO MN</t>
  </si>
  <si>
    <t>'0102088</t>
  </si>
  <si>
    <t>TUNGSTON NICKEL (PUR. &amp; RET.)</t>
  </si>
  <si>
    <t>'0102095</t>
  </si>
  <si>
    <t>PH  COPPER</t>
  </si>
  <si>
    <t>'0103025</t>
  </si>
  <si>
    <t>COBALT BASE ALLOYS SCRAP</t>
  </si>
  <si>
    <t>'0103065</t>
  </si>
  <si>
    <t>MANGANESE BRONZ INGOT (RETURN)</t>
  </si>
  <si>
    <t>'0103066</t>
  </si>
  <si>
    <t>MANGANESE BRONZE HTB-1(INGOTS</t>
  </si>
  <si>
    <t>'0103068</t>
  </si>
  <si>
    <t>MN BZ  HTB-3 (PURCHASE)</t>
  </si>
  <si>
    <t>'0103070</t>
  </si>
  <si>
    <t>MN.BZ. HTB-3 RETURN</t>
  </si>
  <si>
    <t>'0103071</t>
  </si>
  <si>
    <t>BRASS CUT PCS USED SCRAP</t>
  </si>
  <si>
    <t>'0104043</t>
  </si>
  <si>
    <t>BS 3146 CLA 13</t>
  </si>
  <si>
    <t>'0104071</t>
  </si>
  <si>
    <t>DTD 5299</t>
  </si>
  <si>
    <t>'0104074</t>
  </si>
  <si>
    <t>DIN 1.4138</t>
  </si>
  <si>
    <t>'0104084</t>
  </si>
  <si>
    <t>EN 24 SCRAP RETURNS</t>
  </si>
  <si>
    <t>'0104086</t>
  </si>
  <si>
    <t>EN 30</t>
  </si>
  <si>
    <t>'0104095</t>
  </si>
  <si>
    <t>EN 43 B SCRAP RETURNS (C-45)</t>
  </si>
  <si>
    <t>'0104102</t>
  </si>
  <si>
    <t>IS10343 GR 4A</t>
  </si>
  <si>
    <t>'0104110</t>
  </si>
  <si>
    <t>EN 354 SCRAP (28B4)IS10343GR3D</t>
  </si>
  <si>
    <t>'0104116</t>
  </si>
  <si>
    <t>07-U-197 (DIN 1.4549)</t>
  </si>
  <si>
    <t>'0104125</t>
  </si>
  <si>
    <t>GUN METAL 85:5:5:5</t>
  </si>
  <si>
    <t>'0104156</t>
  </si>
  <si>
    <t>M-3 TOOL STEEL</t>
  </si>
  <si>
    <t>'0104160</t>
  </si>
  <si>
    <t>NON MAGNETIC BAR STOCK</t>
  </si>
  <si>
    <t>'0104162</t>
  </si>
  <si>
    <t>NRI - 4970</t>
  </si>
  <si>
    <t>'0104179</t>
  </si>
  <si>
    <t>EN 56D</t>
  </si>
  <si>
    <t>'0104201</t>
  </si>
  <si>
    <t>SILICON STEEL</t>
  </si>
  <si>
    <t>'0104203</t>
  </si>
  <si>
    <t>EN11 (14K37)</t>
  </si>
  <si>
    <t>'0104223</t>
  </si>
  <si>
    <t>24I4/5 TOOL STEEL</t>
  </si>
  <si>
    <t>'0104224</t>
  </si>
  <si>
    <t>ASTM A732 Gr 7Q TY 164130</t>
  </si>
  <si>
    <t>'0104225</t>
  </si>
  <si>
    <t>IS 10343 Gr.1Q (25N14)</t>
  </si>
  <si>
    <t>'0104257</t>
  </si>
  <si>
    <t>7U103(DIN 1.7242 16CR MO4)RETN</t>
  </si>
  <si>
    <t>'0104258</t>
  </si>
  <si>
    <t>16 MN. CR. 5</t>
  </si>
  <si>
    <t>'0104266</t>
  </si>
  <si>
    <t>50 CR.V4 (OBSOLETE)</t>
  </si>
  <si>
    <t>'0104269</t>
  </si>
  <si>
    <t>42 CR MO 4 [ 4W7 ]</t>
  </si>
  <si>
    <t>'0104315</t>
  </si>
  <si>
    <t>25 CR MO 4 (7-U-301)</t>
  </si>
  <si>
    <t>'0104326</t>
  </si>
  <si>
    <t>ANC4B BS 3146  52-A-25</t>
  </si>
  <si>
    <t>'0104329</t>
  </si>
  <si>
    <t>ANC2 BS 3146 P</t>
  </si>
  <si>
    <t>'0104336</t>
  </si>
  <si>
    <t>ANC1</t>
  </si>
  <si>
    <t>'0104339</t>
  </si>
  <si>
    <t>M.S.SCRAP IN ASSORTED</t>
  </si>
  <si>
    <t>'0104340</t>
  </si>
  <si>
    <t>1-Y-1  SCM-415</t>
  </si>
  <si>
    <t>'0104349</t>
  </si>
  <si>
    <t>52-A19/21  ASTMA 743 GR CF16FA</t>
  </si>
  <si>
    <t>'0104350</t>
  </si>
  <si>
    <t>MANGANESE STEEL</t>
  </si>
  <si>
    <t>'0104353</t>
  </si>
  <si>
    <t>CA40 (53A8/9)</t>
  </si>
  <si>
    <t>'0104360</t>
  </si>
  <si>
    <t>8-O-6 RETURN</t>
  </si>
  <si>
    <t>'0104364</t>
  </si>
  <si>
    <t>CLA 12 GR-C  3R28/59/32</t>
  </si>
  <si>
    <t>'0104365</t>
  </si>
  <si>
    <t>WC-6 Return</t>
  </si>
  <si>
    <t>'0104474</t>
  </si>
  <si>
    <t>IS 2707  (28A7/8/22)</t>
  </si>
  <si>
    <t>'0104505</t>
  </si>
  <si>
    <t>ALLOY METAL – 20 MN CR 5 (DIN)</t>
  </si>
  <si>
    <t>'0104901</t>
  </si>
  <si>
    <t>IS 10343 GR 3D(SCRAP FOR SALE)</t>
  </si>
  <si>
    <t>'0104919</t>
  </si>
  <si>
    <t>IS 10343 Gr3D LEAK MOULD(SALE)</t>
  </si>
  <si>
    <t>'0104920</t>
  </si>
  <si>
    <t>COPPER SCRAP FROM MAINT. FOR</t>
  </si>
  <si>
    <t>'0105003</t>
  </si>
  <si>
    <t>INDPATCH</t>
  </si>
  <si>
    <t>'0105027</t>
  </si>
  <si>
    <t>CONSTRUCTION SAND</t>
  </si>
  <si>
    <t>'0105048</t>
  </si>
  <si>
    <t>BLACK METAL 20 MM</t>
  </si>
  <si>
    <t>CF</t>
  </si>
  <si>
    <t>'0107013</t>
  </si>
  <si>
    <t>BOILER CLAY RECLAIMED</t>
  </si>
  <si>
    <t>'0108147</t>
  </si>
  <si>
    <t>'0108148</t>
  </si>
  <si>
    <t>'0109010</t>
  </si>
  <si>
    <t>HCL ACID COMMERCIAL GRADE</t>
  </si>
  <si>
    <t>'0109019</t>
  </si>
  <si>
    <t>NITRIC ACID  58%  TO 60%</t>
  </si>
  <si>
    <t>'0111026</t>
  </si>
  <si>
    <t>RD-073</t>
  </si>
  <si>
    <t>'0111060</t>
  </si>
  <si>
    <t>'0201024</t>
  </si>
  <si>
    <t>DEGASSING TUBE 193</t>
  </si>
  <si>
    <t>'0201029</t>
  </si>
  <si>
    <t>DE OXIDISING TUBE DS-3</t>
  </si>
  <si>
    <t>'0201044</t>
  </si>
  <si>
    <t>M.S.FORMER FOR 190 KG CRUCIBLE</t>
  </si>
  <si>
    <t>'0201057</t>
  </si>
  <si>
    <t>DEOXIDISING TUBES DS - 4</t>
  </si>
  <si>
    <t>'0201058</t>
  </si>
  <si>
    <t>DEOXIDISING TUBES - LO</t>
  </si>
  <si>
    <t>'0201064</t>
  </si>
  <si>
    <t>M.S.BOX 17" X 12"X 8"</t>
  </si>
  <si>
    <t>'0201155</t>
  </si>
  <si>
    <t>M.S.BOX 10" LX6" HX 13"Breath</t>
  </si>
  <si>
    <t>'0201177</t>
  </si>
  <si>
    <t>M.S.FORMER 3 MM THICK BOTTOM</t>
  </si>
  <si>
    <t>'0201178</t>
  </si>
  <si>
    <t>'0202015</t>
  </si>
  <si>
    <t>M.S.ROUND BAR 08 MM DIA</t>
  </si>
  <si>
    <t>'0202049</t>
  </si>
  <si>
    <t>H U ALLOY TRAY:300X300X35M M</t>
  </si>
  <si>
    <t>'0202087</t>
  </si>
  <si>
    <t>MS BRIGHT BOLT 1/2" X1.5" LONG</t>
  </si>
  <si>
    <t>'0202101</t>
  </si>
  <si>
    <t>M.S.BOX STRAPPING SEAL  1/2"</t>
  </si>
  <si>
    <t>'0202207</t>
  </si>
  <si>
    <t>M.S.SSTRAPPING PLIER</t>
  </si>
  <si>
    <t>'0202208</t>
  </si>
  <si>
    <t>STRAPPING MACHINE</t>
  </si>
  <si>
    <t>'0202265</t>
  </si>
  <si>
    <t>COUPLING PIN FOR OIL PUMP</t>
  </si>
  <si>
    <t>'0202266</t>
  </si>
  <si>
    <t>BENZING RING FOR OIL PUMP</t>
  </si>
  <si>
    <t>'0202287</t>
  </si>
  <si>
    <t>SEPERATING PLATE ASSEMBLY</t>
  </si>
  <si>
    <t>'0202291</t>
  </si>
  <si>
    <t>HEXAGONAL HEAD BOLT 3/16”X1” L</t>
  </si>
  <si>
    <t>'0202301</t>
  </si>
  <si>
    <t>M S BINDING WIRE</t>
  </si>
  <si>
    <t>'0202304</t>
  </si>
  <si>
    <t>OHNS ROUND BAR DIA 12MM</t>
  </si>
  <si>
    <t>'0202310</t>
  </si>
  <si>
    <t>OHNS FLAT 100 X 16 MMX2000 MM</t>
  </si>
  <si>
    <t>'0202326</t>
  </si>
  <si>
    <t>EN8 ROUND BAR 80MM DIA</t>
  </si>
  <si>
    <t>'0203084</t>
  </si>
  <si>
    <t>GUN METAL ROUND BAR : 36MM DIA</t>
  </si>
  <si>
    <t>'0203108</t>
  </si>
  <si>
    <t>BRASS ROUND BAR DIA 25MM</t>
  </si>
  <si>
    <t>'0204006</t>
  </si>
  <si>
    <t>FILTER PAPER NO N-540</t>
  </si>
  <si>
    <t>'0204007</t>
  </si>
  <si>
    <t>FILTER PAPER NO.541</t>
  </si>
  <si>
    <t>'0204008</t>
  </si>
  <si>
    <t>CLAMP FOR CARBON FURNACE</t>
  </si>
  <si>
    <t>'0204009</t>
  </si>
  <si>
    <t>SILICON CARBIDE RODS</t>
  </si>
  <si>
    <t>'0204015</t>
  </si>
  <si>
    <t>BUFFER CAPSULES pH9.2</t>
  </si>
  <si>
    <t>'0204051</t>
  </si>
  <si>
    <t>SILICA DISH 50 ML</t>
  </si>
  <si>
    <t>'0204083</t>
  </si>
  <si>
    <t>XEROX PAPER FULL SCAPE</t>
  </si>
  <si>
    <t>'0204104</t>
  </si>
  <si>
    <t>ASHLESS CLIPPING WHATMAN</t>
  </si>
  <si>
    <t>'0204117</t>
  </si>
  <si>
    <t>HYDROMETER  1.0-2.0</t>
  </si>
  <si>
    <t>'0204120</t>
  </si>
  <si>
    <t>MELTING POINT CAPILLARY TUBE</t>
  </si>
  <si>
    <t>'0204308</t>
  </si>
  <si>
    <t>HYGROMETER 0° TO 50°C DIGITAL</t>
  </si>
  <si>
    <t>'0204345</t>
  </si>
  <si>
    <t>FILTER PAPER NO.1 (15CM DIA)</t>
  </si>
  <si>
    <t>'0204348</t>
  </si>
  <si>
    <t>SUBBOND MAKE BASE 2216-1KG PAC</t>
  </si>
  <si>
    <t>'0206006</t>
  </si>
  <si>
    <t>CHROME LEATHER HAND-GLOVES 18"</t>
  </si>
  <si>
    <t>'0206007</t>
  </si>
  <si>
    <t>CHROME LEATHER APRON</t>
  </si>
  <si>
    <t>'0206021</t>
  </si>
  <si>
    <t>COTTON HAND-GLOVES 10"</t>
  </si>
  <si>
    <t>'0206029</t>
  </si>
  <si>
    <t>PVC HAND GLOVES FOR SHELLSHOP</t>
  </si>
  <si>
    <t>'0206044</t>
  </si>
  <si>
    <t>COTTEN CAP GREY COLOUR</t>
  </si>
  <si>
    <t>'0208003</t>
  </si>
  <si>
    <t>CUT OFF WHEEL 4"</t>
  </si>
  <si>
    <t>'0208027</t>
  </si>
  <si>
    <t>GRINDING WHEEL 200X25X31.75</t>
  </si>
  <si>
    <t>'0208049</t>
  </si>
  <si>
    <t>16" WHEEL   400 X 4.3 X 25.4MM</t>
  </si>
  <si>
    <t>'0209011</t>
  </si>
  <si>
    <t>ALOXIDE RESIN BELT</t>
  </si>
  <si>
    <t>'0209024</t>
  </si>
  <si>
    <t>USED ZIRCON BELT</t>
  </si>
  <si>
    <t>'0209025</t>
  </si>
  <si>
    <t>USED ZIRCON BELT- 2000X100X36</t>
  </si>
  <si>
    <t>'0210037</t>
  </si>
  <si>
    <t>MOUNTED POINT A-24</t>
  </si>
  <si>
    <t>'0211002</t>
  </si>
  <si>
    <t>EMERY CLOTH COARSE</t>
  </si>
  <si>
    <t>'0211004</t>
  </si>
  <si>
    <t>EMERY CLOTH MEDIUM</t>
  </si>
  <si>
    <t>'0211007</t>
  </si>
  <si>
    <t>POLISH PAPER 1/0</t>
  </si>
  <si>
    <t>'0211008</t>
  </si>
  <si>
    <t>POLISH PAPER 2/0</t>
  </si>
  <si>
    <t>'0211010</t>
  </si>
  <si>
    <t>POLISH PAPER 4/0</t>
  </si>
  <si>
    <t>'0211011</t>
  </si>
  <si>
    <t>POLISH PAPER 3/0</t>
  </si>
  <si>
    <t>'0211013</t>
  </si>
  <si>
    <t>EMERY POLISHING PAPER 'O'</t>
  </si>
  <si>
    <t>'0211028</t>
  </si>
  <si>
    <t>EMERY CLOTH FINE</t>
  </si>
  <si>
    <t>'0211042</t>
  </si>
  <si>
    <t xml:space="preserve"> WATER PAPER 80</t>
  </si>
  <si>
    <t>'0213009</t>
  </si>
  <si>
    <t>TRIETHANOLAMINE 2X500ML</t>
  </si>
  <si>
    <t>'0213020</t>
  </si>
  <si>
    <t>TRI AMMONIUM CITRATE</t>
  </si>
  <si>
    <t>'0213029</t>
  </si>
  <si>
    <t>SODIUM ACETATE ANHYDROUS</t>
  </si>
  <si>
    <t>'0213034</t>
  </si>
  <si>
    <t>BUFFER TABLETS PH 4.0</t>
  </si>
  <si>
    <t>'0213039</t>
  </si>
  <si>
    <t>DI-SODIUM TETRABORATE</t>
  </si>
  <si>
    <t>'0213041</t>
  </si>
  <si>
    <t>GLACIAL ACETIC ACID</t>
  </si>
  <si>
    <t>'0213046</t>
  </si>
  <si>
    <t>TRI SODIUM PHOSPHATE</t>
  </si>
  <si>
    <t>'0213047</t>
  </si>
  <si>
    <t>SODIUM SULPHIDE</t>
  </si>
  <si>
    <t>'0213049</t>
  </si>
  <si>
    <t>CARBON TETRA CHLORIDE   LR</t>
  </si>
  <si>
    <t>'0213054</t>
  </si>
  <si>
    <t>ETHYL METHYL KETON EXCELAR</t>
  </si>
  <si>
    <t>'0213060</t>
  </si>
  <si>
    <t>HYDROXYLAMMONIUM CLORDIE</t>
  </si>
  <si>
    <t>'0213082</t>
  </si>
  <si>
    <t>ETHYLENE DIAMINE TETRA ACETIC</t>
  </si>
  <si>
    <t>'0213085</t>
  </si>
  <si>
    <t>TIN GRANULES</t>
  </si>
  <si>
    <t>'0213099</t>
  </si>
  <si>
    <t>METHANOL</t>
  </si>
  <si>
    <t>'0213102</t>
  </si>
  <si>
    <t>HYDROFLORIC ACID AR GRADE -48%</t>
  </si>
  <si>
    <t>'0213103</t>
  </si>
  <si>
    <t>AGAR AGAR BACTERIOLOGICAL</t>
  </si>
  <si>
    <t>'0213104</t>
  </si>
  <si>
    <t>HYDROGEN PEROXIDE 30% , 100VOL</t>
  </si>
  <si>
    <t>'0213129</t>
  </si>
  <si>
    <t>METHYL RED INDICATOR</t>
  </si>
  <si>
    <t>'0213134</t>
  </si>
  <si>
    <t>ORTHO PHOSPHORIC ACID</t>
  </si>
  <si>
    <t>'0213138</t>
  </si>
  <si>
    <t>ISO PROPYL ALCOHOL LR</t>
  </si>
  <si>
    <t>'0213144</t>
  </si>
  <si>
    <t>PHENOLPHTHALEIN  INDICATOR</t>
  </si>
  <si>
    <t>'0213158</t>
  </si>
  <si>
    <t>DIETHYL EATHER SQ QUALIGENS</t>
  </si>
  <si>
    <t>'0213167</t>
  </si>
  <si>
    <t>SODIUM CHLORIDE</t>
  </si>
  <si>
    <t>'0213181</t>
  </si>
  <si>
    <t>POTASSIUM HYDROXIDE PELLETS</t>
  </si>
  <si>
    <t>'0213220</t>
  </si>
  <si>
    <t>FERROUS AMMONIUM SULFATE</t>
  </si>
  <si>
    <t>'0213223</t>
  </si>
  <si>
    <t>CALCIUM CHLORIDE DIHYDRATE</t>
  </si>
  <si>
    <t>'0213226</t>
  </si>
  <si>
    <t>VANADIUM PENTOXIDE “QUALIGENS”</t>
  </si>
  <si>
    <t>'0213295</t>
  </si>
  <si>
    <t>LEAD ACETATE TRIHYDRATE</t>
  </si>
  <si>
    <t>'0213309</t>
  </si>
  <si>
    <t>1-10 PHENANTHROLINE GR</t>
  </si>
  <si>
    <t>'0214010</t>
  </si>
  <si>
    <t>RUSTOP-173 OIL</t>
  </si>
  <si>
    <t>'0214020</t>
  </si>
  <si>
    <t>VIDYUT FUEL OIL (TYRE OIL)</t>
  </si>
  <si>
    <t>'0214021</t>
  </si>
  <si>
    <t>BLEACHING POWDER</t>
  </si>
  <si>
    <t>'0214044</t>
  </si>
  <si>
    <t>KC 67D PASTE</t>
  </si>
  <si>
    <t>'0214048</t>
  </si>
  <si>
    <t>VIDYUT 51/52 FUEL OIL</t>
  </si>
  <si>
    <t>'0214131</t>
  </si>
  <si>
    <t>DIESEL FOR GENERETOR SET</t>
  </si>
  <si>
    <t>'0215003</t>
  </si>
  <si>
    <t>CLEANER PC 21</t>
  </si>
  <si>
    <t>'0215009</t>
  </si>
  <si>
    <t>PETROLEUM JELLY (WHITE)</t>
  </si>
  <si>
    <t>'0215021</t>
  </si>
  <si>
    <t>PENETRANT SKL-SP1</t>
  </si>
  <si>
    <t>'0215036</t>
  </si>
  <si>
    <t>DEVELOPER SKD-S2</t>
  </si>
  <si>
    <t>'0217032</t>
  </si>
  <si>
    <t>PLASTIC BAGS  24 " X 28 "</t>
  </si>
  <si>
    <t>'0217200</t>
  </si>
  <si>
    <t>CORR. SEPERATOR</t>
  </si>
  <si>
    <t>'0217284</t>
  </si>
  <si>
    <t>7 PLY CORR BOXE-13 ¾” X8 ½"X6"</t>
  </si>
  <si>
    <t>'0217320</t>
  </si>
  <si>
    <t>CORR. BOX FOR 2T36</t>
  </si>
  <si>
    <t>'0217337</t>
  </si>
  <si>
    <t>WOODEN BOX 12"X11"X8"X3/4"</t>
  </si>
  <si>
    <t>'0217387</t>
  </si>
  <si>
    <t>EXPORT CORRUGATED BOX 5 PLY</t>
  </si>
  <si>
    <t>'0219177</t>
  </si>
  <si>
    <t>CARTRIDGE 103/303/703</t>
  </si>
  <si>
    <t>LPST</t>
  </si>
  <si>
    <t>'0222281</t>
  </si>
  <si>
    <t>HSS DRILL DIA 8.5</t>
  </si>
  <si>
    <t>'0222423</t>
  </si>
  <si>
    <t>HSS DRILL 8.0 MM</t>
  </si>
  <si>
    <t>'0222424</t>
  </si>
  <si>
    <t>HSS DRILL 8.1 MM</t>
  </si>
  <si>
    <t>'0301010</t>
  </si>
  <si>
    <t>TUBELIGHT CHOKE 40 WT.</t>
  </si>
  <si>
    <t>'0301012</t>
  </si>
  <si>
    <t>TUBE LIGHT STARTER 40 WATT</t>
  </si>
  <si>
    <t>'0301019</t>
  </si>
  <si>
    <t>BAKELITE PENDENT HOLDER 5AMPS.</t>
  </si>
  <si>
    <t>'0301022</t>
  </si>
  <si>
    <t>MERCURY LAMP 3 PIN TYPE 125WT.</t>
  </si>
  <si>
    <t>'0301035</t>
  </si>
  <si>
    <t>CAPACITOR 4MFD/240 VOLTS</t>
  </si>
  <si>
    <t>'0301045</t>
  </si>
  <si>
    <t>COPPER BALLAST 250 WATT</t>
  </si>
  <si>
    <t>'0301090</t>
  </si>
  <si>
    <t>HPMV LAMP HOLDER SCREW TYPE</t>
  </si>
  <si>
    <t>'0301100</t>
  </si>
  <si>
    <t>ULTRA VOILET LAMP</t>
  </si>
  <si>
    <t>'0301149</t>
  </si>
  <si>
    <t>POWER CAPACITOR 20 KVAR</t>
  </si>
  <si>
    <t>'0301170</t>
  </si>
  <si>
    <t>CAPACITOR 2.5MFD 440V</t>
  </si>
  <si>
    <t>'0301171</t>
  </si>
  <si>
    <t>SWITCH BOARD 4 SWITCH 4 SOCKET</t>
  </si>
  <si>
    <t>'0301174</t>
  </si>
  <si>
    <t>HAND LAMP WITH GLASS</t>
  </si>
  <si>
    <t>'0301194</t>
  </si>
  <si>
    <t>Power Capacitor 15 KVAR</t>
  </si>
  <si>
    <t>'0301201</t>
  </si>
  <si>
    <t>HPSV LAMP 70 WATT</t>
  </si>
  <si>
    <t>'0301222</t>
  </si>
  <si>
    <t>BATTERY 12V/65AH</t>
  </si>
  <si>
    <t>'0301239</t>
  </si>
  <si>
    <t>CHOKE ELECTRONIC</t>
  </si>
  <si>
    <t>'0301245</t>
  </si>
  <si>
    <t>CHOKE HPSV 70 WATT</t>
  </si>
  <si>
    <t>'0301253</t>
  </si>
  <si>
    <t>CAPACITOR 3.15MFD</t>
  </si>
  <si>
    <t>'0301254</t>
  </si>
  <si>
    <t>30 WATTS LED STREET LIGHT</t>
  </si>
  <si>
    <t>'0301281</t>
  </si>
  <si>
    <t>BRAKE LINING P/NO-42</t>
  </si>
  <si>
    <t>'0301289</t>
  </si>
  <si>
    <t>RADIWASH AX1013359</t>
  </si>
  <si>
    <t>'0301294</t>
  </si>
  <si>
    <t>PRE-FILTER FOR AQUASURE WATER</t>
  </si>
  <si>
    <t>'0301299</t>
  </si>
  <si>
    <t>Coupling for Oil pump for</t>
  </si>
  <si>
    <t>'0301326</t>
  </si>
  <si>
    <t>60 WATT LED MEDIUM BAY FIXTURE</t>
  </si>
  <si>
    <t>'0301339</t>
  </si>
  <si>
    <t>CROMPTON MAKE 80 WATT BAY</t>
  </si>
  <si>
    <t>'0301386</t>
  </si>
  <si>
    <t>BACK UP LAMP 9 WATT LED UPTO</t>
  </si>
  <si>
    <t>'0302001</t>
  </si>
  <si>
    <t>PIANO SWITCH IWAY 5 / 6 AMP.</t>
  </si>
  <si>
    <t>'0302016</t>
  </si>
  <si>
    <t>METAL CLAD SOCKET 20A/ 2 PIN</t>
  </si>
  <si>
    <t>'0302019</t>
  </si>
  <si>
    <t>3 PIN TOP 5 AMPERES</t>
  </si>
  <si>
    <t>'0302023</t>
  </si>
  <si>
    <t>METAL CLAD PLUG 10 AMPERES</t>
  </si>
  <si>
    <t>'0302027</t>
  </si>
  <si>
    <t>TOGGLE SWITCH 6 AMPERES 250V.</t>
  </si>
  <si>
    <t>'0302033</t>
  </si>
  <si>
    <t>SWITCH FUSE UNIT ICTPN 100 AMP</t>
  </si>
  <si>
    <t>'0302069</t>
  </si>
  <si>
    <t>MAIN SWITCH 63 AMP. L&amp;T MAKE</t>
  </si>
  <si>
    <t>'0302072</t>
  </si>
  <si>
    <t>LIMIT SWITCH LL-1</t>
  </si>
  <si>
    <t>'0302074</t>
  </si>
  <si>
    <t>ROTARY SWITCH 63 AMP TYPE</t>
  </si>
  <si>
    <t>'0302084</t>
  </si>
  <si>
    <t>LIMIT SWITCH TYPE-LLGS</t>
  </si>
  <si>
    <t>'0302097</t>
  </si>
  <si>
    <t>ENCLOSURE BOX FOR MOUNTING</t>
  </si>
  <si>
    <t>'0302111</t>
  </si>
  <si>
    <t>SWITCH/SOCKET COMBINATION</t>
  </si>
  <si>
    <t>'0302118</t>
  </si>
  <si>
    <t>MCB 40 AMP T.P</t>
  </si>
  <si>
    <t>'0302140</t>
  </si>
  <si>
    <t>MCB 3 POLE 4AMP C SERIES</t>
  </si>
  <si>
    <t>'0302152</t>
  </si>
  <si>
    <t>INDUSTRIAL HOOTER 4"  230VAC</t>
  </si>
  <si>
    <t>'0302215</t>
  </si>
  <si>
    <t>MCB 25 AMP.4 POLE C SERIES</t>
  </si>
  <si>
    <t>'0302223</t>
  </si>
  <si>
    <t>L&amp;T 400 AMPS SWITCH FUSE UNIT</t>
  </si>
  <si>
    <t>'0302306</t>
  </si>
  <si>
    <t>CHANGE OVER SWITCH D.P.63AMP</t>
  </si>
  <si>
    <t>'0302318</t>
  </si>
  <si>
    <t>ROTORY SWITCH 10 AMP, SRP-135,</t>
  </si>
  <si>
    <t>'0302319</t>
  </si>
  <si>
    <t>LIMIT SWITCH COMPLETE</t>
  </si>
  <si>
    <t>'0302320</t>
  </si>
  <si>
    <t>LIMIT SWITCH ROD PART NO 50</t>
  </si>
  <si>
    <t>'0302383</t>
  </si>
  <si>
    <t>MODULAR SWITCH 06 AMP</t>
  </si>
  <si>
    <t>'0302384</t>
  </si>
  <si>
    <t>MODULAR SOCKET 06 AMP</t>
  </si>
  <si>
    <t>'0302385</t>
  </si>
  <si>
    <t>SUPPORT PLATE FOR T/B DOOR</t>
  </si>
  <si>
    <t>'0302386</t>
  </si>
  <si>
    <t>THREE MODULAR BOX</t>
  </si>
  <si>
    <t>'0303028</t>
  </si>
  <si>
    <t>DOL STARTER TYPE MK1</t>
  </si>
  <si>
    <t>'0304005</t>
  </si>
  <si>
    <t>L&amp;T AIR BREAK CONTACTOR ML-2</t>
  </si>
  <si>
    <t>'0304020</t>
  </si>
  <si>
    <t>A/B CONTACTOR 70 AMPERS</t>
  </si>
  <si>
    <t>'0304044</t>
  </si>
  <si>
    <t>CONTACTOR ML1.5,  3 POLE,</t>
  </si>
  <si>
    <t>'0304048</t>
  </si>
  <si>
    <t>POWER CONTACTOR L&amp;T MNX25</t>
  </si>
  <si>
    <t>'0304052</t>
  </si>
  <si>
    <t>"SIEMENS" CONTACTOR 3TF 31,</t>
  </si>
  <si>
    <t>'0304059</t>
  </si>
  <si>
    <t>3 POLE CONTACTOR LC 1E 65</t>
  </si>
  <si>
    <t>'0304131</t>
  </si>
  <si>
    <t>MOTOR PROTECTION CIRCUIT BREAK</t>
  </si>
  <si>
    <t>'0304375</t>
  </si>
  <si>
    <t>POWER CONTACTOR 3 POLE,</t>
  </si>
  <si>
    <t>'0304387</t>
  </si>
  <si>
    <t>MOTOR PROTECTION CIRCUIT</t>
  </si>
  <si>
    <t>'0304389</t>
  </si>
  <si>
    <t>SCRAPPER RING FOR “ACCEL</t>
  </si>
  <si>
    <t>'0304390</t>
  </si>
  <si>
    <t>VALVE SPRING FOR “ACCEL”</t>
  </si>
  <si>
    <t>'0304398</t>
  </si>
  <si>
    <t>L &amp; T MAKE MPCB TYPE MOG S1</t>
  </si>
  <si>
    <t>'0304399</t>
  </si>
  <si>
    <t>'0305044</t>
  </si>
  <si>
    <t>RELAY 24VDC 5 PIN</t>
  </si>
  <si>
    <t>'0305061</t>
  </si>
  <si>
    <t>O/LRELAY 0.63 TO 1 AMP</t>
  </si>
  <si>
    <t>'0305095</t>
  </si>
  <si>
    <t>O/L RELAY 30 TO 50 AMP</t>
  </si>
  <si>
    <t>'0305105</t>
  </si>
  <si>
    <t>O/L RELAY 14 TO 23 AMP L&amp;T</t>
  </si>
  <si>
    <t>'0305116</t>
  </si>
  <si>
    <t>O/L RELAY 3-5AMP MNX TYPE</t>
  </si>
  <si>
    <t>'0305119</t>
  </si>
  <si>
    <t>RELAY CARD 2X2 WITH RELAY 24VD</t>
  </si>
  <si>
    <t>'0305142</t>
  </si>
  <si>
    <t>MOTOR PROTECTION RELAY MPR303</t>
  </si>
  <si>
    <t>'0305143</t>
  </si>
  <si>
    <t>'0306002</t>
  </si>
  <si>
    <t>COIL 230V.FOR SIZE-1 CONTACTOR</t>
  </si>
  <si>
    <t>'0306013</t>
  </si>
  <si>
    <t>SPARE CONTACT KIT FOR 3TF47</t>
  </si>
  <si>
    <t>'0306071</t>
  </si>
  <si>
    <t>NO ELEMENT TECHNIC MAKE</t>
  </si>
  <si>
    <t>'0306122</t>
  </si>
  <si>
    <t>ROTOR MOVING CONTACT</t>
  </si>
  <si>
    <t>'0306124</t>
  </si>
  <si>
    <t>ROTOR FIXED CONTACT</t>
  </si>
  <si>
    <t>'0306135</t>
  </si>
  <si>
    <t>CONTACT ELEMENT NO</t>
  </si>
  <si>
    <t>'0306178</t>
  </si>
  <si>
    <t>ADD ON BLOCK MNX A1</t>
  </si>
  <si>
    <t>'0307009</t>
  </si>
  <si>
    <t>3.5 CORE COPPER ARMOURED CABLE</t>
  </si>
  <si>
    <t>'0307028</t>
  </si>
  <si>
    <t>THERMOCOUPLE CR/AL IN SS TUBE</t>
  </si>
  <si>
    <t>'0307031</t>
  </si>
  <si>
    <t>POLYCAB FLEXIBLE CABLE</t>
  </si>
  <si>
    <t>'0307047</t>
  </si>
  <si>
    <t>CR/AL THERMOCOUPLE WIRE 14 SWG</t>
  </si>
  <si>
    <t>'0307049</t>
  </si>
  <si>
    <t>FIBRE COATED CABLE 10MM SQ.</t>
  </si>
  <si>
    <t>'0307050</t>
  </si>
  <si>
    <t>2.5SQMM FIBRE GLASS FLEX.WIRE</t>
  </si>
  <si>
    <t>'0307051</t>
  </si>
  <si>
    <t>COPPER FLEX.CABLE 4 SQMMX3CORE</t>
  </si>
  <si>
    <t>'0307054</t>
  </si>
  <si>
    <t>3.5 CORE ALUMINIUM ARMOURED</t>
  </si>
  <si>
    <t>'0307072</t>
  </si>
  <si>
    <t>CABLE JOINTING KIT 3C X240 O/D</t>
  </si>
  <si>
    <t>'0307073</t>
  </si>
  <si>
    <t>CABLE JOINTING KIT 3C X185 I/D</t>
  </si>
  <si>
    <t>'0307076</t>
  </si>
  <si>
    <t>CABLE JOINTING KIT 3C X 185O/D</t>
  </si>
  <si>
    <t>'0307103</t>
  </si>
  <si>
    <t>COPPER ARM CABLE 10SQ.MMX4CORE</t>
  </si>
  <si>
    <t>'0307110</t>
  </si>
  <si>
    <t>FIBRE GLASS INSULATED WIRE 4MM</t>
  </si>
  <si>
    <t>'0307140</t>
  </si>
  <si>
    <t>COPPER ARMOURED CABLE 16SQ.MM</t>
  </si>
  <si>
    <t>'0307178</t>
  </si>
  <si>
    <t>SENSOR RTD -PT-100 3 WIRE</t>
  </si>
  <si>
    <t>'0307210</t>
  </si>
  <si>
    <t>NTC SENSOR 6MM DX 12" LONG</t>
  </si>
  <si>
    <t>'0307216</t>
  </si>
  <si>
    <t>S.S.CABLE GLAND FOR 300SQMM</t>
  </si>
  <si>
    <t>'0308020</t>
  </si>
  <si>
    <t>COPPER.CABLE GLAND  2 1/2"</t>
  </si>
  <si>
    <t>'0308022</t>
  </si>
  <si>
    <t>AL LUG PIN TYPE 35 SQMM</t>
  </si>
  <si>
    <t>'0308031</t>
  </si>
  <si>
    <t>2.5SQ. MM COPPER LUG</t>
  </si>
  <si>
    <t>'0308035</t>
  </si>
  <si>
    <t>COPPER LUG 95 SQMM</t>
  </si>
  <si>
    <t>'0308037</t>
  </si>
  <si>
    <t>COPPER LUG 70 SQ.MM C.NO.7140</t>
  </si>
  <si>
    <t>'0308061</t>
  </si>
  <si>
    <t>ALUMINIUM LUG 50 SQMM</t>
  </si>
  <si>
    <t>'0308064</t>
  </si>
  <si>
    <t>ALUMINIUM LUG 70 SQMM</t>
  </si>
  <si>
    <t>'0308110</t>
  </si>
  <si>
    <t>'0308139</t>
  </si>
  <si>
    <t>ALUMINIUM LUG 25 SQMM RING TYP</t>
  </si>
  <si>
    <t>'0308141</t>
  </si>
  <si>
    <t>COPP. LUG 2.5 SQMM CAT NO 7011</t>
  </si>
  <si>
    <t>'0308155</t>
  </si>
  <si>
    <t>SS CABLE GLAND FOR 6SQMM CABLE</t>
  </si>
  <si>
    <t>'0308161</t>
  </si>
  <si>
    <t>COPPER CABLE LUG 6 SQ. MM.</t>
  </si>
  <si>
    <t>'0308166</t>
  </si>
  <si>
    <t>ALUMINIUM CABLE LUG 240SQ.MM</t>
  </si>
  <si>
    <t>'0308167</t>
  </si>
  <si>
    <t>ALUMINIUM CABLE LUG 120SQ.MM</t>
  </si>
  <si>
    <t>'0308168</t>
  </si>
  <si>
    <t>ALUMINIUM CABLE LUG 185 SQ.MM</t>
  </si>
  <si>
    <t>'0308171</t>
  </si>
  <si>
    <t>300 SQ MM ALUMINIUM LUG</t>
  </si>
  <si>
    <t>'0308173</t>
  </si>
  <si>
    <t>CABLE GLAND 1"</t>
  </si>
  <si>
    <t>'0308181</t>
  </si>
  <si>
    <t>ALLUMINIUM LUG 150 SQ MM</t>
  </si>
  <si>
    <t>'0308201</t>
  </si>
  <si>
    <t>CABLE GLAND 10 SQ.MM X 3 CORE</t>
  </si>
  <si>
    <t>'0308211</t>
  </si>
  <si>
    <t>COPPER LUG 35 SQ.MM C.NO-7030</t>
  </si>
  <si>
    <t>'0309003</t>
  </si>
  <si>
    <t>HRC FUSES NS TYPE 6 AMPERES</t>
  </si>
  <si>
    <t>'0309004</t>
  </si>
  <si>
    <t>HRC FUSES NS TYPE 10 AMPERES</t>
  </si>
  <si>
    <t>'0309005</t>
  </si>
  <si>
    <t>HRC FUSE 16 AMPS NS TYPE</t>
  </si>
  <si>
    <t>'0309008</t>
  </si>
  <si>
    <t>HRC FUSE 32 AMP HQ TYPE</t>
  </si>
  <si>
    <t>'0309009</t>
  </si>
  <si>
    <t>HRC FUSE 63 AMP  TIA TYPE</t>
  </si>
  <si>
    <t>'0309012</t>
  </si>
  <si>
    <t>HRC FUSE 200 AMP.HN TYPE</t>
  </si>
  <si>
    <t>'0309014</t>
  </si>
  <si>
    <t>HRC FUSE 400AMP</t>
  </si>
  <si>
    <t>'0309022</t>
  </si>
  <si>
    <t>HRC FUSE HN TYPE 125 AMP</t>
  </si>
  <si>
    <t>'0309056</t>
  </si>
  <si>
    <t>FUSE 63 AMPS NH 003 NA38ZZY</t>
  </si>
  <si>
    <t>'0309060</t>
  </si>
  <si>
    <t>HRC FUSE 63 AMP,HQ TYPE</t>
  </si>
  <si>
    <t>'0309115</t>
  </si>
  <si>
    <t>TINNED COPPER FUSE WIRE 5 AMP</t>
  </si>
  <si>
    <t>'0309116</t>
  </si>
  <si>
    <t>TINNED COPPER FUSE WIRE 10 AMP</t>
  </si>
  <si>
    <t>'0309122</t>
  </si>
  <si>
    <t>HRC FUSE NS-20 AMP</t>
  </si>
  <si>
    <t>'0309138</t>
  </si>
  <si>
    <t>HRC FUSE HN 100 AMP</t>
  </si>
  <si>
    <t>'0309145</t>
  </si>
  <si>
    <t>FUSE BASE CARRIER HK 63H BASE</t>
  </si>
  <si>
    <t>'0309146</t>
  </si>
  <si>
    <t>HRC FUSE BASE CARRIER 32 AMP</t>
  </si>
  <si>
    <t>'0310043</t>
  </si>
  <si>
    <t>MULTISPAN TEMP CONTROLLER</t>
  </si>
  <si>
    <t>'0310046</t>
  </si>
  <si>
    <t>TEMP CONTROLLER 0-1700* C</t>
  </si>
  <si>
    <t>'0310048</t>
  </si>
  <si>
    <t>DIGITAL VOLTMETER CUTOUT</t>
  </si>
  <si>
    <t>'0310049</t>
  </si>
  <si>
    <t>ELECTRONIC STAR DELTA TIMER</t>
  </si>
  <si>
    <t>'0310126</t>
  </si>
  <si>
    <t>TEMP. INDICATOR 0-1700* C</t>
  </si>
  <si>
    <t>'0310128</t>
  </si>
  <si>
    <t>RTD SENSOR 3 MTR LONG</t>
  </si>
  <si>
    <t>'0310131</t>
  </si>
  <si>
    <t>UNIVERSAL INDICATOR SOLUTION</t>
  </si>
  <si>
    <t>'0312006</t>
  </si>
  <si>
    <t>FIBER GLASS TAPE 3/4"</t>
  </si>
  <si>
    <t>'0312019</t>
  </si>
  <si>
    <t>FIBRE GLASS SLEEVE 8MM</t>
  </si>
  <si>
    <t>'0312020</t>
  </si>
  <si>
    <t>10MM FIBRE GLASS SLEEVE</t>
  </si>
  <si>
    <t>'0312022</t>
  </si>
  <si>
    <t>COPPER PIPE 7/8"</t>
  </si>
  <si>
    <t>'0312031</t>
  </si>
  <si>
    <t>SIMMERSTATE 0 TO 110 JYJ TYPE</t>
  </si>
  <si>
    <t>'0312032</t>
  </si>
  <si>
    <t>ELEMEX CONNECTOR</t>
  </si>
  <si>
    <t>'0312055</t>
  </si>
  <si>
    <t>CERAMIC HALF BAND HEATER SIZE</t>
  </si>
  <si>
    <t>'0312059</t>
  </si>
  <si>
    <t>5-A PORCELIN  ROUND CONNECTOR</t>
  </si>
  <si>
    <t>'0312077</t>
  </si>
  <si>
    <t>FIBER GLASS TAPE 25MM.</t>
  </si>
  <si>
    <t>'0312081</t>
  </si>
  <si>
    <t>SMPS 450W FOR P.C</t>
  </si>
  <si>
    <t>'0312090</t>
  </si>
  <si>
    <t>EPOXY INSULATOR 2" WITH</t>
  </si>
  <si>
    <t>'0312093</t>
  </si>
  <si>
    <t>COPPER PIPE 3/4"OD X 6MM ID</t>
  </si>
  <si>
    <t>'0312116</t>
  </si>
  <si>
    <t>THERMOSTAT 0-30-100 DEG.'C'</t>
  </si>
  <si>
    <t>'0312142</t>
  </si>
  <si>
    <t>SOLDERING IRON ELEMENT 125 WT</t>
  </si>
  <si>
    <t>'0312202</t>
  </si>
  <si>
    <t>Porcelene tube 2 way 1" long</t>
  </si>
  <si>
    <t>'0312301</t>
  </si>
  <si>
    <t>TEFLON TAPE 3/4"</t>
  </si>
  <si>
    <t>'0312322</t>
  </si>
  <si>
    <t>SWITCH DISCONNECTOR FUSE</t>
  </si>
  <si>
    <t>'0312350</t>
  </si>
  <si>
    <t>FIBER GLASS TAPE 2 "</t>
  </si>
  <si>
    <t>'0312354</t>
  </si>
  <si>
    <t>TERMINAL PLATE (CONNECTOR) FOR</t>
  </si>
  <si>
    <t>'0312372</t>
  </si>
  <si>
    <t>CERAMIC STRIP HEATER 500-W</t>
  </si>
  <si>
    <t>'0312373</t>
  </si>
  <si>
    <t>CERAMIC STRIP HEATER 1000-W</t>
  </si>
  <si>
    <t>'0312391</t>
  </si>
  <si>
    <t>M.V. METER 02 M.V. MONITOR</t>
  </si>
  <si>
    <t>'0312403</t>
  </si>
  <si>
    <t>POWER CONNECTOR WITH ONE CABLE</t>
  </si>
  <si>
    <t>'0312413</t>
  </si>
  <si>
    <t>SMPS FOR WEIHING BALANCE</t>
  </si>
  <si>
    <t>'0312503</t>
  </si>
  <si>
    <t>APC UPS CAPICITY 600VA</t>
  </si>
  <si>
    <t>'0312515</t>
  </si>
  <si>
    <t>MOUNTING KIT-FLP JB HEATON MK</t>
  </si>
  <si>
    <t>'0312516</t>
  </si>
  <si>
    <t>W.P.SPLICE CONNECTOR PLUTO</t>
  </si>
  <si>
    <t>'0312517</t>
  </si>
  <si>
    <t>W.P.TEE CONNCTOR PLUTO TC-001</t>
  </si>
  <si>
    <t>'0312571</t>
  </si>
  <si>
    <t>PLASMA CUTTING TORCH</t>
  </si>
  <si>
    <t>'0312574</t>
  </si>
  <si>
    <t>PLASMA P-80 NOZZEL SET</t>
  </si>
  <si>
    <t>'0312575</t>
  </si>
  <si>
    <t>PLASMA CERAMIC NOZZEL</t>
  </si>
  <si>
    <t>'0312581</t>
  </si>
  <si>
    <t>REFRIGERATED AIR DRYER 20 CFM</t>
  </si>
  <si>
    <t>'0312582</t>
  </si>
  <si>
    <t>TORCH HEAD FOR PLASMA CUTTING</t>
  </si>
  <si>
    <t>'0312583</t>
  </si>
  <si>
    <t>NUT BOLT</t>
  </si>
  <si>
    <t>'0401009</t>
  </si>
  <si>
    <t>M.S.REDUCER 1/2" X 1/4" BSP "C</t>
  </si>
  <si>
    <t>'0401237</t>
  </si>
  <si>
    <t>M.S.SHEET 4’X4’X6MM THK</t>
  </si>
  <si>
    <t>'0402003</t>
  </si>
  <si>
    <t>WELDING ELECTRODE 4MM</t>
  </si>
  <si>
    <t>'0402009</t>
  </si>
  <si>
    <t>S.S WELDING RODS SUPERINOX</t>
  </si>
  <si>
    <t>'0402019</t>
  </si>
  <si>
    <t>OXYGEN REGULATOR</t>
  </si>
  <si>
    <t>'0402020</t>
  </si>
  <si>
    <t>NITROGEN REGULATOR</t>
  </si>
  <si>
    <t>'0402028</t>
  </si>
  <si>
    <t>SILVER BRAZING ROD 1/16" DIA</t>
  </si>
  <si>
    <t>'0402033</t>
  </si>
  <si>
    <t>GAS CUTTING TORCH</t>
  </si>
  <si>
    <t>'0402089</t>
  </si>
  <si>
    <t>F-22 GAS</t>
  </si>
  <si>
    <t>'0402092</t>
  </si>
  <si>
    <t>3/64"  NOZZLE LPG COOLEX P-12</t>
  </si>
  <si>
    <t>'0402095</t>
  </si>
  <si>
    <t>SILVER BRAZING FLUX[RUPATAM A]</t>
  </si>
  <si>
    <t>'0402102</t>
  </si>
  <si>
    <t>OXYGEN HOSE PIPE 3/8"ID</t>
  </si>
  <si>
    <t>'0402107</t>
  </si>
  <si>
    <t>GAS CUTTING NOZZLE 1/16</t>
  </si>
  <si>
    <t>'0402109</t>
  </si>
  <si>
    <t>WELDING SCREEN WITHOUT GLASS</t>
  </si>
  <si>
    <t>'0402148</t>
  </si>
  <si>
    <t>FIRE EXTINGUISHER 5 KGS CAP.</t>
  </si>
  <si>
    <t>'0402153</t>
  </si>
  <si>
    <t>OXYGEN CYLINDER ( FOR SUBCON )</t>
  </si>
  <si>
    <t>'0402155</t>
  </si>
  <si>
    <t>S.S.WELDING ROD 4MMX350MM</t>
  </si>
  <si>
    <t>'0402165</t>
  </si>
  <si>
    <t>BETANOX C SS ELECTRODE 2.5MM</t>
  </si>
  <si>
    <t>'0403007</t>
  </si>
  <si>
    <t>M.S.PLUG 1/2"</t>
  </si>
  <si>
    <t>'0403060</t>
  </si>
  <si>
    <t>M.S.REDUCER 1" X 1/2"</t>
  </si>
  <si>
    <t>'0403066</t>
  </si>
  <si>
    <t>M.S. SEAMLESS PIPE 1 1/2" ID</t>
  </si>
  <si>
    <t>'0403073</t>
  </si>
  <si>
    <t>M.S.FLANGE 3" BSP</t>
  </si>
  <si>
    <t>'0403085</t>
  </si>
  <si>
    <t>M.S.2" FLANGE 'D'TABLE</t>
  </si>
  <si>
    <t>'0403101</t>
  </si>
  <si>
    <t>M.S.BARREL NIPPLE 1 1/2"X 12"</t>
  </si>
  <si>
    <t>'0403109</t>
  </si>
  <si>
    <t>M.S.TEE 1/2" X  1/2"X1/2"</t>
  </si>
  <si>
    <t>'0403122</t>
  </si>
  <si>
    <t>M.S. HEX NIPPLE 1"</t>
  </si>
  <si>
    <t>'0403141</t>
  </si>
  <si>
    <t>M.S ELBOW SIZE-1"</t>
  </si>
  <si>
    <t>'0403142</t>
  </si>
  <si>
    <t>M.S. NIPPLE 2"</t>
  </si>
  <si>
    <t>'0403143</t>
  </si>
  <si>
    <t>M.S. HEX NIPPLE 1.5"</t>
  </si>
  <si>
    <t>'0403146</t>
  </si>
  <si>
    <t>M.S.HEX NIPPLE 3/4"</t>
  </si>
  <si>
    <t>'0403224</t>
  </si>
  <si>
    <t>M.S.FLANGES 1.5"</t>
  </si>
  <si>
    <t>'0403236</t>
  </si>
  <si>
    <t>HEX NIPPLE 1/4"</t>
  </si>
  <si>
    <t>'0403243</t>
  </si>
  <si>
    <t>M.S.HEX NIPPLE 2" ( FORGED)</t>
  </si>
  <si>
    <t>'0403260</t>
  </si>
  <si>
    <t>WORM REDUCER TYPE A-287</t>
  </si>
  <si>
    <t>'0404008</t>
  </si>
  <si>
    <t>GI UNION 1/2"</t>
  </si>
  <si>
    <t>'0404010</t>
  </si>
  <si>
    <t>G.I.UNION 1" BSP C CLASS</t>
  </si>
  <si>
    <t>'0404012</t>
  </si>
  <si>
    <t>G.I.UNION 2"BSP</t>
  </si>
  <si>
    <t>'0404015</t>
  </si>
  <si>
    <t>G.I.BEND 2 1/2"BSP "C"CLASS</t>
  </si>
  <si>
    <t>'0404018</t>
  </si>
  <si>
    <t>G.I.BEND 1/2" BSP</t>
  </si>
  <si>
    <t>'0404028</t>
  </si>
  <si>
    <t>G.I.NIPPLE 1'X12" LONG</t>
  </si>
  <si>
    <t>'0404036</t>
  </si>
  <si>
    <t>G.I.ELBOW 1/2" BSP</t>
  </si>
  <si>
    <t>'0404037</t>
  </si>
  <si>
    <t>G.I.ELBOW 3/4"</t>
  </si>
  <si>
    <t>'0404053</t>
  </si>
  <si>
    <t>G.I. TEE 1-1/2" BSP C CLASS</t>
  </si>
  <si>
    <t>'0404054</t>
  </si>
  <si>
    <t>G.I.TEE 2" BSP C CLASS</t>
  </si>
  <si>
    <t>'0404075</t>
  </si>
  <si>
    <t>SINTEX TANK 500 LTR CAP</t>
  </si>
  <si>
    <t>'0404082</t>
  </si>
  <si>
    <t>G.I.REDUCER 1-1/2"X 2" BSP</t>
  </si>
  <si>
    <t>'0404100</t>
  </si>
  <si>
    <t>G.I.BEND 3" BSP C CLASS</t>
  </si>
  <si>
    <t>'0404132</t>
  </si>
  <si>
    <t>HOSE NIPPLE 1/2" G.I.</t>
  </si>
  <si>
    <t>'0404158</t>
  </si>
  <si>
    <t>G.I.REDUCER 3"X2"</t>
  </si>
  <si>
    <t>'0404161</t>
  </si>
  <si>
    <t>G.I.BARREL NIPPLE 2" BSP X6"</t>
  </si>
  <si>
    <t>'0404200</t>
  </si>
  <si>
    <t>G.I BARREL NIPPLE 1 ½” X 12”</t>
  </si>
  <si>
    <t>'0404201</t>
  </si>
  <si>
    <t>G.I. ELBOW 1/2"</t>
  </si>
  <si>
    <t>'0404202</t>
  </si>
  <si>
    <t>G.I.SOCKET 1"</t>
  </si>
  <si>
    <t>'0404240</t>
  </si>
  <si>
    <t>G.I.SOCKET 1 1/4"</t>
  </si>
  <si>
    <t>'0404245</t>
  </si>
  <si>
    <t>G.I.BARREL NIPPLE 1 1/4" X12"</t>
  </si>
  <si>
    <t>'0404248</t>
  </si>
  <si>
    <t>G.I.UNION SOCKET 1 1/4"</t>
  </si>
  <si>
    <t>'0404250</t>
  </si>
  <si>
    <t>G.I.SOCKET 1/2"</t>
  </si>
  <si>
    <t>'0404255</t>
  </si>
  <si>
    <t>G.I.SOCKET 3"</t>
  </si>
  <si>
    <t>'0404258</t>
  </si>
  <si>
    <t>G.I.BARREL NIPPLE 5" X 18"</t>
  </si>
  <si>
    <t>'0404260</t>
  </si>
  <si>
    <t>G.I.BARREL NIPPLE 2" X12"</t>
  </si>
  <si>
    <t>'0404261</t>
  </si>
  <si>
    <t>M.S.SLIPON FLANGE 3" ID</t>
  </si>
  <si>
    <t>'0405013</t>
  </si>
  <si>
    <t>TRANSFORMER OIL</t>
  </si>
  <si>
    <t>'0405034</t>
  </si>
  <si>
    <t>OIL SEETUL -N-68 OIL "HP "</t>
  </si>
  <si>
    <t>'0405300</t>
  </si>
  <si>
    <t>METAQUENCH 43 OIL</t>
  </si>
  <si>
    <t>'0405309</t>
  </si>
  <si>
    <t>SPINTEX-22 OIL</t>
  </si>
  <si>
    <t>'0406013</t>
  </si>
  <si>
    <t>BALL BEARING 6202  Z   "SKF"</t>
  </si>
  <si>
    <t>'0406015</t>
  </si>
  <si>
    <t>BALL BEARING 6204 Z  "SKF"</t>
  </si>
  <si>
    <t>'0406028</t>
  </si>
  <si>
    <t>BALL BEARING 6306 Z</t>
  </si>
  <si>
    <t>'0406052</t>
  </si>
  <si>
    <t>TAPER ROLLER BEARING 30207 SKF</t>
  </si>
  <si>
    <t>'0406055</t>
  </si>
  <si>
    <t>BALL BEARING 1208K EKTN9</t>
  </si>
  <si>
    <t>'0406056</t>
  </si>
  <si>
    <t>ROLLER BEARING NU-314 ECJ/C-3</t>
  </si>
  <si>
    <t>'0406060</t>
  </si>
  <si>
    <t>ROLLER BEARING 30208</t>
  </si>
  <si>
    <t>'0406061</t>
  </si>
  <si>
    <t>NEEDLE ROLLER BEARING P/NO.193</t>
  </si>
  <si>
    <t>'0406065</t>
  </si>
  <si>
    <t>BEARING 1209 EKTN9</t>
  </si>
  <si>
    <t>'0406071</t>
  </si>
  <si>
    <t>PLUMBER BLOCK SN 611</t>
  </si>
  <si>
    <t>'0406079</t>
  </si>
  <si>
    <t>BALL BEARING-6313 /C-3</t>
  </si>
  <si>
    <t>'0406088</t>
  </si>
  <si>
    <t>BEARING UNIT NO.UCF209</t>
  </si>
  <si>
    <t>'0406100</t>
  </si>
  <si>
    <t>BEARING UNIT UC-209 “NTN” MAKE</t>
  </si>
  <si>
    <t>'0406104</t>
  </si>
  <si>
    <t>PLUMBER BLOCK BEARING P-207</t>
  </si>
  <si>
    <t>'0406106</t>
  </si>
  <si>
    <t>BEARING SLEEVE H-209</t>
  </si>
  <si>
    <t>'0406107</t>
  </si>
  <si>
    <t>BALL BEARING 6206 Z</t>
  </si>
  <si>
    <t>'0406110</t>
  </si>
  <si>
    <t>BALL BEARING 6304 Z</t>
  </si>
  <si>
    <t>'0406121</t>
  </si>
  <si>
    <t>BALL BEARING 6209 Z</t>
  </si>
  <si>
    <t>'0406131</t>
  </si>
  <si>
    <t>BEARING SLEEVE H-2311 [IN MM ]</t>
  </si>
  <si>
    <t>'0406135</t>
  </si>
  <si>
    <t>BEARING UNIT UCP 206 TNT IN MM</t>
  </si>
  <si>
    <t>'0406136</t>
  </si>
  <si>
    <t>NTN BEARING UCF-209</t>
  </si>
  <si>
    <t>'0406142</t>
  </si>
  <si>
    <t>BALL BEARING 32211</t>
  </si>
  <si>
    <t>'0406147</t>
  </si>
  <si>
    <t>SKF BALL BEARING 6205 Z</t>
  </si>
  <si>
    <t>'0406151</t>
  </si>
  <si>
    <t>BALL BEARING 6208Z</t>
  </si>
  <si>
    <t>'0406153</t>
  </si>
  <si>
    <t>BALL BERING 6200Z</t>
  </si>
  <si>
    <t>'0406158</t>
  </si>
  <si>
    <t>BEARING UNIT UCP-210</t>
  </si>
  <si>
    <t>'0406170</t>
  </si>
  <si>
    <t>BEARING SLEEVE SOCKET HE 308</t>
  </si>
  <si>
    <t>'0406181</t>
  </si>
  <si>
    <t>BALL BEARING 6305 Z</t>
  </si>
  <si>
    <t>'0406182</t>
  </si>
  <si>
    <t>BALL BEARING 6308Z</t>
  </si>
  <si>
    <t>'0406184</t>
  </si>
  <si>
    <t>BALL BEARING 6302 ZZ</t>
  </si>
  <si>
    <t>'0406201</t>
  </si>
  <si>
    <t>BALL BEARING 6003 ZZ</t>
  </si>
  <si>
    <t>'0406217</t>
  </si>
  <si>
    <t>BALL BEARING 6206 ZZ SKF</t>
  </si>
  <si>
    <t>'0406218</t>
  </si>
  <si>
    <t>NTN BEARING UC-208-D1</t>
  </si>
  <si>
    <t>'0406219</t>
  </si>
  <si>
    <t>BALL BEARING 2311</t>
  </si>
  <si>
    <t>'0406221</t>
  </si>
  <si>
    <t>BEARING 6309-Z</t>
  </si>
  <si>
    <t>'0406232</t>
  </si>
  <si>
    <t>BEARING 16013</t>
  </si>
  <si>
    <t>'0406233</t>
  </si>
  <si>
    <t>BEARING 22308 W 33JC3</t>
  </si>
  <si>
    <t>'0406234</t>
  </si>
  <si>
    <t>BEARING 3307</t>
  </si>
  <si>
    <t>'0406311</t>
  </si>
  <si>
    <t>THRUST BEARING 51205</t>
  </si>
  <si>
    <t>'0406359</t>
  </si>
  <si>
    <t>C.I. FOOT VALVE 80MM</t>
  </si>
  <si>
    <t>'0406363</t>
  </si>
  <si>
    <t>BALL BEARING 6203-Z</t>
  </si>
  <si>
    <t>'0406372</t>
  </si>
  <si>
    <t>BALL BEARING 6201 Z</t>
  </si>
  <si>
    <t>'0407001</t>
  </si>
  <si>
    <t>V BELT A-29</t>
  </si>
  <si>
    <t>'0407005</t>
  </si>
  <si>
    <t>V BELT A-40</t>
  </si>
  <si>
    <t>'0407007</t>
  </si>
  <si>
    <t>V BELT A-66</t>
  </si>
  <si>
    <t>'0407013</t>
  </si>
  <si>
    <t>V BELT B-44</t>
  </si>
  <si>
    <t>'0407018</t>
  </si>
  <si>
    <t>V BELT B-57</t>
  </si>
  <si>
    <t>'0407020</t>
  </si>
  <si>
    <t>V BELT B-60</t>
  </si>
  <si>
    <t>'0407021</t>
  </si>
  <si>
    <t>V BELT B-76</t>
  </si>
  <si>
    <t>'0407037</t>
  </si>
  <si>
    <t>V BELT B-68</t>
  </si>
  <si>
    <t>'0407039</t>
  </si>
  <si>
    <t>V BELT A-42</t>
  </si>
  <si>
    <t>'0407050</t>
  </si>
  <si>
    <t>V BELT B-30</t>
  </si>
  <si>
    <t>'0407061</t>
  </si>
  <si>
    <t>V BELT B-32</t>
  </si>
  <si>
    <t>'0407073</t>
  </si>
  <si>
    <t>V-BELT A-62</t>
  </si>
  <si>
    <t>'0407301</t>
  </si>
  <si>
    <t>V BELT A-24</t>
  </si>
  <si>
    <t>'0407306</t>
  </si>
  <si>
    <t>V BELT B-31</t>
  </si>
  <si>
    <t>'0407308</t>
  </si>
  <si>
    <t>V BELT B-40</t>
  </si>
  <si>
    <t>'0407309</t>
  </si>
  <si>
    <t>V BELT B-53</t>
  </si>
  <si>
    <t>'0407311</t>
  </si>
  <si>
    <t>V BELT B-85</t>
  </si>
  <si>
    <t>'0407312</t>
  </si>
  <si>
    <t>V BELT B-65</t>
  </si>
  <si>
    <t>'0407325</t>
  </si>
  <si>
    <t>V BELT C-90</t>
  </si>
  <si>
    <t>'0407328</t>
  </si>
  <si>
    <t>V BELT C-105</t>
  </si>
  <si>
    <t>'0407330</t>
  </si>
  <si>
    <t>V BELT B-98</t>
  </si>
  <si>
    <t>'0407331</t>
  </si>
  <si>
    <t>V BELT A-45</t>
  </si>
  <si>
    <t>'0408022</t>
  </si>
  <si>
    <t>'0408058</t>
  </si>
  <si>
    <t>THINNER</t>
  </si>
  <si>
    <t>'0408097</t>
  </si>
  <si>
    <t>GLOSS-90,ENAMEL PAINT</t>
  </si>
  <si>
    <t>'0408105</t>
  </si>
  <si>
    <t>Dulux Weather Shield Paint</t>
  </si>
  <si>
    <t>'0409021</t>
  </si>
  <si>
    <t>C.I DIAPHARM VALVE SIZE-1"</t>
  </si>
  <si>
    <t>'0409022</t>
  </si>
  <si>
    <t>G.M.GATE VALVE 2"BSP</t>
  </si>
  <si>
    <t>'0409023</t>
  </si>
  <si>
    <t>G.M.GATE VALVE 0.5"</t>
  </si>
  <si>
    <t>'0409039</t>
  </si>
  <si>
    <t>G.M STRAINER 2" BSP</t>
  </si>
  <si>
    <t>'0409042</t>
  </si>
  <si>
    <t>G.M.GATE VALVE 1"</t>
  </si>
  <si>
    <t>'0409051</t>
  </si>
  <si>
    <t>FLOAT VALVE 1"BSP WITH BALL</t>
  </si>
  <si>
    <t>'0409074</t>
  </si>
  <si>
    <t>EXPANSION VALVE 1 1/8”</t>
  </si>
  <si>
    <t>'0409076</t>
  </si>
  <si>
    <t>S.S.304 BALL VALVE 3/4" SCREW</t>
  </si>
  <si>
    <t>'0409097</t>
  </si>
  <si>
    <t>CS BALL VALVE 2"</t>
  </si>
  <si>
    <t>'0409109</t>
  </si>
  <si>
    <t>BIB COCK BRASS 1/2" HEAVY DUTY</t>
  </si>
  <si>
    <t>'0409113</t>
  </si>
  <si>
    <t>C.I.DIAPHARM VALVE SIZE: 40MM</t>
  </si>
  <si>
    <t>'0409123</t>
  </si>
  <si>
    <t>BALL VALVE, T PORT, 3 WAY,</t>
  </si>
  <si>
    <t>'0409130</t>
  </si>
  <si>
    <t>PLUG VALVE CASE</t>
  </si>
  <si>
    <t>'0409329</t>
  </si>
  <si>
    <t>FLOAT VALVE 1  1/4"</t>
  </si>
  <si>
    <t>'0409358</t>
  </si>
  <si>
    <t>S.S.BALL VALVE 1.5"" BSP SCREW</t>
  </si>
  <si>
    <t>'0409378</t>
  </si>
  <si>
    <t xml:space="preserve"> SOLONOID VALVE 1/2" X 5 PORT</t>
  </si>
  <si>
    <t>'0409485</t>
  </si>
  <si>
    <t>PIPE STRAPS SIZE 3’’</t>
  </si>
  <si>
    <t>'0409486</t>
  </si>
  <si>
    <t>RTV SEALANT 25 GMS</t>
  </si>
  <si>
    <t>'0409487</t>
  </si>
  <si>
    <t>RCBO 25 AMPS 30 mA</t>
  </si>
  <si>
    <t>'0410010</t>
  </si>
  <si>
    <t>SOLENOID VALVE 1/4"ZM/1762/152</t>
  </si>
  <si>
    <t>'0410065</t>
  </si>
  <si>
    <t>SOLONOID VALVE 1/4"BSPX2WAY</t>
  </si>
  <si>
    <t>'0410067</t>
  </si>
  <si>
    <t>SOL.SPRING VALVE 1/4"BSP 3/2</t>
  </si>
  <si>
    <t>'0410086</t>
  </si>
  <si>
    <t>COIL 230V FOR AVCON VALVE</t>
  </si>
  <si>
    <t>'0410408</t>
  </si>
  <si>
    <t>DRAIN VALVE KIT</t>
  </si>
  <si>
    <t>'0411033</t>
  </si>
  <si>
    <t>O RING 21MM ODX15MM IDX3MM DIA</t>
  </si>
  <si>
    <t>'0412009</t>
  </si>
  <si>
    <t>OIL SEAL 20 X 52 X 7</t>
  </si>
  <si>
    <t>'0412024</t>
  </si>
  <si>
    <t>OIL SEAL 45X65X10</t>
  </si>
  <si>
    <t>'0412030</t>
  </si>
  <si>
    <t>OIL SEAL (RUBBER) 40X60X10</t>
  </si>
  <si>
    <t>'0412031</t>
  </si>
  <si>
    <t>METALLIC OIL SEAL 52X72X12</t>
  </si>
  <si>
    <t>'0412046</t>
  </si>
  <si>
    <t>OIL SEALS 55 X 75X10</t>
  </si>
  <si>
    <t>'0412052</t>
  </si>
  <si>
    <t>OIL SEALS  22X40X7 MM</t>
  </si>
  <si>
    <t>'0412053</t>
  </si>
  <si>
    <t>CONNECTOR MALE PU FITTING</t>
  </si>
  <si>
    <t>'0412084</t>
  </si>
  <si>
    <t>OIL SEALS  30 X 42 X10 MM</t>
  </si>
  <si>
    <t>'0412091</t>
  </si>
  <si>
    <t>OIL SEALS 55X75X10MM</t>
  </si>
  <si>
    <t>'0412094</t>
  </si>
  <si>
    <t>OIL SEAL CRANK SHAFT</t>
  </si>
  <si>
    <t>'0413014</t>
  </si>
  <si>
    <t>METALLIC GASKET 2 MM SYLE 20</t>
  </si>
  <si>
    <t>'0413015</t>
  </si>
  <si>
    <t>RUBBER SHEET 3MM OR 1/8" THK</t>
  </si>
  <si>
    <t>'0413024</t>
  </si>
  <si>
    <t>CORROISION COMPOUND</t>
  </si>
  <si>
    <t>'0413059</t>
  </si>
  <si>
    <t>RUBBER SHEET SIZE 12MM</t>
  </si>
  <si>
    <t>'0413067</t>
  </si>
  <si>
    <t>DENDRITE ADHESIVE PC-65 (   50</t>
  </si>
  <si>
    <t>CN</t>
  </si>
  <si>
    <t>'0413354</t>
  </si>
  <si>
    <t>NON-METALLIC GASKET 3MM THK</t>
  </si>
  <si>
    <t>'0413364</t>
  </si>
  <si>
    <t>NEOPRENE O-RING ID 34.5MM,</t>
  </si>
  <si>
    <t>'0413365</t>
  </si>
  <si>
    <t>NEOPRENE O-RING ID 82.5MM,</t>
  </si>
  <si>
    <t>'0414023</t>
  </si>
  <si>
    <t>PVC FLEXIBLE PIPE 1" DIA</t>
  </si>
  <si>
    <t>'0414044</t>
  </si>
  <si>
    <t>HYDROLIC HOSE PIPE 1/2"</t>
  </si>
  <si>
    <t>'0414054</t>
  </si>
  <si>
    <t>PNEUMATIC HOSE PIPE 3/8"</t>
  </si>
  <si>
    <t>'0415007</t>
  </si>
  <si>
    <t>S.S.HOSE CLIP 1/4"</t>
  </si>
  <si>
    <t>'0415034</t>
  </si>
  <si>
    <t>S.S. HOSE CLIP 1.50"</t>
  </si>
  <si>
    <t>'0416005</t>
  </si>
  <si>
    <t>RUBBER WHEEL FOR RAINER DRUM</t>
  </si>
  <si>
    <t>'0416012</t>
  </si>
  <si>
    <t>CASTOR WHEEL NYLON 100 X 50</t>
  </si>
  <si>
    <t>'0416041</t>
  </si>
  <si>
    <t>RUBBER TROLLEY WHEEL</t>
  </si>
  <si>
    <t>'0416050</t>
  </si>
  <si>
    <t>POLYMER WHEEL 12" DIA X 2" THK</t>
  </si>
  <si>
    <t>'0418023</t>
  </si>
  <si>
    <t>LUBRICATOR 1/4"BSP</t>
  </si>
  <si>
    <t>'0418033</t>
  </si>
  <si>
    <t>C.I.WHEEL 6"X2" BALL BEARING</t>
  </si>
  <si>
    <t>'0418119</t>
  </si>
  <si>
    <t>PRESSURE GAUGE 0-100 PSI</t>
  </si>
  <si>
    <t>'0418128</t>
  </si>
  <si>
    <t>PRESSURE GAUGE 0-10.6 KG/CM2</t>
  </si>
  <si>
    <t>'0418130</t>
  </si>
  <si>
    <t>PRESSURE GAUGE 0-14 KG/CM2</t>
  </si>
  <si>
    <t>'0418132</t>
  </si>
  <si>
    <t>PRESSURE GAUGE 0 T0 106 KG</t>
  </si>
  <si>
    <t>'0418134</t>
  </si>
  <si>
    <t>PRESSURE GAUGE 0-10</t>
  </si>
  <si>
    <t>'0418135</t>
  </si>
  <si>
    <t>PRESSURE GAUGE 0-15 PSIX6" DIA</t>
  </si>
  <si>
    <t>'0418142</t>
  </si>
  <si>
    <t>PRESSURE GAUGE 1/4"BSP</t>
  </si>
  <si>
    <t>'0418151</t>
  </si>
  <si>
    <t>VACCUM/PRESSURE GAUGE -1000</t>
  </si>
  <si>
    <t>'0418152</t>
  </si>
  <si>
    <t>PRESSURE GAUGE 0 TO 16 KG/CM2</t>
  </si>
  <si>
    <t>'0419034</t>
  </si>
  <si>
    <t>SOFT BROOM</t>
  </si>
  <si>
    <t>'0419035</t>
  </si>
  <si>
    <t>HARD BROOM</t>
  </si>
  <si>
    <t>'0419055</t>
  </si>
  <si>
    <t>LOVE JOY COUPLING L-75</t>
  </si>
  <si>
    <t>'0419060</t>
  </si>
  <si>
    <t xml:space="preserve"> CHAIN SIZE :15.875X9.65X10.16</t>
  </si>
  <si>
    <t>'0419089</t>
  </si>
  <si>
    <t>LOAD CHAIN WHEEL P/NO-03 FOR</t>
  </si>
  <si>
    <t>'0419090</t>
  </si>
  <si>
    <t>LOAD CHAIN WHEEL P/NO-191 FOR</t>
  </si>
  <si>
    <t>'0419091</t>
  </si>
  <si>
    <t>CHAIN GUIDE P/NO-04 FOR</t>
  </si>
  <si>
    <t>'0419092</t>
  </si>
  <si>
    <t>LOAD CHAIN P/NO-240 FOR</t>
  </si>
  <si>
    <t>'0419102</t>
  </si>
  <si>
    <t>G.I WIRE MESH 3'</t>
  </si>
  <si>
    <t>'0419133</t>
  </si>
  <si>
    <t>S.S.SIEVE 40 MESH  12" DIA</t>
  </si>
  <si>
    <t>'0419140</t>
  </si>
  <si>
    <t>L95 LOVE JOY COUPLING</t>
  </si>
  <si>
    <t>'0419146</t>
  </si>
  <si>
    <t>DOOR CLOSER UNIVERSAL</t>
  </si>
  <si>
    <t>'0419169</t>
  </si>
  <si>
    <t>MOTOR BRACKET FOR ALMONARD</t>
  </si>
  <si>
    <t>'0419237</t>
  </si>
  <si>
    <t>TARPOLIN</t>
  </si>
  <si>
    <t>'0419261</t>
  </si>
  <si>
    <t>SPUR GEAR</t>
  </si>
  <si>
    <t>'0419275</t>
  </si>
  <si>
    <t>FRONT GRILL FOR 650MM ALMONARD</t>
  </si>
  <si>
    <t>'0419276</t>
  </si>
  <si>
    <t>REAR GRILL FOR 750MM ALMONARD</t>
  </si>
  <si>
    <t>'0419350</t>
  </si>
  <si>
    <t>C.I.PULLEY 4" DIA ,1 GROOVE"A"</t>
  </si>
  <si>
    <t>'0419360</t>
  </si>
  <si>
    <t>S.S.SIEVE 40 MESH 16" DIA</t>
  </si>
  <si>
    <t>'0419368</t>
  </si>
  <si>
    <t>WORM REDUCTION GEAR BOX</t>
  </si>
  <si>
    <t>'0419370</t>
  </si>
  <si>
    <t>ACRYLIC SHEET</t>
  </si>
  <si>
    <t>'0419371</t>
  </si>
  <si>
    <t>NYLON ROPE 1" DIA</t>
  </si>
  <si>
    <t>'0419375</t>
  </si>
  <si>
    <t>IMPELLER FOR RKM-120</t>
  </si>
  <si>
    <t>'0419406</t>
  </si>
  <si>
    <t>ALUMINIUM COOLING FAN 40MM ID</t>
  </si>
  <si>
    <t>'0419436</t>
  </si>
  <si>
    <t>C.I.PULLEY 4" x 2 GROOVE</t>
  </si>
  <si>
    <t>'0419450</t>
  </si>
  <si>
    <t>C.I.PULLEY 6" DIA XB2 GROOVE</t>
  </si>
  <si>
    <t>'0419463</t>
  </si>
  <si>
    <t>KEYBOARD MK100 “LOGITECH</t>
  </si>
  <si>
    <t>'0419498</t>
  </si>
  <si>
    <t>SHOWEL</t>
  </si>
  <si>
    <t>'0419520</t>
  </si>
  <si>
    <t>ROPE GUIDE P. NO-23</t>
  </si>
  <si>
    <t>'0419621</t>
  </si>
  <si>
    <t>AIR COOLER SUMMERSIBLE PUMP</t>
  </si>
  <si>
    <t>'0419687</t>
  </si>
  <si>
    <t>WIRE ROPE PART NO.33 (8MM)</t>
  </si>
  <si>
    <t>'0419688</t>
  </si>
  <si>
    <t>GRAPHITE GLAND PKG 1/4"X1/4"</t>
  </si>
  <si>
    <t>'0419712</t>
  </si>
  <si>
    <t>BARBERD WIRE STD</t>
  </si>
  <si>
    <t>'0419774</t>
  </si>
  <si>
    <t>GEARED WHEEL ASSLY COMPLETE</t>
  </si>
  <si>
    <t>'0419784</t>
  </si>
  <si>
    <t>V BELT PULLEY 'B' 4-GROOVE 6"</t>
  </si>
  <si>
    <t>'0419793</t>
  </si>
  <si>
    <t>V-BELT PULLEY 11”,4 GROOVE'B'</t>
  </si>
  <si>
    <t>'0419794</t>
  </si>
  <si>
    <t>V-BELT PULLEY 8”,4 GROOVE 'B'</t>
  </si>
  <si>
    <t>'0419801</t>
  </si>
  <si>
    <t>SCREW HEAD BOLT 3/16”X2” LONG</t>
  </si>
  <si>
    <t>'0419810</t>
  </si>
  <si>
    <t>V BELT PULLEY 5” DIA 2</t>
  </si>
  <si>
    <t>'0419818</t>
  </si>
  <si>
    <t>S.S. HEAVY DUTY HINGES 4”</t>
  </si>
  <si>
    <t>'0421022</t>
  </si>
  <si>
    <t>OIL SEAL SIZE 68-50-10</t>
  </si>
  <si>
    <t>'0425052</t>
  </si>
  <si>
    <t>Oil Seal Box 35-55-10</t>
  </si>
  <si>
    <t>'0425141</t>
  </si>
  <si>
    <t>D SPANNERS 1/4*5/16</t>
  </si>
  <si>
    <t>'0425158</t>
  </si>
  <si>
    <t>O RING SPANNERS 1/4"*5/16</t>
  </si>
  <si>
    <t>'0425160</t>
  </si>
  <si>
    <t>SPRING HIGH TENSION FOR HY TRO</t>
  </si>
  <si>
    <t>'0425192</t>
  </si>
  <si>
    <t>POLYMERS WHEEL 4"</t>
  </si>
  <si>
    <t>'0425194</t>
  </si>
  <si>
    <t>PVC FAN FOR INDUSTRIAL MOTORS</t>
  </si>
  <si>
    <t>'0425266</t>
  </si>
  <si>
    <t>SPARE COIL FOR ML 1 &amp; 1.5</t>
  </si>
  <si>
    <t>'0425288</t>
  </si>
  <si>
    <t>MINILAC MAKE WATER LEVEL CONTR</t>
  </si>
  <si>
    <t>'0425310</t>
  </si>
  <si>
    <t>ROTEX MAKE SOLENOID VALVE 1/2"</t>
  </si>
  <si>
    <t>'0425322</t>
  </si>
  <si>
    <t>UNISON MAKE SOLID STATE RELAY</t>
  </si>
  <si>
    <t>'0425336</t>
  </si>
  <si>
    <t>L&amp;T MAKE ML-6 CONTACTOR</t>
  </si>
  <si>
    <t>'0425339</t>
  </si>
  <si>
    <t>BCH MAKE NHD CONTACTOR 25AMP (</t>
  </si>
  <si>
    <t>'0425340</t>
  </si>
  <si>
    <t>BCH MAKE ADD ON BLOCK</t>
  </si>
  <si>
    <t>'0425373</t>
  </si>
  <si>
    <t>V belt K-19</t>
  </si>
  <si>
    <t>'0425526</t>
  </si>
  <si>
    <t>G.M NRV vertical 2" Leader mak</t>
  </si>
  <si>
    <t>'0501022</t>
  </si>
  <si>
    <t>M.S.BOLT 12MM X 6" LONG</t>
  </si>
  <si>
    <t>'0501029</t>
  </si>
  <si>
    <t>M.S. BOLT 1/2" X 2"</t>
  </si>
  <si>
    <t>'0501034</t>
  </si>
  <si>
    <t>HEXAGONAL HEAD NUT 3/16"</t>
  </si>
  <si>
    <t>'0501042</t>
  </si>
  <si>
    <t>M.S.BRIGHT BOLT 5/16” X 1”LONG</t>
  </si>
  <si>
    <t>'0501054</t>
  </si>
  <si>
    <t>M.S.BOLT 3/8"X1"</t>
  </si>
  <si>
    <t>'0501065</t>
  </si>
  <si>
    <t>M.S.BOLT 5/16"X1.5"</t>
  </si>
  <si>
    <t>'0501072</t>
  </si>
  <si>
    <t>M.S.BOLT 3/8"X1.5"</t>
  </si>
  <si>
    <t>'0501109</t>
  </si>
  <si>
    <t>M.S.BOLT 5/8"X2"</t>
  </si>
  <si>
    <t>'0501158</t>
  </si>
  <si>
    <t>M.S.BOLT 3/8"X2"</t>
  </si>
  <si>
    <t>'0501227</t>
  </si>
  <si>
    <t>M.S.ROD 12MM DIA X 13" LONG</t>
  </si>
  <si>
    <t>'0502002</t>
  </si>
  <si>
    <t>SS BOLT 1/4"X3"</t>
  </si>
  <si>
    <t>'0502005</t>
  </si>
  <si>
    <t>SS BOLT 3/8 X 1 1/2"</t>
  </si>
  <si>
    <t>'0502007</t>
  </si>
  <si>
    <t>S.S.BOLT 3/8"X2"</t>
  </si>
  <si>
    <t>'0502009</t>
  </si>
  <si>
    <t>S.S.BOLT 1/4"X1.5"</t>
  </si>
  <si>
    <t>'0502010</t>
  </si>
  <si>
    <t>SS BOLT 3/8"X3"</t>
  </si>
  <si>
    <t>'0502018</t>
  </si>
  <si>
    <t>SS BOLT 1/4 X 2"</t>
  </si>
  <si>
    <t>'0502020</t>
  </si>
  <si>
    <t>SS BOLT 1/4"X1"</t>
  </si>
  <si>
    <t>'0502031</t>
  </si>
  <si>
    <t>SS 304 BOLT 3/8" X 6"</t>
  </si>
  <si>
    <t>'0502060</t>
  </si>
  <si>
    <t>S.S.STUD BOLT 1/4"bswx18"LONG</t>
  </si>
  <si>
    <t>'0503058</t>
  </si>
  <si>
    <t>BRASS BOLT 1/2" X 3"</t>
  </si>
  <si>
    <t>'0504009</t>
  </si>
  <si>
    <t>M5X50 ALLEN BOLT</t>
  </si>
  <si>
    <t>'0504012</t>
  </si>
  <si>
    <t>ALLEN BOLT M6 X 50</t>
  </si>
  <si>
    <t>'0504025</t>
  </si>
  <si>
    <t>ALLEN BOLT M5X40</t>
  </si>
  <si>
    <t>'0504099</t>
  </si>
  <si>
    <t>ALLEN BOLT 3/4"X3"</t>
  </si>
  <si>
    <t>'0504117</t>
  </si>
  <si>
    <t>ALLEN BOLT M6 X 40</t>
  </si>
  <si>
    <t>'0504142</t>
  </si>
  <si>
    <t>ALLEN BOLT M4 X 40</t>
  </si>
  <si>
    <t>'0505037</t>
  </si>
  <si>
    <t>GRUB SCREW 3/8"X1"</t>
  </si>
  <si>
    <t>'0507004</t>
  </si>
  <si>
    <t>M.S.WASHER 3/8"</t>
  </si>
  <si>
    <t>'0507005</t>
  </si>
  <si>
    <t>M.S.PLAIN WASHER 1/2"</t>
  </si>
  <si>
    <t>'0507008</t>
  </si>
  <si>
    <t>M.S.PLAIN WASHER 5/16"</t>
  </si>
  <si>
    <t>'0507015</t>
  </si>
  <si>
    <t>M.S.WASHER 5/8"</t>
  </si>
  <si>
    <t>'0511002</t>
  </si>
  <si>
    <t>S.S.304 WASHER 3/8"</t>
  </si>
  <si>
    <t>'0511003</t>
  </si>
  <si>
    <t>SS PLAIN WASHER 5/16"</t>
  </si>
  <si>
    <t>'0511027</t>
  </si>
  <si>
    <t>S.S.WASHER</t>
  </si>
  <si>
    <t>'0512001</t>
  </si>
  <si>
    <t>S.S.304 NUT  1/4"BSW</t>
  </si>
  <si>
    <t>'0512002</t>
  </si>
  <si>
    <t>S.S.304 NUT  3/8"BSW</t>
  </si>
  <si>
    <t>'0513009</t>
  </si>
  <si>
    <t>M.S.NUT 5/16" PLATED</t>
  </si>
  <si>
    <t>'0513010</t>
  </si>
  <si>
    <t>3/8" M.S.NUT</t>
  </si>
  <si>
    <t>'0513011</t>
  </si>
  <si>
    <t>M.S.NUT 1/2" BSW PLATED</t>
  </si>
  <si>
    <t>'0513022</t>
  </si>
  <si>
    <t>M.S.BRIGHT NUT 5/8"</t>
  </si>
  <si>
    <t>'0601003</t>
  </si>
  <si>
    <t>SYNDANIO RING 2"TH 8" OD 7"ID</t>
  </si>
  <si>
    <t>'0601037</t>
  </si>
  <si>
    <t>G.M.BUSH FOR R/O F/C P.NO .11</t>
  </si>
  <si>
    <t>'0603007</t>
  </si>
  <si>
    <t>DONFOS PRESSURE SWITCH</t>
  </si>
  <si>
    <t>'0603112</t>
  </si>
  <si>
    <t>SEAL KIT QM\9175\00 FOR M\9175</t>
  </si>
  <si>
    <t>'0603211</t>
  </si>
  <si>
    <t>2 WAY OPEN SOL VALVE DIRECT</t>
  </si>
  <si>
    <t>'0604005</t>
  </si>
  <si>
    <t>COIL FOR SOLENOID VALVE UP &amp; D</t>
  </si>
  <si>
    <t>'0605065</t>
  </si>
  <si>
    <t>ROPE TIGHTNER PT NO.22</t>
  </si>
  <si>
    <t>'0605102</t>
  </si>
  <si>
    <t>HEATING ELEMENT FOR PIT TYPE</t>
  </si>
  <si>
    <t>'0605104</t>
  </si>
  <si>
    <t>WIRE ROPE  12MM DIA</t>
  </si>
  <si>
    <t>'0605315</t>
  </si>
  <si>
    <t>HEATING ELEMENT NICHORME 80:20</t>
  </si>
  <si>
    <t>'0606014</t>
  </si>
  <si>
    <t>MECHANICAL SHAFT SEAL ASSY</t>
  </si>
  <si>
    <t>'0606069</t>
  </si>
  <si>
    <t>PISTON RING SET</t>
  </si>
  <si>
    <t>'0606075</t>
  </si>
  <si>
    <t>”O” RING SET </t>
  </si>
  <si>
    <t>'0606218</t>
  </si>
  <si>
    <t>THERMOSTATE</t>
  </si>
  <si>
    <t>'0606234</t>
  </si>
  <si>
    <t>FINNED TABULAR HEATER 2KW 24"L</t>
  </si>
  <si>
    <t>'0606235</t>
  </si>
  <si>
    <t>FINNED TABULAR HEATER 3KW 36"L</t>
  </si>
  <si>
    <t>'0609083</t>
  </si>
  <si>
    <t>S.S.FLANGE FOR SHOST BLAST M/C</t>
  </si>
  <si>
    <t>'0609108</t>
  </si>
  <si>
    <t>M.S.IMPELLER 460 MM DIA</t>
  </si>
  <si>
    <t>'0609175</t>
  </si>
  <si>
    <t>RUBBER STAR WASHER L-75</t>
  </si>
  <si>
    <t>'0610012</t>
  </si>
  <si>
    <t>TIMER 0 TO 30 MIN EM-1000</t>
  </si>
  <si>
    <t>'0610022</t>
  </si>
  <si>
    <t>"GIC" TIMER AUTO RESET EM-1000</t>
  </si>
  <si>
    <t>'0610047</t>
  </si>
  <si>
    <t>TIMER 0-60 SECOND</t>
  </si>
  <si>
    <t>'0610157</t>
  </si>
  <si>
    <t>GIC" TIMER AUTO RESET EM-1000</t>
  </si>
  <si>
    <t>'0611038</t>
  </si>
  <si>
    <t>HANDLE 441015</t>
  </si>
  <si>
    <t>'0611040</t>
  </si>
  <si>
    <t>RIVETTING HAMMER</t>
  </si>
  <si>
    <t>'0611041</t>
  </si>
  <si>
    <t>VALVE CASE PART NO.0442005</t>
  </si>
  <si>
    <t>'0611052</t>
  </si>
  <si>
    <t>RUBBER DUMPER 0443025</t>
  </si>
  <si>
    <t>'0611053</t>
  </si>
  <si>
    <t>RETAINER HEP (0443027)</t>
  </si>
  <si>
    <t>'0611068</t>
  </si>
  <si>
    <t>KEY LOCK COLLAR 0443007</t>
  </si>
  <si>
    <t>'0611069</t>
  </si>
  <si>
    <t>LOCK SPRING 0443029</t>
  </si>
  <si>
    <t>'0611303</t>
  </si>
  <si>
    <t>S.S.CLAMPING ROD 1/2" BSW</t>
  </si>
  <si>
    <t>'0612035</t>
  </si>
  <si>
    <t>THROTTLE VALVE PLUG</t>
  </si>
  <si>
    <t>'0612040</t>
  </si>
  <si>
    <t>BEARING GASKET M3974510</t>
  </si>
  <si>
    <t>'0612044</t>
  </si>
  <si>
    <t>BEARING SPACER D-4001510</t>
  </si>
  <si>
    <t>'0613027</t>
  </si>
  <si>
    <t>WIRE BREADED HOSE PIPE</t>
  </si>
  <si>
    <t>'0613040</t>
  </si>
  <si>
    <t>WIRE BREADED HOSE 1/2"X2FEET</t>
  </si>
  <si>
    <t>'0613045</t>
  </si>
  <si>
    <t>PISTON RING DIA 54MM</t>
  </si>
  <si>
    <t>'0613085</t>
  </si>
  <si>
    <t>WIRE BREADED HOSE 3/4 X 2 MTR</t>
  </si>
  <si>
    <t>'0613108</t>
  </si>
  <si>
    <t>SEAL KIT FOR HYD.CYLINDER BORE</t>
  </si>
  <si>
    <t>'0613136</t>
  </si>
  <si>
    <t>WIRE BREADED HOSE</t>
  </si>
  <si>
    <t>'0613139</t>
  </si>
  <si>
    <t>HYDRAULIC HOSE PIPE 1/2" X36"</t>
  </si>
  <si>
    <t>'0613156</t>
  </si>
  <si>
    <t>HYDROLIC HOSE PIPE 3/8" x 36"</t>
  </si>
  <si>
    <t>'0613162</t>
  </si>
  <si>
    <t>HOSE PIPE FILTER BLOCK TO</t>
  </si>
  <si>
    <t>'0613163</t>
  </si>
  <si>
    <t>HOSE PIPE RECEIVER TO COOLER</t>
  </si>
  <si>
    <t>'0613164</t>
  </si>
  <si>
    <t>HOSE PIPE MPV TO A/C 40-50</t>
  </si>
  <si>
    <t>'0613178</t>
  </si>
  <si>
    <t>WIRE BREADED HOSE 3/8”X 2 MTR</t>
  </si>
  <si>
    <t>'0613179</t>
  </si>
  <si>
    <t>WIRE BREADED HOSE 3/8”X 1.5 MT</t>
  </si>
  <si>
    <t>'0614024</t>
  </si>
  <si>
    <t>S.S. 304 STUD 9" LONG</t>
  </si>
  <si>
    <t>'0614025</t>
  </si>
  <si>
    <t>BURNER BLOCK</t>
  </si>
  <si>
    <t>'0614031</t>
  </si>
  <si>
    <t>CERAMIC BLANKET S-64</t>
  </si>
  <si>
    <t>'0614182</t>
  </si>
  <si>
    <t>FIRE BRICKS IS-8 END ARCH</t>
  </si>
  <si>
    <t>'0616003</t>
  </si>
  <si>
    <t>DIAMOND INDENTOR</t>
  </si>
  <si>
    <t>'0617004</t>
  </si>
  <si>
    <t>BRASS NUT 3/4"BSP FOR W/C LEAD</t>
  </si>
  <si>
    <t>'0617005</t>
  </si>
  <si>
    <t>BRASS FERRULE FOR 3/4" NUT</t>
  </si>
  <si>
    <t>'0617024</t>
  </si>
  <si>
    <t>AIR TUBE FOR BURNER BLOCK</t>
  </si>
  <si>
    <t>'0617026</t>
  </si>
  <si>
    <t>OIL NOZZLE FOR 5422-4</t>
  </si>
  <si>
    <t>'0617033</t>
  </si>
  <si>
    <t>BURNER WESMON N.A.5422-4</t>
  </si>
  <si>
    <t>'0617063</t>
  </si>
  <si>
    <t>OIL TUBE FOR 5422-4</t>
  </si>
  <si>
    <t>'0617079</t>
  </si>
  <si>
    <t>L- BOLT FOR  BURNER BLOCK</t>
  </si>
  <si>
    <t>'0617081</t>
  </si>
  <si>
    <t>AUTOMISING AIR NOZZLE FOR</t>
  </si>
  <si>
    <t>'0617084</t>
  </si>
  <si>
    <t>FUEL INJECTION GEAR PUMP</t>
  </si>
  <si>
    <t>'0617085</t>
  </si>
  <si>
    <t>OIL SEAL FOR FUEL PUMP</t>
  </si>
  <si>
    <t>'0618025</t>
  </si>
  <si>
    <t>SYNDANIO SHEET 700x600x65MM TH</t>
  </si>
  <si>
    <t>'0618029</t>
  </si>
  <si>
    <t>SYNDANIO SHEET 700X600X50MM TH</t>
  </si>
  <si>
    <t>'0618036</t>
  </si>
  <si>
    <t>WATER COOLED LEAD FOR 95/125KW</t>
  </si>
  <si>
    <t>'0618047</t>
  </si>
  <si>
    <t>SYNDANIO SHEET 100*560*50MM TK</t>
  </si>
  <si>
    <t>'0618059</t>
  </si>
  <si>
    <t>CHARGE RESINFOR DEIONSER</t>
  </si>
  <si>
    <t>'0618065</t>
  </si>
  <si>
    <t>KILOWATT METER P.NO-FMET-0099</t>
  </si>
  <si>
    <t>'0618066</t>
  </si>
  <si>
    <t>KILOWATT METER 0-200 Kw</t>
  </si>
  <si>
    <t>'0618067</t>
  </si>
  <si>
    <t>HYLUM SUPPORT T TYPE</t>
  </si>
  <si>
    <t>'0618077</t>
  </si>
  <si>
    <t>COPPER BRADING WIRE 3/8"</t>
  </si>
  <si>
    <t>'0618097</t>
  </si>
  <si>
    <t>SEAL SET FOR VARIABLE PUMP PVT</t>
  </si>
  <si>
    <t>'0618098</t>
  </si>
  <si>
    <t>DI/DT INDUCTOR 1767A</t>
  </si>
  <si>
    <t>'0618135</t>
  </si>
  <si>
    <t>G.M.BUSH FOR BECON PUMP 10 H.P</t>
  </si>
  <si>
    <t>'0618182</t>
  </si>
  <si>
    <t>FAST ACTING FUSE 800A 600VAC</t>
  </si>
  <si>
    <t>'0618224</t>
  </si>
  <si>
    <t>BACKLITE SHEET</t>
  </si>
  <si>
    <t>'0618253</t>
  </si>
  <si>
    <t>'0618285</t>
  </si>
  <si>
    <t>PNEUMATIC CYLINDER 3"ID X 4"</t>
  </si>
  <si>
    <t>'0618297</t>
  </si>
  <si>
    <t>S. S. HOLDER FOR TEMP MASTER</t>
  </si>
  <si>
    <t>'0618314</t>
  </si>
  <si>
    <t>SYNDANIO SHEET</t>
  </si>
  <si>
    <t>'0618321</t>
  </si>
  <si>
    <t>HYLUM WASHER O/D 1" X I/D 3/8"</t>
  </si>
  <si>
    <t>'0618359</t>
  </si>
  <si>
    <t>RECIPTICLE MINI R/S TYPE</t>
  </si>
  <si>
    <t>'0618364</t>
  </si>
  <si>
    <t>HYLUM TUBE 3/8”IDX5/8”ODXX6”L</t>
  </si>
  <si>
    <t>'0618370</t>
  </si>
  <si>
    <t>SYDHANIO TOP PLATE FOR</t>
  </si>
  <si>
    <t>'0618376</t>
  </si>
  <si>
    <t>ANTENNA FOR BULK FURNACE OF</t>
  </si>
  <si>
    <t>'0618377</t>
  </si>
  <si>
    <t>ANTENNA FOR ROLL-OVER / SET</t>
  </si>
  <si>
    <t>'0619006</t>
  </si>
  <si>
    <t>CLAMPING LUG #(93425I) 28036</t>
  </si>
  <si>
    <t>'0619008</t>
  </si>
  <si>
    <t>CENTERING PLATE # 36307</t>
  </si>
  <si>
    <t>'0619009</t>
  </si>
  <si>
    <t>SIDE WEAR PLATE # 50720</t>
  </si>
  <si>
    <t>'0619012</t>
  </si>
  <si>
    <t>FEED SPOUT SEALING RING 28036</t>
  </si>
  <si>
    <t>'0619026</t>
  </si>
  <si>
    <t>HUB SIDE LINER P.NO.300 25</t>
  </si>
  <si>
    <t>'0619030</t>
  </si>
  <si>
    <t>SPROCKET 30 TEETH 3/4" PITCH</t>
  </si>
  <si>
    <t>'0619054</t>
  </si>
  <si>
    <t>CONVEYNOR BELT 1/4" HOLES.</t>
  </si>
  <si>
    <t>'0619056</t>
  </si>
  <si>
    <t>BARREL HEAD CASTING P/NO-28004</t>
  </si>
  <si>
    <t>'0619072</t>
  </si>
  <si>
    <t>UPPER END LINER 30021</t>
  </si>
  <si>
    <t>'0619121</t>
  </si>
  <si>
    <t>ELEVATOR BELT ASSLY 13522</t>
  </si>
  <si>
    <t>'0619130</t>
  </si>
  <si>
    <t>SPROCKET 60T</t>
  </si>
  <si>
    <t>'0619133</t>
  </si>
  <si>
    <t>FEED SPOUT 28050 FOR TUMBLAST</t>
  </si>
  <si>
    <t>'0619136</t>
  </si>
  <si>
    <t>ELEVATOR NUT, BOLT &amp; WASHER</t>
  </si>
  <si>
    <t>'0619145</t>
  </si>
  <si>
    <t>SPROCKET 13T  P-23103</t>
  </si>
  <si>
    <t>'0619146</t>
  </si>
  <si>
    <t>DUST COLLECTOR BAG</t>
  </si>
  <si>
    <t>'0619151</t>
  </si>
  <si>
    <t>CHAIN 3/4" SPROCKET</t>
  </si>
  <si>
    <t>'0619174</t>
  </si>
  <si>
    <t>BACK PLATE PART NO-32000</t>
  </si>
  <si>
    <t>'0619214</t>
  </si>
  <si>
    <t>BARREL HEAD SEAL UPPER LH</t>
  </si>
  <si>
    <t>'0619215</t>
  </si>
  <si>
    <t>BARREL HEAD SEAL UPPER RH</t>
  </si>
  <si>
    <t>'0619216</t>
  </si>
  <si>
    <t>BARREL HEAD SEAL LOWER LH</t>
  </si>
  <si>
    <t>'0619217</t>
  </si>
  <si>
    <t>BARREL HEAD SEAL LOWER RH</t>
  </si>
  <si>
    <t>'0619243</t>
  </si>
  <si>
    <t>BOOT PULLEY SHAFT FOR 02</t>
  </si>
  <si>
    <t>'0619244</t>
  </si>
  <si>
    <t>BOOT PULLEY FOR 02 CFT</t>
  </si>
  <si>
    <t>'0620008</t>
  </si>
  <si>
    <t>OPEN CARTRIDGE HEATER 1.5KW230</t>
  </si>
  <si>
    <t>'0620011</t>
  </si>
  <si>
    <t>3 KW OIL IMMERSION HEATER</t>
  </si>
  <si>
    <t>'0620016</t>
  </si>
  <si>
    <t>GLASS TUBE FOR Accumulator</t>
  </si>
  <si>
    <t>'0620017</t>
  </si>
  <si>
    <t>SILICON RUBBER BUSH</t>
  </si>
  <si>
    <t>'0620020</t>
  </si>
  <si>
    <t>CONNECTING ROD HCA-2/3/4</t>
  </si>
  <si>
    <t>'0620024</t>
  </si>
  <si>
    <t>CRANK SHAFT HCA-1</t>
  </si>
  <si>
    <t>'0620038</t>
  </si>
  <si>
    <t>SEAL KIT  INCLUSIVE OF SEATS</t>
  </si>
  <si>
    <t>'0620048</t>
  </si>
  <si>
    <t>WATER IMMERSION HEATER 27KW</t>
  </si>
  <si>
    <t>'0620052</t>
  </si>
  <si>
    <t>BURNER VALVE/ROD  ASSEMBLY</t>
  </si>
  <si>
    <t>'0620101</t>
  </si>
  <si>
    <t>NOZZLE FOR BOILER 2.5GPH 60DIG</t>
  </si>
  <si>
    <t>'0620131</t>
  </si>
  <si>
    <t>AUTOCLAVE BOILER DOOR GASKET</t>
  </si>
  <si>
    <t>'0620138</t>
  </si>
  <si>
    <t>VALVE ASSLY NITRILE RB HTBVAN</t>
  </si>
  <si>
    <t>'0620139</t>
  </si>
  <si>
    <t>GLAND WASHER NITRILE HTN008N</t>
  </si>
  <si>
    <t>'0620314</t>
  </si>
  <si>
    <t>SS BALL VALVE 2" SCREW END</t>
  </si>
  <si>
    <t>'0620573</t>
  </si>
  <si>
    <t>ELECTRIC BOILER DOOR GASKET</t>
  </si>
  <si>
    <t>'0621071</t>
  </si>
  <si>
    <t>THERMOSTATE 40 C- 2901145400</t>
  </si>
  <si>
    <t>'0621079</t>
  </si>
  <si>
    <t>GASKET SET</t>
  </si>
  <si>
    <t>'0621118</t>
  </si>
  <si>
    <t>"O"RING  20A11CM334</t>
  </si>
  <si>
    <t>'0621210</t>
  </si>
  <si>
    <t>FLUID ROTO 2901052200</t>
  </si>
  <si>
    <t>'0621240</t>
  </si>
  <si>
    <t>BUCKET FILTER MOC: AL.DIE CAST</t>
  </si>
  <si>
    <t>'0621262</t>
  </si>
  <si>
    <t>SEAL HTC-7</t>
  </si>
  <si>
    <t>'0621324</t>
  </si>
  <si>
    <t>FILTER ELEMENT</t>
  </si>
  <si>
    <t>'0621327</t>
  </si>
  <si>
    <t>RS Ultra Oil 20 litres can</t>
  </si>
  <si>
    <t>'0621330</t>
  </si>
  <si>
    <t>BRAKE DRUM FOR INDEF BABY</t>
  </si>
  <si>
    <t>'0621331</t>
  </si>
  <si>
    <t>PACKING RING FOR BRAKE DRUM</t>
  </si>
  <si>
    <t>'0626040</t>
  </si>
  <si>
    <t>NOZZLE HEATER 30W 240V</t>
  </si>
  <si>
    <t>'0629005</t>
  </si>
  <si>
    <t>SPOOL SEAL KIT FOR MODTECH PRE</t>
  </si>
  <si>
    <t>'0629018</t>
  </si>
  <si>
    <t>NOZZLE  "O" RING SET FOR 30 T.</t>
  </si>
  <si>
    <t>'0629024</t>
  </si>
  <si>
    <t>PRESSURE RELIEF VALVE</t>
  </si>
  <si>
    <t>'0629028</t>
  </si>
  <si>
    <t>PRESSURE SWITCH IPS 350-30</t>
  </si>
  <si>
    <t>'0629035</t>
  </si>
  <si>
    <t>NOZZLE SPRING IP270 TO 274</t>
  </si>
  <si>
    <t>'0629077</t>
  </si>
  <si>
    <t>NOZZLE WAX PISTON SEAL KIT</t>
  </si>
  <si>
    <t>'0629086</t>
  </si>
  <si>
    <t>SUCTION INJUCTION SEAL KIT</t>
  </si>
  <si>
    <t>'0629091</t>
  </si>
  <si>
    <t>TEMPERATURE CONTROLLER</t>
  </si>
  <si>
    <t>'0629099</t>
  </si>
  <si>
    <t>TEFLON BUSH FOR STIRROR ASSLY</t>
  </si>
  <si>
    <t>'0629120</t>
  </si>
  <si>
    <t>'0629172</t>
  </si>
  <si>
    <t>'0629176</t>
  </si>
  <si>
    <t>PLC FOR MODTECH PRESS</t>
  </si>
  <si>
    <t>'0629245</t>
  </si>
  <si>
    <t>SET OF DOWTY RING</t>
  </si>
  <si>
    <t>'0629247</t>
  </si>
  <si>
    <t>SUCTION VALVE RING PLATE</t>
  </si>
  <si>
    <t>'0629248</t>
  </si>
  <si>
    <t>DISCHARGE VALVE VALVE RING</t>
  </si>
  <si>
    <t>'0629249</t>
  </si>
  <si>
    <t>HALF SECTION BEARING STD</t>
  </si>
  <si>
    <t>'0629250</t>
  </si>
  <si>
    <t>COTTER PIN</t>
  </si>
  <si>
    <t>'0630001</t>
  </si>
  <si>
    <t>ELECTROLYTIC CAPACITOR 3300 MF</t>
  </si>
  <si>
    <t>'0630002</t>
  </si>
  <si>
    <t>ELECTROLYTIC CAP. 22000 MFD</t>
  </si>
  <si>
    <t>'0630003</t>
  </si>
  <si>
    <t>MARS SEAL FOR M. PUMP FEC00007</t>
  </si>
  <si>
    <t>'0630079</t>
  </si>
  <si>
    <t>TEMP. SENSOR 125øF 149-0731-5</t>
  </si>
  <si>
    <t>'0630080</t>
  </si>
  <si>
    <t>TEMP. SENSOR 135øF 149-0745-5</t>
  </si>
  <si>
    <t>'0630084</t>
  </si>
  <si>
    <t>Potential Sensor</t>
  </si>
  <si>
    <t>'0630085</t>
  </si>
  <si>
    <t>Potential sensor PT-2</t>
  </si>
  <si>
    <t>'0630096</t>
  </si>
  <si>
    <t>CARBON FREE HOSE PIPE 3/4" ID</t>
  </si>
  <si>
    <t>'0630108</t>
  </si>
  <si>
    <t>HYDRAULIC HOSE PIPE 3/8"X 24"</t>
  </si>
  <si>
    <t>'0630111</t>
  </si>
  <si>
    <t>PRESSURE SWITCH TYPE-PE-6</t>
  </si>
  <si>
    <t>'0631002</t>
  </si>
  <si>
    <t>PVC BEND 3/4"</t>
  </si>
  <si>
    <t>'0631011</t>
  </si>
  <si>
    <t>PVC ELBOW 1" BSP</t>
  </si>
  <si>
    <t>'0631017</t>
  </si>
  <si>
    <t>PVC REDUCER 1 1/2" x 1"</t>
  </si>
  <si>
    <t>'0631026</t>
  </si>
  <si>
    <t>PVC REDUCER 1" X 1/2"</t>
  </si>
  <si>
    <t>'0631036</t>
  </si>
  <si>
    <t>PVC PIPE 1 1/2" 2 PIPE (1 PIP</t>
  </si>
  <si>
    <t>'0631052</t>
  </si>
  <si>
    <t>1" UPVC MTA  BRASS</t>
  </si>
  <si>
    <t>'0631054</t>
  </si>
  <si>
    <t>1 1/2" UPVC UNION</t>
  </si>
  <si>
    <t>'0631065</t>
  </si>
  <si>
    <t>PVC SOCKET 1/2"</t>
  </si>
  <si>
    <t>'0631179</t>
  </si>
  <si>
    <t>1/2” UPVC FTA</t>
  </si>
  <si>
    <t>'0631187</t>
  </si>
  <si>
    <t>M.S. HEX REDUCER ¾”X1/2”</t>
  </si>
  <si>
    <t>'0631189</t>
  </si>
  <si>
    <t>UPVC SOLVENT 50ML</t>
  </si>
  <si>
    <t>'0631190</t>
  </si>
  <si>
    <t>ANGLE COCK</t>
  </si>
  <si>
    <t>'0631217</t>
  </si>
  <si>
    <t>Fluidomat Coupling</t>
  </si>
  <si>
    <t>'0631218</t>
  </si>
  <si>
    <t>PU PIPE 8 MM ID X 10 MM OD</t>
  </si>
  <si>
    <t>'0632037</t>
  </si>
  <si>
    <t>CHAIN 5/8" P.NO.11185 FOR 5CFT</t>
  </si>
  <si>
    <t>'0636016</t>
  </si>
  <si>
    <t>W.W.RESISTOR 120E 50WT-KIYOSH</t>
  </si>
  <si>
    <t>'0636018</t>
  </si>
  <si>
    <t>W.W. RESISTOR 30E 50W KIYOSH</t>
  </si>
  <si>
    <t>'0636063</t>
  </si>
  <si>
    <t>UNDER VOLTAGE COIL 110V</t>
  </si>
  <si>
    <t>'0636083</t>
  </si>
  <si>
    <t>FREQ.METER 0-4000HZ RL3200</t>
  </si>
  <si>
    <t>'0636105</t>
  </si>
  <si>
    <t>MCCB DT RATED  250 AMP TR-360A</t>
  </si>
  <si>
    <t>'0636107</t>
  </si>
  <si>
    <t>HYLUM SUPPORT</t>
  </si>
  <si>
    <t>'0636309</t>
  </si>
  <si>
    <t>SYNDANYA SHEET 500X520X50MM</t>
  </si>
  <si>
    <t>'0636326</t>
  </si>
  <si>
    <t>TEMP. SWITCH FMET1070 'HONEYWE</t>
  </si>
  <si>
    <t>'0636332</t>
  </si>
  <si>
    <t>COOLING TOWER FRP BASIN FOR</t>
  </si>
  <si>
    <t>'0638033</t>
  </si>
  <si>
    <t>SHAFT FOR PIT GAS CARBURISHING</t>
  </si>
  <si>
    <t>'0647014</t>
  </si>
  <si>
    <t>ROTOR PT NO.30008</t>
  </si>
  <si>
    <t>'0656195</t>
  </si>
  <si>
    <t>SUCTION FILTER AIR DRY TYPE</t>
  </si>
  <si>
    <t>'0701061</t>
  </si>
  <si>
    <t>FIX SPANNER 12MM X 13MM</t>
  </si>
  <si>
    <t>'0701078</t>
  </si>
  <si>
    <t>FIX SPANNER 24 X 27</t>
  </si>
  <si>
    <t>'0701081</t>
  </si>
  <si>
    <t>RING SPANNER 14 X 15</t>
  </si>
  <si>
    <t>'0701083</t>
  </si>
  <si>
    <t>RING SPANNER 6 X 7</t>
  </si>
  <si>
    <t>'0701084</t>
  </si>
  <si>
    <t>RING SPANNER  8 X 9</t>
  </si>
  <si>
    <t>'0701085</t>
  </si>
  <si>
    <t>RING SPANNER  10 X11</t>
  </si>
  <si>
    <t>'0701089</t>
  </si>
  <si>
    <t>RING SPANNER 3/8"X1/2"</t>
  </si>
  <si>
    <t>'0701090</t>
  </si>
  <si>
    <t>FIX SPANNER 3/8"X1/2"</t>
  </si>
  <si>
    <t>'0702014</t>
  </si>
  <si>
    <t>SCREW DRIVER NO 827</t>
  </si>
  <si>
    <t>'0702015</t>
  </si>
  <si>
    <t>SCREW DRIVER 8" NO 825</t>
  </si>
  <si>
    <t>'0706094</t>
  </si>
  <si>
    <t>REVOLVING CENTER</t>
  </si>
  <si>
    <t>'0706341</t>
  </si>
  <si>
    <t>SPL THREAD PLUG GAUGE</t>
  </si>
  <si>
    <t>'0801057</t>
  </si>
  <si>
    <t>HSS TOOL BITS 1/2" X 1/2"X 6"</t>
  </si>
  <si>
    <t>'0802009</t>
  </si>
  <si>
    <t>HSS DRILL 2.4MM TWIST</t>
  </si>
  <si>
    <t>'0802014</t>
  </si>
  <si>
    <t>HSS CENTRE DRILL SIZE-3/16"X 7</t>
  </si>
  <si>
    <t>'0802017</t>
  </si>
  <si>
    <t>HSS DRILL 7MM</t>
  </si>
  <si>
    <t>'0802022</t>
  </si>
  <si>
    <t>HSS DRILL 9MM</t>
  </si>
  <si>
    <t>'0802024</t>
  </si>
  <si>
    <t>HSS DRILL BIT 10MM</t>
  </si>
  <si>
    <t>'0802027</t>
  </si>
  <si>
    <t>HSS DRILL 6.1 TO 6.5 MM</t>
  </si>
  <si>
    <t>'0802044</t>
  </si>
  <si>
    <t>HSS DRILL 8.2 MM</t>
  </si>
  <si>
    <t>'0802052</t>
  </si>
  <si>
    <t>HSS DRILL 4MM</t>
  </si>
  <si>
    <t>'0802064</t>
  </si>
  <si>
    <t>HSS DRILL 3.2MM</t>
  </si>
  <si>
    <t>'0802068</t>
  </si>
  <si>
    <t>HSS DRILL 13MM</t>
  </si>
  <si>
    <t>'0802078</t>
  </si>
  <si>
    <t>HSS DRILL 2.5 MM DIA</t>
  </si>
  <si>
    <t>'0802096</t>
  </si>
  <si>
    <t>MASSONERY DRILL 3/4</t>
  </si>
  <si>
    <t>'0802115</t>
  </si>
  <si>
    <t>HSS CENTRE DRILL 3/32"X1/4"</t>
  </si>
  <si>
    <t>'0802119</t>
  </si>
  <si>
    <t>HSS DRILL DIA 9.5</t>
  </si>
  <si>
    <t>'0802141</t>
  </si>
  <si>
    <t>H.S.S.DRILL 5MM</t>
  </si>
  <si>
    <t>'0802162</t>
  </si>
  <si>
    <t>HSS DRILL 10.5 MM DIA</t>
  </si>
  <si>
    <t>'0802166</t>
  </si>
  <si>
    <t>HSS DRILL 11 MM DIA</t>
  </si>
  <si>
    <t>'0802169</t>
  </si>
  <si>
    <t xml:space="preserve"> H.S.S DRILL P/S  5.2 MM</t>
  </si>
  <si>
    <t>'0802199</t>
  </si>
  <si>
    <t>HSS DRILL  DIA 12 MM</t>
  </si>
  <si>
    <t>'0802305</t>
  </si>
  <si>
    <t>MASONARY DRILL 1/4"</t>
  </si>
  <si>
    <t>'0804003</t>
  </si>
  <si>
    <t>TAP SET 1/4 BSW</t>
  </si>
  <si>
    <t>'0804042</t>
  </si>
  <si>
    <t xml:space="preserve">  TAP SET 5/16" BSW</t>
  </si>
  <si>
    <t>'0805045</t>
  </si>
  <si>
    <t>HSS MACHINE REAMER 45/64 "</t>
  </si>
  <si>
    <t>'0806008</t>
  </si>
  <si>
    <t>HSS HAND REAMER 5MM</t>
  </si>
  <si>
    <t>'0806085</t>
  </si>
  <si>
    <t>HSS MACHINE REAMER 12 MM</t>
  </si>
  <si>
    <t>'0806095</t>
  </si>
  <si>
    <t>HSS TAPER SHANK REAMER 8.1MM</t>
  </si>
  <si>
    <t>'0806126</t>
  </si>
  <si>
    <t>HSS M/C REAMER 9.25MM</t>
  </si>
  <si>
    <t>'0806161</t>
  </si>
  <si>
    <t>H.S.S T/S REAMER 11.25 MM DIA.</t>
  </si>
  <si>
    <t>'0806280</t>
  </si>
  <si>
    <t>HSS REAMER 6.08 +0.01 P/S</t>
  </si>
  <si>
    <t>'0807004</t>
  </si>
  <si>
    <t>H.S.S.HACKSAW BLADE 18"</t>
  </si>
  <si>
    <t>'0808002</t>
  </si>
  <si>
    <t>FLAT  FILE  6"  ROUGH</t>
  </si>
  <si>
    <t>'0808009</t>
  </si>
  <si>
    <t>SQUARE  FILE  8"  ROUGH</t>
  </si>
  <si>
    <t>'0808023</t>
  </si>
  <si>
    <t>TRINGULAR FILE 6" ROUGH</t>
  </si>
  <si>
    <t>'0901183</t>
  </si>
  <si>
    <t>SECONDARY STANDARD FOR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</si>
</sst>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_-* #,##0.00_-;\-* #,##0.00_-;_-* &quot;-&quot;??_-;_-@_-"/>
    <numFmt numFmtId="166" formatCode="0.000"/>
    <numFmt numFmtId="167" formatCode="0.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Calibri"/>
      <family val="2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7030A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color rgb="FFFFFFFF"/>
      <name val="Calibri"/>
    </font>
    <font>
      <b/>
      <sz val="11"/>
      <color rgb="FF1F3864"/>
      <name val="Calibri"/>
    </font>
    <font>
      <sz val="10"/>
      <name val="Calibri"/>
    </font>
    <font>
      <i/>
      <sz val="9"/>
      <color rgb="FF808080"/>
      <name val="Calibri"/>
    </font>
    <font>
      <b/>
      <sz val="16"/>
      <color rgb="FFFFFFFF"/>
      <name val="Calibri"/>
    </font>
    <font>
      <b/>
      <sz val="13"/>
      <color rgb="FFFFFFFF"/>
      <name val="Calibri"/>
    </font>
    <font>
      <b/>
      <sz val="10"/>
      <name val="Calibri"/>
    </font>
    <font>
      <i/>
      <sz val="9"/>
      <color rgb="FF555555"/>
      <name val="Calibri"/>
    </font>
    <font>
      <i/>
      <sz val="9"/>
      <color rgb="FFC00000"/>
      <name val="Calibri"/>
    </font>
    <font>
      <sz val="9"/>
      <color rgb="FF006600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ACBD2"/>
        <bgColor indexed="64"/>
      </patternFill>
    </fill>
    <fill>
      <patternFill patternType="solid">
        <fgColor rgb="FF53A1B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EC"/>
        <bgColor rgb="FFFCE4EC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99">
    <xf numFmtId="0" fontId="0" fillId="0" borderId="0"/>
    <xf numFmtId="164" fontId="1" fillId="0" borderId="0"/>
    <xf numFmtId="9" fontId="1" fillId="0" borderId="0"/>
    <xf numFmtId="0" fontId="11" fillId="0" borderId="0"/>
    <xf numFmtId="0" fontId="12" fillId="2" borderId="0"/>
    <xf numFmtId="165" fontId="1" fillId="0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2" fillId="0" borderId="0"/>
    <xf numFmtId="0" fontId="3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  <xf numFmtId="164" fontId="1" fillId="0" borderId="0"/>
  </cellStyleXfs>
  <cellXfs count="202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1" applyFont="1"/>
    <xf numFmtId="0" fontId="13" fillId="0" borderId="0" xfId="0" applyFont="1"/>
    <xf numFmtId="164" fontId="0" fillId="0" borderId="0" xfId="0" applyNumberFormat="1"/>
    <xf numFmtId="14" fontId="0" fillId="0" borderId="0" xfId="0" applyNumberFormat="1"/>
    <xf numFmtId="0" fontId="5" fillId="0" borderId="0" xfId="0" applyFont="1"/>
    <xf numFmtId="0" fontId="5" fillId="14" borderId="0" xfId="0" applyFont="1" applyFill="1"/>
    <xf numFmtId="0" fontId="5" fillId="15" borderId="0" xfId="0" applyFont="1" applyFill="1"/>
    <xf numFmtId="0" fontId="17" fillId="0" borderId="0" xfId="2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164" fontId="0" fillId="0" borderId="0" xfId="0" applyNumberFormat="1" applyProtection="1">
      <protection locked="0"/>
    </xf>
    <xf numFmtId="0" fontId="0" fillId="16" borderId="0" xfId="0" applyFill="1" applyProtection="1">
      <protection locked="0"/>
    </xf>
    <xf numFmtId="0" fontId="0" fillId="0" borderId="0" xfId="0" applyAlignment="1">
      <alignment horizontal="left"/>
    </xf>
    <xf numFmtId="9" fontId="0" fillId="0" borderId="0" xfId="1" applyNumberFormat="1" applyFont="1"/>
    <xf numFmtId="0" fontId="5" fillId="0" borderId="0" xfId="0" applyFont="1" applyProtection="1">
      <protection locked="0"/>
    </xf>
    <xf numFmtId="0" fontId="4" fillId="17" borderId="2" xfId="0" applyFont="1" applyFill="1" applyBorder="1" applyAlignment="1" applyProtection="1">
      <alignment horizontal="left" vertical="center"/>
      <protection locked="0"/>
    </xf>
    <xf numFmtId="0" fontId="4" fillId="19" borderId="2" xfId="0" applyFont="1" applyFill="1" applyBorder="1" applyAlignment="1" applyProtection="1">
      <alignment vertical="center"/>
      <protection locked="0"/>
    </xf>
    <xf numFmtId="0" fontId="0" fillId="0" borderId="5" xfId="0" applyBorder="1"/>
    <xf numFmtId="0" fontId="0" fillId="0" borderId="6" xfId="0" applyBorder="1"/>
    <xf numFmtId="0" fontId="24" fillId="0" borderId="7" xfId="0" applyFont="1" applyBorder="1" applyAlignment="1">
      <alignment horizontal="center" vertical="center"/>
    </xf>
    <xf numFmtId="0" fontId="24" fillId="23" borderId="8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24" fillId="0" borderId="10" xfId="0" applyFont="1" applyBorder="1" applyAlignment="1">
      <alignment horizontal="center" vertical="center"/>
    </xf>
    <xf numFmtId="0" fontId="24" fillId="24" borderId="10" xfId="0" applyFont="1" applyFill="1" applyBorder="1" applyAlignment="1">
      <alignment horizontal="center" vertical="center"/>
    </xf>
    <xf numFmtId="0" fontId="24" fillId="23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5" fillId="0" borderId="0" xfId="0" applyFont="1" applyAlignment="1">
      <alignment vertical="center"/>
    </xf>
    <xf numFmtId="167" fontId="0" fillId="0" borderId="0" xfId="0" applyNumberFormat="1" applyProtection="1">
      <protection locked="0"/>
    </xf>
    <xf numFmtId="0" fontId="0" fillId="9" borderId="0" xfId="0" applyFill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29" fillId="27" borderId="12" xfId="0" applyFont="1" applyFill="1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31" fillId="0" borderId="12" xfId="0" applyFont="1" applyBorder="1"/>
    <xf numFmtId="0" fontId="31" fillId="29" borderId="12" xfId="0" applyFont="1" applyFill="1" applyBorder="1"/>
    <xf numFmtId="0" fontId="32" fillId="0" borderId="12" xfId="0" applyFont="1" applyBorder="1"/>
    <xf numFmtId="166" fontId="0" fillId="0" borderId="0" xfId="0" applyNumberFormat="1" applyProtection="1">
      <protection locked="0"/>
    </xf>
    <xf numFmtId="0" fontId="0" fillId="30" borderId="0" xfId="0" applyFill="1" applyProtection="1">
      <protection locked="0"/>
    </xf>
    <xf numFmtId="0" fontId="35" fillId="0" borderId="12" xfId="0" applyFont="1" applyBorder="1"/>
    <xf numFmtId="0" fontId="36" fillId="0" borderId="12" xfId="0" applyFont="1" applyBorder="1"/>
    <xf numFmtId="0" fontId="35" fillId="30" borderId="12" xfId="0" applyFont="1" applyFill="1" applyBorder="1"/>
    <xf numFmtId="0" fontId="35" fillId="28" borderId="12" xfId="0" applyFont="1" applyFill="1" applyBorder="1"/>
    <xf numFmtId="0" fontId="35" fillId="31" borderId="12" xfId="0" applyFont="1" applyFill="1" applyBorder="1"/>
    <xf numFmtId="0" fontId="31" fillId="30" borderId="12" xfId="0" applyFont="1" applyFill="1" applyBorder="1"/>
    <xf numFmtId="0" fontId="31" fillId="32" borderId="12" xfId="0" applyFont="1" applyFill="1" applyBorder="1"/>
    <xf numFmtId="0" fontId="37" fillId="0" borderId="12" xfId="0" applyFont="1" applyBorder="1"/>
    <xf numFmtId="0" fontId="35" fillId="32" borderId="12" xfId="0" applyFont="1" applyFill="1" applyBorder="1"/>
    <xf numFmtId="0" fontId="38" fillId="0" borderId="12" xfId="0" applyFont="1" applyBorder="1"/>
    <xf numFmtId="165" fontId="13" fillId="0" borderId="0" xfId="5" applyFont="1"/>
    <xf numFmtId="0" fontId="8" fillId="9" borderId="12" xfId="0" applyFont="1" applyFill="1" applyBorder="1" applyAlignment="1" applyProtection="1">
      <alignment horizontal="center" vertical="center"/>
      <protection locked="0"/>
    </xf>
    <xf numFmtId="49" fontId="10" fillId="30" borderId="12" xfId="0" applyNumberFormat="1" applyFont="1" applyFill="1" applyBorder="1" applyAlignment="1" applyProtection="1">
      <alignment horizontal="center" vertical="center"/>
      <protection locked="0"/>
    </xf>
    <xf numFmtId="0" fontId="0" fillId="9" borderId="12" xfId="0" applyFill="1" applyBorder="1" applyAlignment="1" applyProtection="1">
      <alignment horizontal="center" vertical="center"/>
      <protection locked="0"/>
    </xf>
    <xf numFmtId="0" fontId="0" fillId="30" borderId="12" xfId="0" applyFill="1" applyBorder="1" applyAlignment="1" applyProtection="1">
      <alignment horizontal="center" vertical="center"/>
      <protection locked="0"/>
    </xf>
    <xf numFmtId="14" fontId="0" fillId="30" borderId="12" xfId="0" applyNumberForma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9" borderId="12" xfId="0" applyFill="1" applyBorder="1" applyProtection="1">
      <protection locked="0"/>
    </xf>
    <xf numFmtId="0" fontId="0" fillId="30" borderId="12" xfId="0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0" fillId="30" borderId="12" xfId="0" quotePrefix="1" applyFill="1" applyBorder="1" applyAlignment="1" applyProtection="1">
      <alignment horizontal="center" vertical="center"/>
      <protection locked="0"/>
    </xf>
    <xf numFmtId="0" fontId="0" fillId="30" borderId="12" xfId="0" applyFill="1" applyBorder="1" applyProtection="1">
      <protection locked="0"/>
    </xf>
    <xf numFmtId="0" fontId="0" fillId="9" borderId="12" xfId="0" applyFill="1" applyBorder="1" applyAlignment="1" applyProtection="1">
      <alignment horizontal="center"/>
      <protection locked="0"/>
    </xf>
    <xf numFmtId="0" fontId="0" fillId="11" borderId="12" xfId="0" applyFill="1" applyBorder="1" applyAlignment="1" applyProtection="1">
      <alignment horizontal="center"/>
      <protection locked="0"/>
    </xf>
    <xf numFmtId="0" fontId="26" fillId="30" borderId="12" xfId="0" applyFont="1" applyFill="1" applyBorder="1" applyProtection="1">
      <protection locked="0"/>
    </xf>
    <xf numFmtId="0" fontId="26" fillId="0" borderId="12" xfId="0" applyFont="1" applyBorder="1" applyProtection="1">
      <protection locked="0"/>
    </xf>
    <xf numFmtId="2" fontId="26" fillId="30" borderId="12" xfId="0" applyNumberFormat="1" applyFont="1" applyFill="1" applyBorder="1" applyProtection="1">
      <protection locked="0"/>
    </xf>
    <xf numFmtId="0" fontId="9" fillId="9" borderId="12" xfId="0" applyFont="1" applyFill="1" applyBorder="1" applyAlignment="1">
      <alignment horizontal="center"/>
    </xf>
    <xf numFmtId="0" fontId="0" fillId="0" borderId="12" xfId="0" quotePrefix="1" applyBorder="1"/>
    <xf numFmtId="164" fontId="0" fillId="0" borderId="12" xfId="1" applyFont="1" applyBorder="1"/>
    <xf numFmtId="164" fontId="0" fillId="12" borderId="12" xfId="1" applyFont="1" applyFill="1" applyBorder="1"/>
    <xf numFmtId="164" fontId="0" fillId="0" borderId="12" xfId="94" applyFont="1" applyBorder="1"/>
    <xf numFmtId="0" fontId="0" fillId="9" borderId="12" xfId="0" applyFill="1" applyBorder="1" applyAlignment="1">
      <alignment horizontal="center" vertical="center" wrapText="1"/>
    </xf>
    <xf numFmtId="0" fontId="0" fillId="0" borderId="12" xfId="0" applyBorder="1" applyAlignment="1" applyProtection="1">
      <alignment horizontal="center"/>
      <protection locked="0"/>
    </xf>
    <xf numFmtId="0" fontId="0" fillId="9" borderId="12" xfId="0" applyFill="1" applyBorder="1" applyAlignment="1" applyProtection="1">
      <alignment horizontal="left"/>
      <protection locked="0"/>
    </xf>
    <xf numFmtId="166" fontId="0" fillId="12" borderId="12" xfId="0" applyNumberFormat="1" applyFill="1" applyBorder="1" applyAlignment="1">
      <alignment horizontal="center"/>
    </xf>
    <xf numFmtId="166" fontId="0" fillId="30" borderId="12" xfId="0" applyNumberFormat="1" applyFill="1" applyBorder="1" applyAlignment="1" applyProtection="1">
      <alignment horizontal="center"/>
      <protection locked="0"/>
    </xf>
    <xf numFmtId="0" fontId="0" fillId="12" borderId="12" xfId="0" applyFill="1" applyBorder="1" applyAlignment="1">
      <alignment horizontal="center"/>
    </xf>
    <xf numFmtId="0" fontId="0" fillId="9" borderId="12" xfId="0" applyFill="1" applyBorder="1" applyAlignment="1" applyProtection="1">
      <alignment horizontal="center" vertical="center" wrapText="1"/>
      <protection locked="0"/>
    </xf>
    <xf numFmtId="9" fontId="0" fillId="0" borderId="12" xfId="0" applyNumberFormat="1" applyBorder="1" applyAlignment="1" applyProtection="1">
      <alignment horizontal="center"/>
      <protection locked="0"/>
    </xf>
    <xf numFmtId="2" fontId="0" fillId="12" borderId="12" xfId="0" applyNumberFormat="1" applyFill="1" applyBorder="1"/>
    <xf numFmtId="0" fontId="5" fillId="16" borderId="12" xfId="0" applyFont="1" applyFill="1" applyBorder="1" applyAlignment="1" applyProtection="1">
      <alignment horizontal="center" vertical="center" wrapText="1"/>
      <protection locked="0"/>
    </xf>
    <xf numFmtId="0" fontId="5" fillId="9" borderId="12" xfId="0" applyFont="1" applyFill="1" applyBorder="1" applyAlignment="1" applyProtection="1">
      <alignment horizontal="center" vertical="center" wrapText="1"/>
      <protection locked="0"/>
    </xf>
    <xf numFmtId="9" fontId="0" fillId="0" borderId="12" xfId="2" applyFont="1" applyBorder="1" applyProtection="1">
      <protection locked="0"/>
    </xf>
    <xf numFmtId="164" fontId="0" fillId="12" borderId="12" xfId="1" applyFont="1" applyFill="1" applyBorder="1" applyProtection="1">
      <protection locked="0"/>
    </xf>
    <xf numFmtId="0" fontId="5" fillId="9" borderId="12" xfId="0" applyFont="1" applyFill="1" applyBorder="1" applyAlignment="1" applyProtection="1">
      <alignment horizontal="left" vertical="center" wrapText="1"/>
      <protection locked="0"/>
    </xf>
    <xf numFmtId="166" fontId="0" fillId="12" borderId="12" xfId="0" applyNumberFormat="1" applyFill="1" applyBorder="1"/>
    <xf numFmtId="0" fontId="5" fillId="9" borderId="12" xfId="0" applyFont="1" applyFill="1" applyBorder="1" applyAlignment="1" applyProtection="1">
      <alignment horizontal="left"/>
      <protection locked="0"/>
    </xf>
    <xf numFmtId="166" fontId="0" fillId="0" borderId="12" xfId="0" applyNumberFormat="1" applyBorder="1" applyProtection="1">
      <protection locked="0"/>
    </xf>
    <xf numFmtId="0" fontId="5" fillId="9" borderId="12" xfId="0" applyFont="1" applyFill="1" applyBorder="1" applyProtection="1">
      <protection locked="0"/>
    </xf>
    <xf numFmtId="0" fontId="5" fillId="0" borderId="12" xfId="0" applyFont="1" applyBorder="1" applyProtection="1">
      <protection locked="0"/>
    </xf>
    <xf numFmtId="164" fontId="0" fillId="0" borderId="12" xfId="1" applyFont="1" applyBorder="1" applyProtection="1">
      <protection locked="0"/>
    </xf>
    <xf numFmtId="9" fontId="0" fillId="0" borderId="12" xfId="1" applyNumberFormat="1" applyFont="1" applyBorder="1" applyProtection="1">
      <protection locked="0"/>
    </xf>
    <xf numFmtId="0" fontId="16" fillId="18" borderId="12" xfId="0" applyFont="1" applyFill="1" applyBorder="1" applyAlignment="1" applyProtection="1">
      <alignment horizontal="center" vertical="center"/>
      <protection locked="0"/>
    </xf>
    <xf numFmtId="164" fontId="16" fillId="18" borderId="12" xfId="1" applyFont="1" applyFill="1" applyBorder="1" applyAlignment="1" applyProtection="1">
      <alignment horizontal="center" vertical="center"/>
      <protection locked="0"/>
    </xf>
    <xf numFmtId="164" fontId="16" fillId="18" borderId="12" xfId="1" applyFont="1" applyFill="1" applyBorder="1" applyAlignment="1">
      <alignment horizontal="center" vertical="center"/>
    </xf>
    <xf numFmtId="0" fontId="5" fillId="9" borderId="12" xfId="0" applyFont="1" applyFill="1" applyBorder="1" applyAlignment="1" applyProtection="1">
      <alignment vertical="center"/>
      <protection locked="0"/>
    </xf>
    <xf numFmtId="0" fontId="0" fillId="12" borderId="12" xfId="0" applyFill="1" applyBorder="1" applyProtection="1">
      <protection locked="0"/>
    </xf>
    <xf numFmtId="9" fontId="0" fillId="12" borderId="12" xfId="2" applyFont="1" applyFill="1" applyBorder="1" applyAlignment="1">
      <alignment horizontal="center"/>
    </xf>
    <xf numFmtId="164" fontId="0" fillId="21" borderId="12" xfId="1" applyFont="1" applyFill="1" applyBorder="1"/>
    <xf numFmtId="0" fontId="6" fillId="19" borderId="12" xfId="0" applyFont="1" applyFill="1" applyBorder="1" applyAlignment="1" applyProtection="1">
      <alignment vertical="center"/>
      <protection locked="0"/>
    </xf>
    <xf numFmtId="164" fontId="6" fillId="19" borderId="12" xfId="1" applyFont="1" applyFill="1" applyBorder="1" applyAlignment="1" applyProtection="1">
      <alignment vertical="center"/>
      <protection locked="0"/>
    </xf>
    <xf numFmtId="164" fontId="6" fillId="19" borderId="12" xfId="1" applyFont="1" applyFill="1" applyBorder="1" applyAlignment="1">
      <alignment vertical="center"/>
    </xf>
    <xf numFmtId="164" fontId="0" fillId="25" borderId="12" xfId="1" applyFont="1" applyFill="1" applyBorder="1" applyAlignment="1" applyProtection="1">
      <alignment vertical="center"/>
      <protection locked="0"/>
    </xf>
    <xf numFmtId="164" fontId="0" fillId="12" borderId="12" xfId="1" applyFont="1" applyFill="1" applyBorder="1" applyAlignment="1">
      <alignment vertical="center"/>
    </xf>
    <xf numFmtId="164" fontId="0" fillId="0" borderId="12" xfId="1" applyFont="1" applyBorder="1" applyAlignment="1" applyProtection="1">
      <alignment vertical="center"/>
      <protection locked="0"/>
    </xf>
    <xf numFmtId="0" fontId="16" fillId="19" borderId="12" xfId="0" applyFont="1" applyFill="1" applyBorder="1" applyAlignment="1" applyProtection="1">
      <alignment vertical="center"/>
      <protection locked="0"/>
    </xf>
    <xf numFmtId="164" fontId="16" fillId="19" borderId="12" xfId="1" applyFont="1" applyFill="1" applyBorder="1" applyAlignment="1" applyProtection="1">
      <alignment vertical="center"/>
      <protection locked="0"/>
    </xf>
    <xf numFmtId="164" fontId="16" fillId="19" borderId="12" xfId="1" applyFont="1" applyFill="1" applyBorder="1" applyAlignment="1">
      <alignment vertical="center"/>
    </xf>
    <xf numFmtId="0" fontId="0" fillId="11" borderId="12" xfId="0" applyFill="1" applyBorder="1" applyAlignment="1" applyProtection="1">
      <alignment horizontal="left"/>
      <protection locked="0"/>
    </xf>
    <xf numFmtId="2" fontId="0" fillId="0" borderId="12" xfId="0" applyNumberFormat="1" applyBorder="1" applyProtection="1">
      <protection locked="0"/>
    </xf>
    <xf numFmtId="164" fontId="0" fillId="12" borderId="12" xfId="0" applyNumberFormat="1" applyFill="1" applyBorder="1"/>
    <xf numFmtId="0" fontId="0" fillId="0" borderId="12" xfId="0" applyBorder="1" applyAlignment="1">
      <alignment horizontal="center" vertical="center"/>
    </xf>
    <xf numFmtId="0" fontId="0" fillId="9" borderId="12" xfId="0" applyFill="1" applyBorder="1"/>
    <xf numFmtId="164" fontId="0" fillId="9" borderId="12" xfId="0" applyNumberFormat="1" applyFill="1" applyBorder="1"/>
    <xf numFmtId="164" fontId="4" fillId="19" borderId="12" xfId="1" applyFont="1" applyFill="1" applyBorder="1" applyAlignment="1">
      <alignment vertical="center"/>
    </xf>
    <xf numFmtId="9" fontId="21" fillId="12" borderId="12" xfId="2" applyFont="1" applyFill="1" applyBorder="1" applyAlignment="1" applyProtection="1">
      <alignment horizontal="center" vertical="center"/>
      <protection locked="0"/>
    </xf>
    <xf numFmtId="164" fontId="4" fillId="17" borderId="12" xfId="1" applyFont="1" applyFill="1" applyBorder="1" applyAlignment="1">
      <alignment horizontal="left" vertical="center"/>
    </xf>
    <xf numFmtId="9" fontId="21" fillId="12" borderId="12" xfId="2" applyFont="1" applyFill="1" applyBorder="1" applyAlignment="1" applyProtection="1">
      <alignment horizontal="right" vertical="center"/>
      <protection locked="0"/>
    </xf>
    <xf numFmtId="0" fontId="0" fillId="12" borderId="12" xfId="0" applyFill="1" applyBorder="1" applyAlignment="1" applyProtection="1">
      <alignment horizontal="center"/>
      <protection locked="0"/>
    </xf>
    <xf numFmtId="9" fontId="0" fillId="0" borderId="12" xfId="0" applyNumberFormat="1" applyBorder="1" applyAlignment="1" applyProtection="1">
      <alignment horizontal="center" vertical="center"/>
      <protection locked="0"/>
    </xf>
    <xf numFmtId="0" fontId="18" fillId="17" borderId="12" xfId="0" applyFont="1" applyFill="1" applyBorder="1" applyAlignment="1" applyProtection="1">
      <alignment horizontal="center" vertical="center"/>
      <protection locked="0"/>
    </xf>
    <xf numFmtId="164" fontId="4" fillId="17" borderId="12" xfId="1" applyFont="1" applyFill="1" applyBorder="1" applyAlignment="1">
      <alignment vertical="center"/>
    </xf>
    <xf numFmtId="0" fontId="18" fillId="9" borderId="12" xfId="0" applyFont="1" applyFill="1" applyBorder="1" applyAlignment="1" applyProtection="1">
      <alignment horizontal="center" vertical="center"/>
      <protection locked="0"/>
    </xf>
    <xf numFmtId="0" fontId="18" fillId="16" borderId="12" xfId="0" applyFont="1" applyFill="1" applyBorder="1" applyAlignment="1" applyProtection="1">
      <alignment horizontal="center" vertical="center" wrapText="1"/>
      <protection locked="0"/>
    </xf>
    <xf numFmtId="164" fontId="19" fillId="16" borderId="12" xfId="1" applyFont="1" applyFill="1" applyBorder="1" applyAlignment="1">
      <alignment horizontal="center" vertical="center"/>
    </xf>
    <xf numFmtId="2" fontId="0" fillId="30" borderId="12" xfId="0" applyNumberFormat="1" applyFill="1" applyBorder="1" applyProtection="1">
      <protection locked="0"/>
    </xf>
    <xf numFmtId="2" fontId="0" fillId="30" borderId="12" xfId="0" applyNumberFormat="1" applyFill="1" applyBorder="1" applyAlignment="1" applyProtection="1">
      <alignment horizontal="right"/>
      <protection locked="0"/>
    </xf>
    <xf numFmtId="0" fontId="27" fillId="0" borderId="12" xfId="0" applyFont="1" applyBorder="1" applyProtection="1">
      <protection locked="0"/>
    </xf>
    <xf numFmtId="2" fontId="27" fillId="0" borderId="12" xfId="0" applyNumberFormat="1" applyFont="1" applyBorder="1" applyProtection="1">
      <protection locked="0"/>
    </xf>
    <xf numFmtId="2" fontId="5" fillId="0" borderId="12" xfId="0" applyNumberFormat="1" applyFont="1" applyBorder="1" applyProtection="1">
      <protection locked="0"/>
    </xf>
    <xf numFmtId="0" fontId="5" fillId="16" borderId="12" xfId="0" applyFont="1" applyFill="1" applyBorder="1" applyAlignment="1">
      <alignment horizontal="center"/>
    </xf>
    <xf numFmtId="0" fontId="5" fillId="22" borderId="12" xfId="0" applyFont="1" applyFill="1" applyBorder="1" applyAlignment="1">
      <alignment horizontal="center"/>
    </xf>
    <xf numFmtId="0" fontId="5" fillId="20" borderId="12" xfId="0" applyFont="1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16" borderId="12" xfId="0" applyFill="1" applyBorder="1" applyAlignment="1">
      <alignment horizontal="center"/>
    </xf>
    <xf numFmtId="0" fontId="0" fillId="20" borderId="1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23" fillId="0" borderId="12" xfId="86" applyFont="1" applyBorder="1" applyAlignment="1">
      <alignment vertical="center"/>
    </xf>
    <xf numFmtId="0" fontId="0" fillId="0" borderId="12" xfId="0" applyBorder="1" applyAlignment="1">
      <alignment horizontal="left"/>
    </xf>
    <xf numFmtId="0" fontId="23" fillId="0" borderId="12" xfId="77" applyFont="1" applyBorder="1" applyAlignment="1">
      <alignment vertical="center" wrapText="1"/>
    </xf>
    <xf numFmtId="166" fontId="0" fillId="0" borderId="12" xfId="0" applyNumberFormat="1" applyBorder="1"/>
    <xf numFmtId="0" fontId="23" fillId="0" borderId="12" xfId="87" applyFont="1" applyBorder="1" applyAlignment="1">
      <alignment vertical="center" wrapText="1"/>
    </xf>
    <xf numFmtId="0" fontId="23" fillId="0" borderId="12" xfId="21" applyFont="1" applyBorder="1" applyAlignment="1">
      <alignment vertical="center" wrapText="1"/>
    </xf>
    <xf numFmtId="0" fontId="23" fillId="0" borderId="12" xfId="22" applyFont="1" applyBorder="1" applyAlignment="1">
      <alignment vertical="center" wrapText="1"/>
    </xf>
    <xf numFmtId="0" fontId="23" fillId="0" borderId="12" xfId="23" applyFont="1" applyBorder="1" applyAlignment="1">
      <alignment vertical="center" wrapText="1"/>
    </xf>
    <xf numFmtId="0" fontId="14" fillId="0" borderId="12" xfId="0" applyFont="1" applyBorder="1" applyAlignment="1">
      <alignment vertical="center"/>
    </xf>
    <xf numFmtId="165" fontId="14" fillId="0" borderId="12" xfId="5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165" fontId="0" fillId="0" borderId="12" xfId="5" applyFont="1" applyBorder="1"/>
    <xf numFmtId="0" fontId="14" fillId="0" borderId="12" xfId="0" applyFont="1" applyBorder="1" applyAlignment="1">
      <alignment horizontal="center" vertical="center"/>
    </xf>
    <xf numFmtId="0" fontId="14" fillId="0" borderId="12" xfId="0" quotePrefix="1" applyFont="1" applyBorder="1" applyAlignment="1">
      <alignment horizontal="center" vertical="center"/>
    </xf>
    <xf numFmtId="165" fontId="14" fillId="0" borderId="12" xfId="5" applyFont="1" applyBorder="1" applyAlignment="1">
      <alignment horizontal="center" vertical="center"/>
    </xf>
    <xf numFmtId="165" fontId="0" fillId="9" borderId="12" xfId="0" applyNumberFormat="1" applyFill="1" applyBorder="1" applyAlignment="1">
      <alignment horizontal="center" vertical="center" wrapText="1"/>
    </xf>
    <xf numFmtId="165" fontId="0" fillId="0" borderId="12" xfId="0" applyNumberFormat="1" applyBorder="1"/>
    <xf numFmtId="0" fontId="14" fillId="0" borderId="12" xfId="0" applyFont="1" applyBorder="1" applyAlignment="1">
      <alignment horizontal="center" vertical="center" wrapText="1"/>
    </xf>
    <xf numFmtId="0" fontId="14" fillId="13" borderId="12" xfId="0" applyFont="1" applyFill="1" applyBorder="1" applyAlignment="1">
      <alignment horizontal="center" vertical="center"/>
    </xf>
    <xf numFmtId="165" fontId="14" fillId="13" borderId="12" xfId="5" applyFont="1" applyFill="1" applyBorder="1" applyAlignment="1">
      <alignment horizontal="center" vertical="center"/>
    </xf>
    <xf numFmtId="0" fontId="13" fillId="0" borderId="12" xfId="0" applyFont="1" applyBorder="1"/>
    <xf numFmtId="165" fontId="13" fillId="0" borderId="12" xfId="5" applyFont="1" applyBorder="1"/>
    <xf numFmtId="0" fontId="14" fillId="0" borderId="12" xfId="0" applyFont="1" applyBorder="1" applyAlignment="1">
      <alignment vertical="center" wrapText="1"/>
    </xf>
    <xf numFmtId="165" fontId="14" fillId="0" borderId="12" xfId="5" applyFont="1" applyBorder="1" applyAlignment="1">
      <alignment horizontal="right" vertical="center"/>
    </xf>
    <xf numFmtId="0" fontId="14" fillId="13" borderId="12" xfId="0" applyFont="1" applyFill="1" applyBorder="1" applyAlignment="1">
      <alignment vertical="center"/>
    </xf>
    <xf numFmtId="165" fontId="14" fillId="13" borderId="12" xfId="5" applyFont="1" applyFill="1" applyBorder="1" applyAlignment="1">
      <alignment horizontal="right" vertical="center"/>
    </xf>
    <xf numFmtId="9" fontId="0" fillId="0" borderId="12" xfId="1" applyNumberFormat="1" applyFont="1" applyBorder="1"/>
    <xf numFmtId="9" fontId="0" fillId="0" borderId="12" xfId="0" applyNumberFormat="1" applyBorder="1"/>
    <xf numFmtId="9" fontId="0" fillId="12" borderId="12" xfId="0" applyNumberFormat="1" applyFill="1" applyBorder="1"/>
    <xf numFmtId="164" fontId="0" fillId="0" borderId="12" xfId="0" applyNumberFormat="1" applyBorder="1"/>
    <xf numFmtId="0" fontId="0" fillId="16" borderId="12" xfId="0" applyFill="1" applyBorder="1"/>
    <xf numFmtId="0" fontId="28" fillId="26" borderId="0" xfId="0" applyFont="1" applyFill="1" applyAlignment="1">
      <alignment horizontal="center" vertical="center"/>
    </xf>
    <xf numFmtId="0" fontId="5" fillId="9" borderId="12" xfId="0" applyFont="1" applyFill="1" applyBorder="1" applyAlignment="1" applyProtection="1">
      <alignment horizontal="center" vertical="center" wrapText="1"/>
      <protection locked="0"/>
    </xf>
    <xf numFmtId="166" fontId="0" fillId="12" borderId="12" xfId="0" applyNumberFormat="1" applyFill="1" applyBorder="1" applyAlignment="1">
      <alignment horizontal="center"/>
    </xf>
    <xf numFmtId="0" fontId="0" fillId="30" borderId="12" xfId="0" applyFill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left" vertical="top" wrapText="1"/>
      <protection locked="0"/>
    </xf>
    <xf numFmtId="0" fontId="0" fillId="0" borderId="12" xfId="0" applyBorder="1" applyAlignment="1">
      <alignment horizontal="center"/>
    </xf>
    <xf numFmtId="0" fontId="0" fillId="9" borderId="12" xfId="0" applyFill="1" applyBorder="1" applyAlignment="1" applyProtection="1">
      <alignment horizontal="center"/>
      <protection locked="0"/>
    </xf>
    <xf numFmtId="1" fontId="0" fillId="0" borderId="12" xfId="0" applyNumberForma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5" fillId="9" borderId="12" xfId="0" applyFont="1" applyFill="1" applyBorder="1" applyAlignment="1" applyProtection="1">
      <alignment horizontal="center"/>
      <protection locked="0"/>
    </xf>
    <xf numFmtId="0" fontId="5" fillId="9" borderId="12" xfId="0" applyFont="1" applyFill="1" applyBorder="1" applyAlignment="1" applyProtection="1">
      <alignment horizontal="center" vertical="center"/>
      <protection locked="0"/>
    </xf>
    <xf numFmtId="166" fontId="0" fillId="30" borderId="12" xfId="0" applyNumberFormat="1" applyFill="1" applyBorder="1" applyAlignment="1" applyProtection="1">
      <alignment horizontal="center"/>
      <protection locked="0"/>
    </xf>
    <xf numFmtId="10" fontId="0" fillId="12" borderId="12" xfId="2" applyNumberFormat="1" applyFont="1" applyFill="1" applyBorder="1" applyAlignment="1">
      <alignment horizontal="center"/>
    </xf>
    <xf numFmtId="0" fontId="20" fillId="0" borderId="4" xfId="0" applyFont="1" applyBorder="1" applyAlignment="1" applyProtection="1">
      <alignment horizontal="center" vertical="center"/>
      <protection locked="0"/>
    </xf>
    <xf numFmtId="0" fontId="7" fillId="10" borderId="6" xfId="0" applyFont="1" applyFill="1" applyBorder="1" applyAlignment="1" applyProtection="1">
      <alignment horizontal="center" vertical="center"/>
      <protection locked="0"/>
    </xf>
    <xf numFmtId="1" fontId="0" fillId="30" borderId="12" xfId="0" applyNumberFormat="1" applyFill="1" applyBorder="1" applyAlignment="1" applyProtection="1">
      <alignment horizontal="center"/>
      <protection locked="0"/>
    </xf>
    <xf numFmtId="0" fontId="7" fillId="10" borderId="12" xfId="0" applyFont="1" applyFill="1" applyBorder="1" applyAlignment="1" applyProtection="1">
      <alignment horizontal="center" vertical="center"/>
      <protection locked="0"/>
    </xf>
    <xf numFmtId="0" fontId="33" fillId="26" borderId="0" xfId="0" applyFont="1" applyFill="1" applyAlignment="1">
      <alignment horizontal="center" vertical="center"/>
    </xf>
    <xf numFmtId="0" fontId="0" fillId="0" borderId="0" xfId="0" applyAlignment="1"/>
    <xf numFmtId="0" fontId="30" fillId="28" borderId="12" xfId="0" applyFont="1" applyFill="1" applyBorder="1" applyAlignment="1"/>
    <xf numFmtId="0" fontId="0" fillId="0" borderId="12" xfId="0" applyBorder="1" applyAlignment="1"/>
    <xf numFmtId="0" fontId="0" fillId="0" borderId="4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1" xfId="0" applyBorder="1" applyAlignment="1" applyProtection="1">
      <protection locked="0"/>
    </xf>
    <xf numFmtId="0" fontId="0" fillId="0" borderId="0" xfId="0" applyAlignment="1" applyProtection="1">
      <protection locked="0"/>
    </xf>
    <xf numFmtId="0" fontId="0" fillId="0" borderId="11" xfId="0" applyBorder="1" applyAlignment="1"/>
    <xf numFmtId="0" fontId="0" fillId="0" borderId="1" xfId="0" applyBorder="1" applyAlignment="1"/>
    <xf numFmtId="0" fontId="0" fillId="0" borderId="3" xfId="0" applyBorder="1" applyAlignment="1" applyProtection="1">
      <protection locked="0"/>
    </xf>
    <xf numFmtId="0" fontId="34" fillId="27" borderId="0" xfId="0" applyFont="1" applyFill="1" applyAlignment="1"/>
  </cellXfs>
  <cellStyles count="99">
    <cellStyle name="60% - Accent1 2" xfId="14" xr:uid="{00000000-0005-0000-0000-00002F000000}"/>
    <cellStyle name="60% - Accent1 3" xfId="6" xr:uid="{00000000-0005-0000-0000-000027000000}"/>
    <cellStyle name="60% - Accent2 2" xfId="15" xr:uid="{00000000-0005-0000-0000-000030000000}"/>
    <cellStyle name="60% - Accent2 3" xfId="7" xr:uid="{00000000-0005-0000-0000-000028000000}"/>
    <cellStyle name="60% - Accent3 2" xfId="16" xr:uid="{00000000-0005-0000-0000-000031000000}"/>
    <cellStyle name="60% - Accent3 3" xfId="8" xr:uid="{00000000-0005-0000-0000-000029000000}"/>
    <cellStyle name="60% - Accent4 2" xfId="17" xr:uid="{00000000-0005-0000-0000-000032000000}"/>
    <cellStyle name="60% - Accent4 3" xfId="9" xr:uid="{00000000-0005-0000-0000-00002A000000}"/>
    <cellStyle name="60% - Accent5 2" xfId="18" xr:uid="{00000000-0005-0000-0000-000033000000}"/>
    <cellStyle name="60% - Accent5 3" xfId="10" xr:uid="{00000000-0005-0000-0000-00002B000000}"/>
    <cellStyle name="60% - Accent6 2" xfId="19" xr:uid="{00000000-0005-0000-0000-000034000000}"/>
    <cellStyle name="60% - Accent6 3" xfId="11" xr:uid="{00000000-0005-0000-0000-00002C000000}"/>
    <cellStyle name="Comma" xfId="1" builtinId="3"/>
    <cellStyle name="Comma 2" xfId="91" xr:uid="{00000000-0005-0000-0000-00007C000000}"/>
    <cellStyle name="Comma 2 2" xfId="96" xr:uid="{00000000-0005-0000-0000-000081000000}"/>
    <cellStyle name="Comma 2 4" xfId="5" xr:uid="{00000000-0005-0000-0000-000026000000}"/>
    <cellStyle name="Comma 3" xfId="92" xr:uid="{00000000-0005-0000-0000-00007D000000}"/>
    <cellStyle name="Comma 3 2" xfId="97" xr:uid="{00000000-0005-0000-0000-000082000000}"/>
    <cellStyle name="Comma 4" xfId="93" xr:uid="{00000000-0005-0000-0000-00007E000000}"/>
    <cellStyle name="Comma 4 2" xfId="94" xr:uid="{00000000-0005-0000-0000-00007F000000}"/>
    <cellStyle name="Comma 4 3" xfId="98" xr:uid="{00000000-0005-0000-0000-000083000000}"/>
    <cellStyle name="Comma 5" xfId="95" xr:uid="{00000000-0005-0000-0000-000080000000}"/>
    <cellStyle name="Hyperlink" xfId="20" builtinId="8"/>
    <cellStyle name="Neutral 2" xfId="13" xr:uid="{00000000-0005-0000-0000-00002E000000}"/>
    <cellStyle name="Neutral 3" xfId="4" xr:uid="{00000000-0005-0000-0000-000025000000}"/>
    <cellStyle name="Normal" xfId="0" builtinId="0"/>
    <cellStyle name="Normal 10" xfId="21" xr:uid="{00000000-0005-0000-0000-000036000000}"/>
    <cellStyle name="Normal 11" xfId="22" xr:uid="{00000000-0005-0000-0000-000037000000}"/>
    <cellStyle name="Normal 12" xfId="23" xr:uid="{00000000-0005-0000-0000-000038000000}"/>
    <cellStyle name="Normal 13" xfId="24" xr:uid="{00000000-0005-0000-0000-000039000000}"/>
    <cellStyle name="Normal 14" xfId="25" xr:uid="{00000000-0005-0000-0000-00003A000000}"/>
    <cellStyle name="Normal 15" xfId="26" xr:uid="{00000000-0005-0000-0000-00003B000000}"/>
    <cellStyle name="Normal 16" xfId="27" xr:uid="{00000000-0005-0000-0000-00003C000000}"/>
    <cellStyle name="Normal 17" xfId="28" xr:uid="{00000000-0005-0000-0000-00003D000000}"/>
    <cellStyle name="Normal 18" xfId="29" xr:uid="{00000000-0005-0000-0000-00003E000000}"/>
    <cellStyle name="Normal 19" xfId="30" xr:uid="{00000000-0005-0000-0000-00003F000000}"/>
    <cellStyle name="Normal 2" xfId="31" xr:uid="{00000000-0005-0000-0000-000040000000}"/>
    <cellStyle name="Normal 2 10" xfId="32" xr:uid="{00000000-0005-0000-0000-000041000000}"/>
    <cellStyle name="Normal 2 11" xfId="33" xr:uid="{00000000-0005-0000-0000-000042000000}"/>
    <cellStyle name="Normal 2 12" xfId="34" xr:uid="{00000000-0005-0000-0000-000043000000}"/>
    <cellStyle name="Normal 2 13" xfId="35" xr:uid="{00000000-0005-0000-0000-000044000000}"/>
    <cellStyle name="Normal 2 14" xfId="36" xr:uid="{00000000-0005-0000-0000-000045000000}"/>
    <cellStyle name="Normal 2 15" xfId="37" xr:uid="{00000000-0005-0000-0000-000046000000}"/>
    <cellStyle name="Normal 2 16" xfId="38" xr:uid="{00000000-0005-0000-0000-000047000000}"/>
    <cellStyle name="Normal 2 17" xfId="39" xr:uid="{00000000-0005-0000-0000-000048000000}"/>
    <cellStyle name="Normal 2 18" xfId="40" xr:uid="{00000000-0005-0000-0000-000049000000}"/>
    <cellStyle name="Normal 2 19" xfId="41" xr:uid="{00000000-0005-0000-0000-00004A000000}"/>
    <cellStyle name="Normal 2 2" xfId="42" xr:uid="{00000000-0005-0000-0000-00004B000000}"/>
    <cellStyle name="Normal 2 20" xfId="43" xr:uid="{00000000-0005-0000-0000-00004C000000}"/>
    <cellStyle name="Normal 2 21" xfId="44" xr:uid="{00000000-0005-0000-0000-00004D000000}"/>
    <cellStyle name="Normal 2 22" xfId="45" xr:uid="{00000000-0005-0000-0000-00004E000000}"/>
    <cellStyle name="Normal 2 23" xfId="46" xr:uid="{00000000-0005-0000-0000-00004F000000}"/>
    <cellStyle name="Normal 2 24" xfId="47" xr:uid="{00000000-0005-0000-0000-000050000000}"/>
    <cellStyle name="Normal 2 25" xfId="48" xr:uid="{00000000-0005-0000-0000-000051000000}"/>
    <cellStyle name="Normal 2 26" xfId="49" xr:uid="{00000000-0005-0000-0000-000052000000}"/>
    <cellStyle name="Normal 2 27" xfId="50" xr:uid="{00000000-0005-0000-0000-000053000000}"/>
    <cellStyle name="Normal 2 28" xfId="51" xr:uid="{00000000-0005-0000-0000-000054000000}"/>
    <cellStyle name="Normal 2 29" xfId="52" xr:uid="{00000000-0005-0000-0000-000055000000}"/>
    <cellStyle name="Normal 2 3" xfId="53" xr:uid="{00000000-0005-0000-0000-000056000000}"/>
    <cellStyle name="Normal 2 30" xfId="54" xr:uid="{00000000-0005-0000-0000-000057000000}"/>
    <cellStyle name="Normal 2 31" xfId="55" xr:uid="{00000000-0005-0000-0000-000058000000}"/>
    <cellStyle name="Normal 2 32" xfId="56" xr:uid="{00000000-0005-0000-0000-000059000000}"/>
    <cellStyle name="Normal 2 33" xfId="57" xr:uid="{00000000-0005-0000-0000-00005A000000}"/>
    <cellStyle name="Normal 2 34" xfId="58" xr:uid="{00000000-0005-0000-0000-00005B000000}"/>
    <cellStyle name="Normal 2 35" xfId="59" xr:uid="{00000000-0005-0000-0000-00005C000000}"/>
    <cellStyle name="Normal 2 36" xfId="60" xr:uid="{00000000-0005-0000-0000-00005D000000}"/>
    <cellStyle name="Normal 2 4" xfId="61" xr:uid="{00000000-0005-0000-0000-00005E000000}"/>
    <cellStyle name="Normal 2 5" xfId="62" xr:uid="{00000000-0005-0000-0000-00005F000000}"/>
    <cellStyle name="Normal 2 6" xfId="63" xr:uid="{00000000-0005-0000-0000-000060000000}"/>
    <cellStyle name="Normal 2 7" xfId="64" xr:uid="{00000000-0005-0000-0000-000061000000}"/>
    <cellStyle name="Normal 2 8" xfId="65" xr:uid="{00000000-0005-0000-0000-000062000000}"/>
    <cellStyle name="Normal 2 9" xfId="66" xr:uid="{00000000-0005-0000-0000-000063000000}"/>
    <cellStyle name="Normal 20" xfId="67" xr:uid="{00000000-0005-0000-0000-000064000000}"/>
    <cellStyle name="Normal 21" xfId="68" xr:uid="{00000000-0005-0000-0000-000065000000}"/>
    <cellStyle name="Normal 22" xfId="69" xr:uid="{00000000-0005-0000-0000-000066000000}"/>
    <cellStyle name="Normal 23" xfId="70" xr:uid="{00000000-0005-0000-0000-000067000000}"/>
    <cellStyle name="Normal 24" xfId="71" xr:uid="{00000000-0005-0000-0000-000068000000}"/>
    <cellStyle name="Normal 25" xfId="72" xr:uid="{00000000-0005-0000-0000-000069000000}"/>
    <cellStyle name="Normal 26" xfId="73" xr:uid="{00000000-0005-0000-0000-00006A000000}"/>
    <cellStyle name="Normal 27" xfId="74" xr:uid="{00000000-0005-0000-0000-00006B000000}"/>
    <cellStyle name="Normal 28" xfId="75" xr:uid="{00000000-0005-0000-0000-00006C000000}"/>
    <cellStyle name="Normal 29" xfId="76" xr:uid="{00000000-0005-0000-0000-00006D000000}"/>
    <cellStyle name="Normal 3" xfId="77" xr:uid="{00000000-0005-0000-0000-00006E000000}"/>
    <cellStyle name="Normal 30" xfId="78" xr:uid="{00000000-0005-0000-0000-00006F000000}"/>
    <cellStyle name="Normal 31" xfId="79" xr:uid="{00000000-0005-0000-0000-000070000000}"/>
    <cellStyle name="Normal 32" xfId="80" xr:uid="{00000000-0005-0000-0000-000071000000}"/>
    <cellStyle name="Normal 33" xfId="81" xr:uid="{00000000-0005-0000-0000-000072000000}"/>
    <cellStyle name="Normal 34" xfId="82" xr:uid="{00000000-0005-0000-0000-000073000000}"/>
    <cellStyle name="Normal 35" xfId="83" xr:uid="{00000000-0005-0000-0000-000074000000}"/>
    <cellStyle name="Normal 36" xfId="84" xr:uid="{00000000-0005-0000-0000-000075000000}"/>
    <cellStyle name="Normal 4" xfId="85" xr:uid="{00000000-0005-0000-0000-000076000000}"/>
    <cellStyle name="Normal 5" xfId="86" xr:uid="{00000000-0005-0000-0000-000077000000}"/>
    <cellStyle name="Normal 6" xfId="87" xr:uid="{00000000-0005-0000-0000-000078000000}"/>
    <cellStyle name="Normal 7" xfId="88" xr:uid="{00000000-0005-0000-0000-000079000000}"/>
    <cellStyle name="Normal 8" xfId="89" xr:uid="{00000000-0005-0000-0000-00007A000000}"/>
    <cellStyle name="Normal 9" xfId="90" xr:uid="{00000000-0005-0000-0000-00007B000000}"/>
    <cellStyle name="Percent" xfId="2" builtinId="5"/>
    <cellStyle name="Title 2" xfId="12" xr:uid="{00000000-0005-0000-0000-00002D000000}"/>
    <cellStyle name="Title 3" xfId="3" xr:uid="{00000000-0005-0000-0000-00002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topLeftCell="A23" workbookViewId="0">
      <selection activeCell="C67" sqref="C67"/>
    </sheetView>
  </sheetViews>
  <sheetFormatPr defaultRowHeight="15"/>
  <cols>
    <col min="1" max="1" width="5" customWidth="1"/>
    <col min="2" max="2" width="28" customWidth="1"/>
    <col min="3" max="3" width="30" customWidth="1"/>
    <col min="4" max="4" width="30.140625" bestFit="1" customWidth="1"/>
  </cols>
  <sheetData>
    <row r="1" spans="1:4" ht="18.75">
      <c r="A1" s="173" t="s">
        <v>0</v>
      </c>
      <c r="B1" s="191"/>
      <c r="C1" s="191"/>
      <c r="D1" s="191"/>
    </row>
    <row r="2" spans="1:4" ht="15.75">
      <c r="A2" s="36" t="s">
        <v>1</v>
      </c>
      <c r="B2" s="36" t="s">
        <v>2</v>
      </c>
      <c r="C2" s="36" t="s">
        <v>3</v>
      </c>
      <c r="D2" s="36" t="s">
        <v>4</v>
      </c>
    </row>
    <row r="3" spans="1:4">
      <c r="A3" s="192" t="s">
        <v>5</v>
      </c>
      <c r="B3" s="193"/>
      <c r="C3" s="193"/>
      <c r="D3" s="193"/>
    </row>
    <row r="4" spans="1:4">
      <c r="A4" s="38">
        <v>1</v>
      </c>
      <c r="B4" s="39" t="s">
        <v>6</v>
      </c>
      <c r="C4" s="40" t="s">
        <v>7</v>
      </c>
      <c r="D4" s="41" t="s">
        <v>8</v>
      </c>
    </row>
    <row r="5" spans="1:4">
      <c r="A5" s="38">
        <v>2</v>
      </c>
      <c r="B5" s="39" t="s">
        <v>9</v>
      </c>
      <c r="C5" s="40" t="s">
        <v>7</v>
      </c>
      <c r="D5" s="41" t="s">
        <v>10</v>
      </c>
    </row>
    <row r="6" spans="1:4">
      <c r="A6" s="38">
        <v>3</v>
      </c>
      <c r="B6" s="39" t="s">
        <v>11</v>
      </c>
      <c r="C6" s="40" t="s">
        <v>12</v>
      </c>
      <c r="D6" s="41" t="s">
        <v>13</v>
      </c>
    </row>
    <row r="7" spans="1:4">
      <c r="A7" s="38">
        <v>4</v>
      </c>
      <c r="B7" s="39" t="s">
        <v>14</v>
      </c>
      <c r="C7" s="40" t="s">
        <v>15</v>
      </c>
      <c r="D7" s="41" t="s">
        <v>16</v>
      </c>
    </row>
    <row r="8" spans="1:4">
      <c r="A8" s="38">
        <v>5</v>
      </c>
      <c r="B8" s="39" t="s">
        <v>17</v>
      </c>
      <c r="C8" s="40" t="s">
        <v>18</v>
      </c>
      <c r="D8" s="41" t="s">
        <v>19</v>
      </c>
    </row>
    <row r="9" spans="1:4">
      <c r="A9" s="38">
        <v>6</v>
      </c>
      <c r="B9" s="39" t="s">
        <v>20</v>
      </c>
      <c r="C9" s="40" t="s">
        <v>21</v>
      </c>
      <c r="D9" s="41" t="s">
        <v>22</v>
      </c>
    </row>
    <row r="10" spans="1:4">
      <c r="A10" s="38">
        <v>7</v>
      </c>
      <c r="B10" s="39" t="s">
        <v>23</v>
      </c>
      <c r="C10" s="40" t="s">
        <v>24</v>
      </c>
      <c r="D10" s="41" t="s">
        <v>25</v>
      </c>
    </row>
    <row r="11" spans="1:4">
      <c r="A11" s="38">
        <v>8</v>
      </c>
      <c r="B11" s="39" t="s">
        <v>26</v>
      </c>
      <c r="C11" s="40" t="s">
        <v>27</v>
      </c>
      <c r="D11" s="41" t="s">
        <v>28</v>
      </c>
    </row>
    <row r="12" spans="1:4">
      <c r="A12" s="38">
        <v>9</v>
      </c>
      <c r="B12" s="39" t="s">
        <v>29</v>
      </c>
      <c r="C12" s="40" t="s">
        <v>30</v>
      </c>
      <c r="D12" s="41" t="s">
        <v>31</v>
      </c>
    </row>
    <row r="13" spans="1:4">
      <c r="A13" s="38">
        <v>10</v>
      </c>
      <c r="B13" s="39" t="s">
        <v>32</v>
      </c>
      <c r="C13" s="40" t="s">
        <v>33</v>
      </c>
      <c r="D13" s="41" t="s">
        <v>34</v>
      </c>
    </row>
    <row r="14" spans="1:4">
      <c r="A14" s="38">
        <v>11</v>
      </c>
      <c r="B14" s="39" t="s">
        <v>35</v>
      </c>
      <c r="C14" s="40" t="s">
        <v>36</v>
      </c>
      <c r="D14" s="41" t="s">
        <v>37</v>
      </c>
    </row>
    <row r="15" spans="1:4">
      <c r="A15" s="38">
        <v>12</v>
      </c>
      <c r="B15" s="39" t="s">
        <v>38</v>
      </c>
      <c r="C15" s="40" t="s">
        <v>39</v>
      </c>
      <c r="D15" s="41" t="s">
        <v>40</v>
      </c>
    </row>
    <row r="16" spans="1:4">
      <c r="A16" s="38">
        <v>13</v>
      </c>
      <c r="B16" s="39" t="s">
        <v>41</v>
      </c>
      <c r="C16" s="40" t="s">
        <v>42</v>
      </c>
      <c r="D16" s="41" t="s">
        <v>43</v>
      </c>
    </row>
    <row r="17" spans="1:4">
      <c r="A17" s="38">
        <v>14</v>
      </c>
      <c r="B17" s="39" t="s">
        <v>44</v>
      </c>
      <c r="C17" s="40" t="s">
        <v>45</v>
      </c>
      <c r="D17" s="41" t="s">
        <v>46</v>
      </c>
    </row>
    <row r="18" spans="1:4">
      <c r="A18" s="38">
        <v>15</v>
      </c>
      <c r="B18" s="39" t="s">
        <v>47</v>
      </c>
      <c r="C18" s="40">
        <v>250000</v>
      </c>
      <c r="D18" s="41" t="s">
        <v>48</v>
      </c>
    </row>
    <row r="19" spans="1:4">
      <c r="A19" s="192" t="s">
        <v>49</v>
      </c>
      <c r="B19" s="193"/>
      <c r="C19" s="193"/>
      <c r="D19" s="193"/>
    </row>
    <row r="20" spans="1:4">
      <c r="A20" s="38">
        <v>1</v>
      </c>
      <c r="B20" s="39" t="s">
        <v>50</v>
      </c>
      <c r="C20" s="40">
        <v>0.25</v>
      </c>
      <c r="D20" s="41" t="s">
        <v>51</v>
      </c>
    </row>
    <row r="21" spans="1:4">
      <c r="A21" s="38">
        <v>2</v>
      </c>
      <c r="B21" s="39" t="s">
        <v>52</v>
      </c>
      <c r="C21" s="40">
        <v>0.2</v>
      </c>
      <c r="D21" s="41" t="s">
        <v>53</v>
      </c>
    </row>
    <row r="22" spans="1:4">
      <c r="A22" s="38">
        <v>3</v>
      </c>
      <c r="B22" s="39" t="s">
        <v>54</v>
      </c>
      <c r="C22" s="40">
        <v>0.7</v>
      </c>
      <c r="D22" s="41" t="s">
        <v>55</v>
      </c>
    </row>
    <row r="23" spans="1:4">
      <c r="A23" s="38">
        <v>4</v>
      </c>
      <c r="B23" s="39" t="s">
        <v>56</v>
      </c>
      <c r="C23" s="40">
        <v>0</v>
      </c>
      <c r="D23" s="41" t="s">
        <v>57</v>
      </c>
    </row>
    <row r="24" spans="1:4">
      <c r="A24" s="38">
        <v>5</v>
      </c>
      <c r="B24" s="39" t="s">
        <v>58</v>
      </c>
      <c r="C24" s="40">
        <v>0</v>
      </c>
      <c r="D24" s="41" t="s">
        <v>59</v>
      </c>
    </row>
    <row r="25" spans="1:4">
      <c r="A25" s="38">
        <v>6</v>
      </c>
      <c r="B25" s="39" t="s">
        <v>60</v>
      </c>
      <c r="C25" s="40">
        <v>0</v>
      </c>
      <c r="D25" s="41" t="s">
        <v>61</v>
      </c>
    </row>
    <row r="26" spans="1:4">
      <c r="A26" s="38">
        <v>7</v>
      </c>
      <c r="B26" s="39" t="s">
        <v>62</v>
      </c>
      <c r="C26" s="40">
        <v>0</v>
      </c>
      <c r="D26" s="41" t="s">
        <v>63</v>
      </c>
    </row>
    <row r="27" spans="1:4">
      <c r="A27" s="38">
        <v>8</v>
      </c>
      <c r="B27" s="39" t="s">
        <v>64</v>
      </c>
      <c r="C27" s="40">
        <v>0</v>
      </c>
      <c r="D27" s="41" t="s">
        <v>65</v>
      </c>
    </row>
    <row r="28" spans="1:4">
      <c r="A28" s="38">
        <v>9</v>
      </c>
      <c r="B28" s="39" t="s">
        <v>66</v>
      </c>
      <c r="C28" s="40">
        <v>0</v>
      </c>
      <c r="D28" s="41" t="s">
        <v>67</v>
      </c>
    </row>
    <row r="29" spans="1:4">
      <c r="A29" s="192" t="s">
        <v>68</v>
      </c>
      <c r="B29" s="193"/>
      <c r="C29" s="193"/>
      <c r="D29" s="193"/>
    </row>
    <row r="30" spans="1:4">
      <c r="A30" s="38">
        <v>1</v>
      </c>
      <c r="B30" s="39" t="s">
        <v>69</v>
      </c>
      <c r="C30" s="40">
        <v>0.35</v>
      </c>
      <c r="D30" s="41" t="s">
        <v>70</v>
      </c>
    </row>
    <row r="31" spans="1:4">
      <c r="A31" s="38">
        <v>2</v>
      </c>
      <c r="B31" s="39" t="s">
        <v>71</v>
      </c>
      <c r="C31" s="40">
        <v>1</v>
      </c>
      <c r="D31" s="41" t="s">
        <v>72</v>
      </c>
    </row>
    <row r="32" spans="1:4">
      <c r="A32" s="38">
        <v>3</v>
      </c>
      <c r="B32" s="39" t="s">
        <v>73</v>
      </c>
      <c r="C32" s="40">
        <v>1</v>
      </c>
      <c r="D32" s="41" t="s">
        <v>74</v>
      </c>
    </row>
    <row r="33" spans="1:4">
      <c r="A33" s="38">
        <v>4</v>
      </c>
      <c r="B33" s="39" t="s">
        <v>75</v>
      </c>
      <c r="C33" s="40">
        <v>4.4999999999999998E-2</v>
      </c>
      <c r="D33" s="41" t="s">
        <v>76</v>
      </c>
    </row>
    <row r="34" spans="1:4">
      <c r="A34" s="38">
        <v>5</v>
      </c>
      <c r="B34" s="39" t="s">
        <v>77</v>
      </c>
      <c r="C34" s="40">
        <v>4.4999999999999998E-2</v>
      </c>
      <c r="D34" s="41" t="s">
        <v>78</v>
      </c>
    </row>
    <row r="35" spans="1:4">
      <c r="A35" s="38">
        <v>6</v>
      </c>
      <c r="B35" s="39" t="s">
        <v>79</v>
      </c>
      <c r="C35" s="40">
        <v>0.5</v>
      </c>
      <c r="D35" s="41" t="s">
        <v>80</v>
      </c>
    </row>
    <row r="36" spans="1:4">
      <c r="A36" s="38">
        <v>7</v>
      </c>
      <c r="B36" s="39" t="s">
        <v>81</v>
      </c>
      <c r="C36" s="40">
        <v>0.25</v>
      </c>
      <c r="D36" s="41" t="s">
        <v>82</v>
      </c>
    </row>
    <row r="37" spans="1:4">
      <c r="A37" s="38">
        <v>8</v>
      </c>
      <c r="B37" s="39" t="s">
        <v>83</v>
      </c>
      <c r="C37" s="40">
        <v>0.5</v>
      </c>
      <c r="D37" s="41" t="s">
        <v>84</v>
      </c>
    </row>
    <row r="38" spans="1:4">
      <c r="A38" s="38">
        <v>9</v>
      </c>
      <c r="B38" s="39" t="s">
        <v>85</v>
      </c>
      <c r="C38" s="40">
        <v>0</v>
      </c>
      <c r="D38" s="41" t="s">
        <v>86</v>
      </c>
    </row>
    <row r="39" spans="1:4">
      <c r="A39" s="192" t="s">
        <v>87</v>
      </c>
      <c r="B39" s="193"/>
      <c r="C39" s="193"/>
      <c r="D39" s="193"/>
    </row>
    <row r="40" spans="1:4">
      <c r="A40" s="38">
        <v>1</v>
      </c>
      <c r="B40" s="39" t="s">
        <v>88</v>
      </c>
      <c r="C40" s="40"/>
      <c r="D40" s="41" t="s">
        <v>89</v>
      </c>
    </row>
    <row r="41" spans="1:4">
      <c r="A41" s="38">
        <v>2</v>
      </c>
      <c r="B41" s="39" t="s">
        <v>90</v>
      </c>
      <c r="C41" s="40"/>
      <c r="D41" s="41" t="s">
        <v>89</v>
      </c>
    </row>
    <row r="42" spans="1:4">
      <c r="A42" s="38">
        <v>3</v>
      </c>
      <c r="B42" s="39" t="s">
        <v>91</v>
      </c>
      <c r="C42" s="40"/>
      <c r="D42" s="41" t="s">
        <v>89</v>
      </c>
    </row>
    <row r="43" spans="1:4">
      <c r="A43" s="38">
        <v>4</v>
      </c>
      <c r="B43" s="39" t="s">
        <v>92</v>
      </c>
      <c r="C43" s="40"/>
      <c r="D43" s="41" t="s">
        <v>89</v>
      </c>
    </row>
    <row r="44" spans="1:4">
      <c r="A44" s="38">
        <v>5</v>
      </c>
      <c r="B44" s="39" t="s">
        <v>93</v>
      </c>
      <c r="C44" s="40"/>
      <c r="D44" s="41" t="s">
        <v>89</v>
      </c>
    </row>
    <row r="45" spans="1:4">
      <c r="A45" s="38">
        <v>6</v>
      </c>
      <c r="B45" s="39" t="s">
        <v>94</v>
      </c>
      <c r="C45" s="40"/>
      <c r="D45" s="41" t="s">
        <v>89</v>
      </c>
    </row>
    <row r="46" spans="1:4">
      <c r="A46" s="192" t="s">
        <v>95</v>
      </c>
      <c r="B46" s="193"/>
      <c r="C46" s="193"/>
      <c r="D46" s="193"/>
    </row>
    <row r="47" spans="1:4">
      <c r="A47" s="38">
        <v>1</v>
      </c>
      <c r="B47" s="39" t="s">
        <v>96</v>
      </c>
      <c r="C47" s="40"/>
      <c r="D47" s="41" t="s">
        <v>97</v>
      </c>
    </row>
    <row r="48" spans="1:4">
      <c r="A48" s="38">
        <v>2</v>
      </c>
      <c r="B48" s="39" t="s">
        <v>98</v>
      </c>
      <c r="C48" s="40"/>
      <c r="D48" s="41" t="s">
        <v>97</v>
      </c>
    </row>
    <row r="49" spans="1:4">
      <c r="A49" s="38">
        <v>3</v>
      </c>
      <c r="B49" s="39" t="s">
        <v>99</v>
      </c>
      <c r="C49" s="40"/>
      <c r="D49" s="41" t="s">
        <v>97</v>
      </c>
    </row>
    <row r="50" spans="1:4">
      <c r="A50" s="38">
        <v>4</v>
      </c>
      <c r="B50" s="39" t="s">
        <v>100</v>
      </c>
      <c r="C50" s="40"/>
      <c r="D50" s="41" t="s">
        <v>97</v>
      </c>
    </row>
    <row r="51" spans="1:4">
      <c r="A51" s="38">
        <v>5</v>
      </c>
      <c r="B51" s="39" t="s">
        <v>101</v>
      </c>
      <c r="C51" s="40"/>
      <c r="D51" s="41" t="s">
        <v>97</v>
      </c>
    </row>
    <row r="52" spans="1:4">
      <c r="A52" s="38">
        <v>6</v>
      </c>
      <c r="B52" s="39" t="s">
        <v>102</v>
      </c>
      <c r="C52" s="40"/>
      <c r="D52" s="41" t="s">
        <v>97</v>
      </c>
    </row>
    <row r="53" spans="1:4">
      <c r="A53" s="192" t="s">
        <v>103</v>
      </c>
      <c r="B53" s="193"/>
      <c r="C53" s="193"/>
      <c r="D53" s="193"/>
    </row>
    <row r="54" spans="1:4">
      <c r="A54" s="38">
        <v>1</v>
      </c>
      <c r="B54" s="39" t="s">
        <v>104</v>
      </c>
      <c r="C54" s="40" t="s">
        <v>105</v>
      </c>
      <c r="D54" s="41" t="s">
        <v>106</v>
      </c>
    </row>
    <row r="55" spans="1:4">
      <c r="A55" s="38">
        <v>2</v>
      </c>
      <c r="B55" s="39" t="s">
        <v>107</v>
      </c>
      <c r="C55" s="40" t="s">
        <v>108</v>
      </c>
      <c r="D55" s="41" t="s">
        <v>106</v>
      </c>
    </row>
    <row r="56" spans="1:4">
      <c r="A56" s="38">
        <v>3</v>
      </c>
      <c r="B56" s="39" t="s">
        <v>109</v>
      </c>
      <c r="C56" s="40"/>
      <c r="D56" s="41" t="s">
        <v>110</v>
      </c>
    </row>
    <row r="57" spans="1:4">
      <c r="A57" s="38">
        <v>4</v>
      </c>
      <c r="B57" s="39" t="s">
        <v>111</v>
      </c>
      <c r="C57" s="40"/>
      <c r="D57" s="41" t="s">
        <v>106</v>
      </c>
    </row>
    <row r="58" spans="1:4">
      <c r="A58" s="38">
        <v>5</v>
      </c>
      <c r="B58" s="39" t="s">
        <v>112</v>
      </c>
      <c r="C58" s="40" t="s">
        <v>113</v>
      </c>
      <c r="D58" s="41" t="s">
        <v>114</v>
      </c>
    </row>
    <row r="59" spans="1:4">
      <c r="A59" s="38">
        <v>6</v>
      </c>
      <c r="B59" s="39" t="s">
        <v>115</v>
      </c>
      <c r="C59" s="40"/>
      <c r="D59" s="41" t="s">
        <v>116</v>
      </c>
    </row>
    <row r="60" spans="1:4">
      <c r="A60" s="192" t="s">
        <v>117</v>
      </c>
      <c r="B60" s="193"/>
      <c r="C60" s="193"/>
      <c r="D60" s="193"/>
    </row>
    <row r="61" spans="1:4">
      <c r="A61" s="38">
        <v>1</v>
      </c>
      <c r="B61" s="39" t="s">
        <v>118</v>
      </c>
      <c r="C61" s="40">
        <v>10</v>
      </c>
      <c r="D61" s="41" t="s">
        <v>119</v>
      </c>
    </row>
    <row r="62" spans="1:4">
      <c r="A62" s="38">
        <v>2</v>
      </c>
      <c r="B62" s="39" t="s">
        <v>120</v>
      </c>
      <c r="C62" s="40" t="s">
        <v>121</v>
      </c>
      <c r="D62" s="41" t="s">
        <v>106</v>
      </c>
    </row>
    <row r="63" spans="1:4">
      <c r="A63" s="38">
        <v>3</v>
      </c>
      <c r="B63" s="39" t="s">
        <v>122</v>
      </c>
      <c r="C63" s="40">
        <v>0.104</v>
      </c>
      <c r="D63" s="41" t="s">
        <v>123</v>
      </c>
    </row>
    <row r="64" spans="1:4">
      <c r="A64" s="38">
        <v>4</v>
      </c>
      <c r="B64" s="39" t="s">
        <v>124</v>
      </c>
      <c r="C64" s="40">
        <v>0.78</v>
      </c>
      <c r="D64" s="41" t="s">
        <v>125</v>
      </c>
    </row>
    <row r="65" spans="1:4">
      <c r="A65" s="38">
        <v>5</v>
      </c>
      <c r="B65" s="39" t="s">
        <v>126</v>
      </c>
      <c r="C65" s="40">
        <v>16</v>
      </c>
      <c r="D65" s="41" t="s">
        <v>127</v>
      </c>
    </row>
    <row r="66" spans="1:4">
      <c r="A66" s="192" t="s">
        <v>128</v>
      </c>
      <c r="B66" s="193"/>
      <c r="C66" s="193"/>
      <c r="D66" s="193"/>
    </row>
    <row r="67" spans="1:4">
      <c r="A67" s="38">
        <v>1</v>
      </c>
      <c r="B67" s="39" t="s">
        <v>129</v>
      </c>
      <c r="C67" s="40">
        <v>900</v>
      </c>
      <c r="D67" s="41" t="s">
        <v>130</v>
      </c>
    </row>
    <row r="68" spans="1:4">
      <c r="A68" s="38">
        <v>2</v>
      </c>
      <c r="B68" s="39" t="s">
        <v>131</v>
      </c>
      <c r="C68" s="40" t="s">
        <v>132</v>
      </c>
      <c r="D68" s="41" t="s">
        <v>133</v>
      </c>
    </row>
    <row r="69" spans="1:4">
      <c r="A69" s="192" t="s">
        <v>134</v>
      </c>
      <c r="B69" s="193"/>
      <c r="C69" s="193"/>
      <c r="D69" s="193"/>
    </row>
    <row r="70" spans="1:4">
      <c r="A70" s="38">
        <v>1</v>
      </c>
      <c r="B70" s="39" t="s">
        <v>135</v>
      </c>
      <c r="C70" s="40">
        <v>150000</v>
      </c>
      <c r="D70" s="41" t="s">
        <v>136</v>
      </c>
    </row>
    <row r="71" spans="1:4">
      <c r="A71" s="38">
        <v>2</v>
      </c>
      <c r="B71" s="39" t="s">
        <v>137</v>
      </c>
      <c r="C71" s="40" t="s">
        <v>138</v>
      </c>
      <c r="D71" s="41" t="s">
        <v>139</v>
      </c>
    </row>
    <row r="72" spans="1:4">
      <c r="A72" s="38">
        <v>3</v>
      </c>
      <c r="B72" s="39" t="s">
        <v>140</v>
      </c>
      <c r="C72" s="40">
        <v>50000</v>
      </c>
      <c r="D72" s="41" t="s">
        <v>141</v>
      </c>
    </row>
    <row r="73" spans="1:4">
      <c r="A73" s="38">
        <v>4</v>
      </c>
      <c r="B73" s="39" t="s">
        <v>142</v>
      </c>
      <c r="C73" s="40">
        <v>0</v>
      </c>
      <c r="D73" s="41" t="s">
        <v>143</v>
      </c>
    </row>
    <row r="74" spans="1:4">
      <c r="A74" s="38">
        <v>5</v>
      </c>
      <c r="B74" s="39" t="s">
        <v>144</v>
      </c>
      <c r="C74" s="40">
        <v>0</v>
      </c>
      <c r="D74" s="41" t="s">
        <v>143</v>
      </c>
    </row>
    <row r="75" spans="1:4">
      <c r="A75" s="38">
        <v>6</v>
      </c>
      <c r="B75" s="39" t="s">
        <v>145</v>
      </c>
      <c r="C75" s="40">
        <v>100000</v>
      </c>
      <c r="D75" s="41" t="s">
        <v>146</v>
      </c>
    </row>
    <row r="76" spans="1:4">
      <c r="A76" s="38">
        <v>7</v>
      </c>
      <c r="B76" s="39" t="s">
        <v>147</v>
      </c>
      <c r="C76" s="40">
        <v>80000</v>
      </c>
      <c r="D76" s="41" t="s">
        <v>148</v>
      </c>
    </row>
    <row r="77" spans="1:4">
      <c r="A77" s="38">
        <v>8</v>
      </c>
      <c r="B77" s="39" t="s">
        <v>149</v>
      </c>
      <c r="C77" s="40">
        <v>50000</v>
      </c>
      <c r="D77" s="41" t="s">
        <v>150</v>
      </c>
    </row>
  </sheetData>
  <mergeCells count="10">
    <mergeCell ref="A1:D1"/>
    <mergeCell ref="A53:D53"/>
    <mergeCell ref="A60:D60"/>
    <mergeCell ref="A69:D69"/>
    <mergeCell ref="A3:D3"/>
    <mergeCell ref="A39:D39"/>
    <mergeCell ref="A29:D29"/>
    <mergeCell ref="A19:D19"/>
    <mergeCell ref="A46:D46"/>
    <mergeCell ref="A66:D6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5"/>
  <sheetViews>
    <sheetView topLeftCell="A89" zoomScale="88" zoomScaleNormal="88" workbookViewId="0">
      <selection sqref="A1:D1"/>
    </sheetView>
  </sheetViews>
  <sheetFormatPr defaultColWidth="9.140625" defaultRowHeight="15"/>
  <cols>
    <col min="1" max="1" width="23.28515625" style="12" bestFit="1" customWidth="1"/>
    <col min="2" max="4" width="15.7109375" style="12" customWidth="1"/>
    <col min="5" max="5" width="17.140625" style="12" customWidth="1"/>
    <col min="6" max="9" width="15.7109375" style="12" customWidth="1"/>
    <col min="10" max="10" width="16.7109375" style="12" customWidth="1"/>
    <col min="11" max="14" width="15.7109375" style="12" customWidth="1"/>
    <col min="15" max="15" width="9.140625" style="12" customWidth="1"/>
    <col min="16" max="16384" width="9.140625" style="12"/>
  </cols>
  <sheetData>
    <row r="1" spans="1:13" ht="29.25" customHeight="1">
      <c r="A1" s="186" t="s">
        <v>151</v>
      </c>
      <c r="B1" s="194"/>
      <c r="C1" s="194"/>
      <c r="D1" s="194"/>
      <c r="E1" s="194"/>
      <c r="F1" s="194"/>
      <c r="G1" s="194"/>
      <c r="H1" s="194"/>
    </row>
    <row r="2" spans="1:13" ht="25.5" customHeight="1">
      <c r="A2" s="55" t="s">
        <v>6</v>
      </c>
      <c r="B2" s="56" t="str">
        <f>'Sales Entry'!C4</f>
        <v>30D</v>
      </c>
      <c r="C2" s="55" t="s">
        <v>9</v>
      </c>
      <c r="D2" s="56" t="str">
        <f>'Sales Entry'!C5</f>
        <v>30D</v>
      </c>
      <c r="E2" s="57" t="s">
        <v>11</v>
      </c>
      <c r="F2" s="58" t="str">
        <f>'Sales Entry'!C6</f>
        <v>Nasik</v>
      </c>
      <c r="G2" s="57" t="s">
        <v>152</v>
      </c>
      <c r="H2" s="59" t="str">
        <f>'Sales Entry'!C7</f>
        <v>16.09.2024</v>
      </c>
    </row>
    <row r="3" spans="1:13" ht="25.5" customHeight="1">
      <c r="A3" s="55" t="s">
        <v>17</v>
      </c>
      <c r="B3" s="56" t="str">
        <f>'Sales Entry'!C8</f>
        <v>-</v>
      </c>
      <c r="C3" s="57" t="s">
        <v>20</v>
      </c>
      <c r="D3" s="58" t="str">
        <f>'Sales Entry'!C9</f>
        <v>Existing</v>
      </c>
      <c r="E3" s="57" t="s">
        <v>23</v>
      </c>
      <c r="F3" s="58" t="str">
        <f>'Sales Entry'!C10</f>
        <v>Domestic</v>
      </c>
      <c r="G3" s="57"/>
      <c r="H3" s="60"/>
    </row>
    <row r="4" spans="1:13">
      <c r="A4" s="61" t="s">
        <v>26</v>
      </c>
      <c r="B4" s="176" t="str">
        <f>'Sales Entry'!C11</f>
        <v>DISCOM</v>
      </c>
      <c r="C4" s="195"/>
      <c r="D4" s="196"/>
      <c r="E4" s="61" t="s">
        <v>29</v>
      </c>
      <c r="F4" s="62" t="str">
        <f>'Sales Entry'!C12</f>
        <v>Machined</v>
      </c>
      <c r="G4" s="63"/>
      <c r="H4" s="63"/>
    </row>
    <row r="5" spans="1:13">
      <c r="A5" s="61" t="s">
        <v>32</v>
      </c>
      <c r="B5" s="176" t="str">
        <f>'Sales Entry'!C13</f>
        <v>Down pipe Inlet casting</v>
      </c>
      <c r="C5" s="195"/>
      <c r="D5" s="196"/>
      <c r="E5" s="61" t="s">
        <v>35</v>
      </c>
      <c r="F5" s="62" t="str">
        <f>'Sales Entry'!C14</f>
        <v>MS</v>
      </c>
      <c r="G5" s="63"/>
      <c r="H5" s="63"/>
      <c r="I5" s="32"/>
    </row>
    <row r="6" spans="1:13">
      <c r="A6" s="61" t="s">
        <v>38</v>
      </c>
      <c r="B6" s="188" t="str">
        <f>'Sales Entry'!C15</f>
        <v>82909101</v>
      </c>
      <c r="C6" s="195"/>
      <c r="D6" s="196"/>
      <c r="E6" s="61" t="s">
        <v>41</v>
      </c>
      <c r="F6" s="64" t="str">
        <f>'Sales Entry'!C16</f>
        <v>ASTM A 732 2Q</v>
      </c>
      <c r="G6" s="63"/>
      <c r="H6" s="63"/>
    </row>
    <row r="7" spans="1:13">
      <c r="A7" s="61" t="s">
        <v>153</v>
      </c>
      <c r="B7" s="180"/>
      <c r="C7" s="195"/>
      <c r="D7" s="196"/>
      <c r="E7" s="61" t="s">
        <v>44</v>
      </c>
      <c r="F7" s="62" t="str">
        <f>'Sales Entry'!C17</f>
        <v>Nos</v>
      </c>
      <c r="G7" s="61" t="s">
        <v>47</v>
      </c>
      <c r="H7" s="65">
        <f>'Sales Entry'!C18</f>
        <v>250000</v>
      </c>
    </row>
    <row r="9" spans="1:13" ht="21.75" customHeight="1">
      <c r="A9" s="189" t="s">
        <v>154</v>
      </c>
      <c r="B9" s="195"/>
      <c r="C9" s="195"/>
      <c r="D9" s="195"/>
      <c r="E9" s="195"/>
      <c r="F9" s="195"/>
      <c r="G9" s="195"/>
      <c r="H9" s="196"/>
    </row>
    <row r="10" spans="1:13">
      <c r="A10" s="66" t="s">
        <v>155</v>
      </c>
      <c r="B10" s="67" t="s">
        <v>156</v>
      </c>
      <c r="C10" s="67" t="s">
        <v>157</v>
      </c>
      <c r="D10" s="67" t="s">
        <v>158</v>
      </c>
      <c r="E10" s="67" t="s">
        <v>159</v>
      </c>
      <c r="F10" s="67" t="s">
        <v>160</v>
      </c>
      <c r="G10" s="67" t="s">
        <v>161</v>
      </c>
      <c r="H10" s="67" t="s">
        <v>162</v>
      </c>
      <c r="I10" s="67" t="s">
        <v>163</v>
      </c>
      <c r="J10" s="67" t="s">
        <v>164</v>
      </c>
      <c r="K10" s="67" t="s">
        <v>165</v>
      </c>
    </row>
    <row r="11" spans="1:13">
      <c r="A11" s="66" t="s">
        <v>166</v>
      </c>
      <c r="B11" s="68">
        <f>'Sales Entry'!C20</f>
        <v>0.25</v>
      </c>
      <c r="C11" s="68">
        <f>'Sales Entry'!C21</f>
        <v>0.2</v>
      </c>
      <c r="D11" s="68">
        <f>'Sales Entry'!C22</f>
        <v>0.7</v>
      </c>
      <c r="E11" s="68">
        <f>'Sales Entry'!C23</f>
        <v>0</v>
      </c>
      <c r="F11" s="68">
        <f>'Sales Entry'!C24</f>
        <v>0</v>
      </c>
      <c r="G11" s="68">
        <f>'Sales Entry'!C25</f>
        <v>0</v>
      </c>
      <c r="H11" s="68">
        <f>'Sales Entry'!C26</f>
        <v>0</v>
      </c>
      <c r="I11" s="68">
        <f>'Sales Entry'!C27</f>
        <v>0</v>
      </c>
      <c r="J11" s="68">
        <f>'Sales Entry'!C28</f>
        <v>0</v>
      </c>
      <c r="K11" s="69"/>
    </row>
    <row r="12" spans="1:13">
      <c r="A12" s="66" t="s">
        <v>167</v>
      </c>
      <c r="B12" s="68">
        <f>'Sales Entry'!C30</f>
        <v>0.35</v>
      </c>
      <c r="C12" s="68">
        <f>'Sales Entry'!C31</f>
        <v>1</v>
      </c>
      <c r="D12" s="70">
        <f>'Sales Entry'!C32</f>
        <v>1</v>
      </c>
      <c r="E12" s="68">
        <f>'Sales Entry'!C33</f>
        <v>4.4999999999999998E-2</v>
      </c>
      <c r="F12" s="68">
        <f>'Sales Entry'!C34</f>
        <v>4.4999999999999998E-2</v>
      </c>
      <c r="G12" s="68">
        <f>'Sales Entry'!C35</f>
        <v>0.5</v>
      </c>
      <c r="H12" s="68">
        <f>'Sales Entry'!C36</f>
        <v>0.25</v>
      </c>
      <c r="I12" s="68">
        <f>'Sales Entry'!C37</f>
        <v>0.5</v>
      </c>
      <c r="J12" s="68">
        <f>'Sales Entry'!C38</f>
        <v>0</v>
      </c>
      <c r="K12" s="69"/>
    </row>
    <row r="13" spans="1:13">
      <c r="A13" s="66" t="s">
        <v>168</v>
      </c>
      <c r="B13" s="63">
        <f t="shared" ref="B13:J13" si="0">IFERROR(AVERAGE(B11,B12),"")</f>
        <v>0.3</v>
      </c>
      <c r="C13" s="63">
        <f t="shared" si="0"/>
        <v>0.6</v>
      </c>
      <c r="D13" s="63">
        <f t="shared" si="0"/>
        <v>0.85</v>
      </c>
      <c r="E13" s="63">
        <f t="shared" si="0"/>
        <v>2.2499999999999999E-2</v>
      </c>
      <c r="F13" s="63">
        <f t="shared" si="0"/>
        <v>2.2499999999999999E-2</v>
      </c>
      <c r="G13" s="63">
        <f t="shared" si="0"/>
        <v>0.25</v>
      </c>
      <c r="H13" s="63">
        <f t="shared" si="0"/>
        <v>0.125</v>
      </c>
      <c r="I13" s="63">
        <f t="shared" si="0"/>
        <v>0.25</v>
      </c>
      <c r="J13" s="63">
        <f t="shared" si="0"/>
        <v>0</v>
      </c>
      <c r="K13" s="63"/>
    </row>
    <row r="15" spans="1:13" ht="18.75" customHeight="1">
      <c r="A15" s="187" t="s">
        <v>169</v>
      </c>
      <c r="B15" s="197"/>
      <c r="C15" s="197"/>
      <c r="D15" s="197"/>
      <c r="E15" s="197"/>
      <c r="F15" s="197"/>
      <c r="G15" s="197"/>
      <c r="H15" s="197"/>
      <c r="I15" s="197"/>
      <c r="J15" s="197"/>
      <c r="K15" s="197"/>
      <c r="L15" s="197"/>
      <c r="M15" s="197"/>
    </row>
    <row r="16" spans="1:13">
      <c r="A16" t="s">
        <v>170</v>
      </c>
      <c r="H16" t="s">
        <v>171</v>
      </c>
    </row>
    <row r="17" spans="1:13" ht="15.75" customHeight="1">
      <c r="A17" s="71" t="s">
        <v>172</v>
      </c>
      <c r="B17" s="71" t="s">
        <v>173</v>
      </c>
      <c r="C17" s="71" t="s">
        <v>174</v>
      </c>
      <c r="D17" s="71" t="s">
        <v>175</v>
      </c>
      <c r="E17" s="71" t="s">
        <v>176</v>
      </c>
      <c r="F17" s="71" t="s">
        <v>177</v>
      </c>
      <c r="H17" s="71" t="s">
        <v>172</v>
      </c>
      <c r="I17" s="71" t="s">
        <v>173</v>
      </c>
      <c r="J17" s="71" t="s">
        <v>174</v>
      </c>
      <c r="K17" s="71" t="s">
        <v>175</v>
      </c>
      <c r="L17" s="71" t="s">
        <v>176</v>
      </c>
      <c r="M17" s="71" t="s">
        <v>177</v>
      </c>
    </row>
    <row r="18" spans="1:13">
      <c r="A18" s="37">
        <v>1</v>
      </c>
      <c r="B18" s="37"/>
      <c r="C18" s="72"/>
      <c r="D18" s="37"/>
      <c r="E18" s="73"/>
      <c r="F18" s="74">
        <f t="shared" ref="F18:F29" si="1">E18*D18</f>
        <v>0</v>
      </c>
      <c r="H18" s="37">
        <v>1</v>
      </c>
      <c r="I18" s="37"/>
      <c r="J18" s="37" t="s">
        <v>178</v>
      </c>
      <c r="K18" s="75">
        <v>117</v>
      </c>
      <c r="L18" s="75">
        <v>0.3</v>
      </c>
      <c r="M18" s="74">
        <f t="shared" ref="M18:M29" si="2">L18*K18</f>
        <v>35.1</v>
      </c>
    </row>
    <row r="19" spans="1:13">
      <c r="A19" s="37">
        <v>2</v>
      </c>
      <c r="B19" s="37"/>
      <c r="C19" s="37"/>
      <c r="D19" s="37"/>
      <c r="E19" s="73"/>
      <c r="F19" s="74">
        <f t="shared" si="1"/>
        <v>0</v>
      </c>
      <c r="H19" s="37">
        <v>6</v>
      </c>
      <c r="I19" s="37"/>
      <c r="J19" s="37" t="s">
        <v>179</v>
      </c>
      <c r="K19" s="75">
        <v>268</v>
      </c>
      <c r="L19" s="75">
        <v>0.75</v>
      </c>
      <c r="M19" s="74">
        <f t="shared" si="2"/>
        <v>201</v>
      </c>
    </row>
    <row r="20" spans="1:13">
      <c r="A20" s="37">
        <v>3</v>
      </c>
      <c r="B20" s="37"/>
      <c r="C20" s="37"/>
      <c r="D20" s="37"/>
      <c r="E20" s="73"/>
      <c r="F20" s="74">
        <f t="shared" si="1"/>
        <v>0</v>
      </c>
      <c r="H20" s="37">
        <v>3</v>
      </c>
      <c r="I20" s="37"/>
      <c r="J20" s="37" t="s">
        <v>180</v>
      </c>
      <c r="K20" s="75">
        <v>2900</v>
      </c>
      <c r="L20" s="75">
        <v>0</v>
      </c>
      <c r="M20" s="74">
        <f t="shared" si="2"/>
        <v>0</v>
      </c>
    </row>
    <row r="21" spans="1:13">
      <c r="A21" s="37">
        <v>4</v>
      </c>
      <c r="B21" s="37"/>
      <c r="C21" s="37"/>
      <c r="D21" s="37"/>
      <c r="E21" s="73"/>
      <c r="F21" s="74">
        <f t="shared" si="1"/>
        <v>0</v>
      </c>
      <c r="H21" s="37">
        <v>4</v>
      </c>
      <c r="I21" s="37"/>
      <c r="J21" s="37" t="s">
        <v>181</v>
      </c>
      <c r="K21" s="73">
        <v>177</v>
      </c>
      <c r="L21" s="73">
        <v>0.8</v>
      </c>
      <c r="M21" s="74">
        <f t="shared" si="2"/>
        <v>141.6</v>
      </c>
    </row>
    <row r="22" spans="1:13">
      <c r="A22" s="37">
        <v>5</v>
      </c>
      <c r="B22" s="37"/>
      <c r="C22" s="37"/>
      <c r="D22" s="37"/>
      <c r="E22" s="73"/>
      <c r="F22" s="74">
        <f t="shared" si="1"/>
        <v>0</v>
      </c>
      <c r="H22" s="37">
        <v>5</v>
      </c>
      <c r="I22" s="37"/>
      <c r="J22" s="37" t="s">
        <v>182</v>
      </c>
      <c r="K22" s="37">
        <v>1550</v>
      </c>
      <c r="L22" s="73">
        <v>0</v>
      </c>
      <c r="M22" s="74">
        <f t="shared" si="2"/>
        <v>0</v>
      </c>
    </row>
    <row r="23" spans="1:13">
      <c r="A23" s="37">
        <v>6</v>
      </c>
      <c r="B23" s="37"/>
      <c r="C23" s="37"/>
      <c r="D23" s="37"/>
      <c r="E23" s="73"/>
      <c r="F23" s="74">
        <f t="shared" si="1"/>
        <v>0</v>
      </c>
      <c r="H23" s="37">
        <v>6</v>
      </c>
      <c r="I23" s="37"/>
      <c r="J23" s="37" t="s">
        <v>183</v>
      </c>
      <c r="K23" s="37">
        <v>103</v>
      </c>
      <c r="L23" s="73">
        <v>0.1</v>
      </c>
      <c r="M23" s="74">
        <f t="shared" si="2"/>
        <v>10.3</v>
      </c>
    </row>
    <row r="24" spans="1:13">
      <c r="A24" s="37">
        <v>7</v>
      </c>
      <c r="B24" s="37"/>
      <c r="C24" s="37"/>
      <c r="D24" s="37"/>
      <c r="E24" s="73"/>
      <c r="F24" s="74">
        <f t="shared" si="1"/>
        <v>0</v>
      </c>
      <c r="H24" s="37">
        <v>7</v>
      </c>
      <c r="I24" s="37"/>
      <c r="J24" s="37" t="s">
        <v>184</v>
      </c>
      <c r="K24" s="37">
        <v>3100</v>
      </c>
      <c r="L24" s="73">
        <v>0</v>
      </c>
      <c r="M24" s="74">
        <f t="shared" si="2"/>
        <v>0</v>
      </c>
    </row>
    <row r="25" spans="1:13">
      <c r="A25" s="37">
        <v>8</v>
      </c>
      <c r="B25" s="37"/>
      <c r="C25" s="37"/>
      <c r="D25" s="37"/>
      <c r="E25" s="73"/>
      <c r="F25" s="74">
        <f t="shared" si="1"/>
        <v>0</v>
      </c>
      <c r="H25" s="37">
        <v>8</v>
      </c>
      <c r="I25" s="37"/>
      <c r="J25" s="37" t="s">
        <v>185</v>
      </c>
      <c r="K25" s="37">
        <v>272</v>
      </c>
      <c r="L25" s="73">
        <v>0</v>
      </c>
      <c r="M25" s="74">
        <f t="shared" si="2"/>
        <v>0</v>
      </c>
    </row>
    <row r="26" spans="1:13">
      <c r="A26" s="37">
        <v>9</v>
      </c>
      <c r="B26" s="37"/>
      <c r="C26" s="37"/>
      <c r="D26" s="37"/>
      <c r="E26" s="73"/>
      <c r="F26" s="74">
        <f t="shared" si="1"/>
        <v>0</v>
      </c>
      <c r="H26" s="37">
        <v>9</v>
      </c>
      <c r="I26" s="37"/>
      <c r="J26" s="37" t="s">
        <v>186</v>
      </c>
      <c r="K26" s="37">
        <v>45</v>
      </c>
      <c r="L26" s="73">
        <v>53</v>
      </c>
      <c r="M26" s="74">
        <f t="shared" si="2"/>
        <v>2385</v>
      </c>
    </row>
    <row r="27" spans="1:13">
      <c r="A27" s="37">
        <v>10</v>
      </c>
      <c r="B27" s="37"/>
      <c r="C27" s="37"/>
      <c r="D27" s="37"/>
      <c r="E27" s="73"/>
      <c r="F27" s="74">
        <f t="shared" si="1"/>
        <v>0</v>
      </c>
      <c r="H27" s="37">
        <v>10</v>
      </c>
      <c r="I27" s="37"/>
      <c r="J27" s="37" t="s">
        <v>187</v>
      </c>
      <c r="K27" s="37">
        <v>168</v>
      </c>
      <c r="L27" s="73">
        <v>0</v>
      </c>
      <c r="M27" s="74">
        <f t="shared" si="2"/>
        <v>0</v>
      </c>
    </row>
    <row r="28" spans="1:13">
      <c r="A28" s="37">
        <v>11</v>
      </c>
      <c r="B28" s="37"/>
      <c r="C28" s="37"/>
      <c r="D28" s="37"/>
      <c r="E28" s="73"/>
      <c r="F28" s="74">
        <f t="shared" si="1"/>
        <v>0</v>
      </c>
      <c r="H28" s="37">
        <v>11</v>
      </c>
      <c r="I28" s="37"/>
      <c r="J28" s="37" t="s">
        <v>188</v>
      </c>
      <c r="K28" s="37">
        <v>56</v>
      </c>
      <c r="L28" s="73">
        <v>45.05</v>
      </c>
      <c r="M28" s="74">
        <f t="shared" si="2"/>
        <v>2522.7999999999997</v>
      </c>
    </row>
    <row r="29" spans="1:13">
      <c r="A29" s="37">
        <v>12</v>
      </c>
      <c r="B29" s="37"/>
      <c r="C29" s="37"/>
      <c r="D29" s="37"/>
      <c r="E29" s="73"/>
      <c r="F29" s="74">
        <f t="shared" si="1"/>
        <v>0</v>
      </c>
      <c r="H29" s="37">
        <v>12</v>
      </c>
      <c r="I29" s="37"/>
      <c r="J29" s="37"/>
      <c r="K29" s="37"/>
      <c r="L29" s="73"/>
      <c r="M29" s="74">
        <f t="shared" si="2"/>
        <v>0</v>
      </c>
    </row>
    <row r="30" spans="1:13">
      <c r="A30" s="178" t="s">
        <v>189</v>
      </c>
      <c r="B30" s="198"/>
      <c r="C30" s="199"/>
      <c r="D30" s="74">
        <f>IFERROR(F30/E30,0)</f>
        <v>0</v>
      </c>
      <c r="E30" s="74">
        <f>SUM(E18:E29)</f>
        <v>0</v>
      </c>
      <c r="F30" s="74">
        <f>SUM(F18:F29)</f>
        <v>0</v>
      </c>
      <c r="H30" s="178" t="s">
        <v>190</v>
      </c>
      <c r="I30" s="198"/>
      <c r="J30" s="199"/>
      <c r="K30" s="74">
        <f>IFERROR(M30/L30,0)</f>
        <v>52.957999999999991</v>
      </c>
      <c r="L30" s="74">
        <f>SUM(L18:L29)</f>
        <v>100</v>
      </c>
      <c r="M30" s="74">
        <f>SUM(M18:M29)</f>
        <v>5295.7999999999993</v>
      </c>
    </row>
    <row r="31" spans="1:13">
      <c r="A31" s="1"/>
      <c r="B31" s="1"/>
      <c r="C31" s="1"/>
      <c r="H31" s="1"/>
      <c r="I31" s="1"/>
      <c r="J31" s="1"/>
    </row>
    <row r="32" spans="1:13" s="13" customFormat="1" ht="30" customHeight="1">
      <c r="A32" s="76" t="s">
        <v>191</v>
      </c>
      <c r="B32" s="76" t="s">
        <v>192</v>
      </c>
      <c r="C32" s="76" t="s">
        <v>193</v>
      </c>
      <c r="D32" s="76" t="s">
        <v>194</v>
      </c>
      <c r="E32" s="76" t="s">
        <v>195</v>
      </c>
      <c r="F32" s="76" t="s">
        <v>196</v>
      </c>
      <c r="G32" s="31"/>
      <c r="H32" s="31"/>
      <c r="I32" s="31"/>
      <c r="J32" s="31"/>
    </row>
    <row r="33" spans="1:9">
      <c r="A33" s="37"/>
      <c r="B33" s="72"/>
      <c r="C33" s="37"/>
      <c r="D33" s="63"/>
      <c r="E33" s="74">
        <f>K30</f>
        <v>52.957999999999991</v>
      </c>
      <c r="F33" s="73">
        <f>IF(D33=0,E33,D33)</f>
        <v>52.957999999999991</v>
      </c>
    </row>
    <row r="35" spans="1:9" ht="18.75" customHeight="1">
      <c r="A35" s="189" t="s">
        <v>197</v>
      </c>
      <c r="B35" s="195"/>
      <c r="C35" s="195"/>
      <c r="D35" s="195"/>
      <c r="E35" s="195"/>
      <c r="F35" s="195"/>
      <c r="G35" s="195"/>
      <c r="H35" s="196"/>
    </row>
    <row r="36" spans="1:9">
      <c r="A36" s="66" t="s">
        <v>198</v>
      </c>
      <c r="B36" s="67" t="s">
        <v>199</v>
      </c>
      <c r="C36" s="67" t="s">
        <v>200</v>
      </c>
      <c r="D36" s="67" t="s">
        <v>201</v>
      </c>
      <c r="E36" s="67" t="s">
        <v>202</v>
      </c>
      <c r="F36" s="67" t="s">
        <v>203</v>
      </c>
      <c r="G36" s="67" t="s">
        <v>204</v>
      </c>
      <c r="H36" s="67"/>
    </row>
    <row r="37" spans="1:9">
      <c r="A37" s="66" t="s">
        <v>166</v>
      </c>
      <c r="B37" s="65">
        <f>'Sales Entry'!C40</f>
        <v>0</v>
      </c>
      <c r="C37" s="65">
        <f>'Sales Entry'!C41</f>
        <v>0</v>
      </c>
      <c r="D37" s="65">
        <f>'Sales Entry'!C42</f>
        <v>0</v>
      </c>
      <c r="E37" s="65">
        <f>'Sales Entry'!C43</f>
        <v>0</v>
      </c>
      <c r="F37" s="65">
        <f>'Sales Entry'!C44</f>
        <v>0</v>
      </c>
      <c r="G37" s="65">
        <f>'Sales Entry'!C45</f>
        <v>0</v>
      </c>
      <c r="H37" s="63"/>
    </row>
    <row r="38" spans="1:9">
      <c r="A38" s="66" t="s">
        <v>167</v>
      </c>
      <c r="B38" s="65">
        <f>'Sales Entry'!C47</f>
        <v>0</v>
      </c>
      <c r="C38" s="65">
        <f>'Sales Entry'!C48</f>
        <v>0</v>
      </c>
      <c r="D38" s="65">
        <f>'Sales Entry'!C49</f>
        <v>0</v>
      </c>
      <c r="E38" s="65">
        <f>'Sales Entry'!C50</f>
        <v>0</v>
      </c>
      <c r="F38" s="65">
        <f>'Sales Entry'!C51</f>
        <v>0</v>
      </c>
      <c r="G38" s="65">
        <f>'Sales Entry'!C52</f>
        <v>0</v>
      </c>
      <c r="H38" s="63"/>
    </row>
    <row r="40" spans="1:9">
      <c r="A40" s="66" t="s">
        <v>104</v>
      </c>
      <c r="B40" s="176" t="str">
        <f>'Sales Entry'!C54</f>
        <v>Quenched &amp; Tempered</v>
      </c>
      <c r="C40" s="196"/>
      <c r="D40" s="63"/>
      <c r="E40" s="66" t="s">
        <v>107</v>
      </c>
      <c r="F40" s="176" t="str">
        <f>'Sales Entry'!C55</f>
        <v>Oiling</v>
      </c>
      <c r="G40" s="196"/>
      <c r="H40" s="63"/>
    </row>
    <row r="41" spans="1:9">
      <c r="A41" s="66" t="s">
        <v>109</v>
      </c>
      <c r="B41" s="176">
        <f>'Sales Entry'!C56</f>
        <v>0</v>
      </c>
      <c r="C41" s="196"/>
      <c r="D41" s="63"/>
      <c r="E41" s="63"/>
      <c r="F41" s="181"/>
      <c r="G41" s="196"/>
      <c r="H41" s="63"/>
    </row>
    <row r="42" spans="1:9">
      <c r="A42" s="66" t="s">
        <v>111</v>
      </c>
      <c r="B42" s="176">
        <f>'Sales Entry'!C57</f>
        <v>0</v>
      </c>
      <c r="C42" s="196"/>
      <c r="D42" s="63"/>
      <c r="E42" s="61" t="s">
        <v>112</v>
      </c>
      <c r="F42" s="176" t="str">
        <f>'Sales Entry'!C58</f>
        <v>UDL</v>
      </c>
      <c r="G42" s="196"/>
      <c r="H42" s="63"/>
    </row>
    <row r="43" spans="1:9">
      <c r="A43" s="66" t="s">
        <v>115</v>
      </c>
      <c r="B43" s="176">
        <f>'Sales Entry'!C59</f>
        <v>0</v>
      </c>
      <c r="C43" s="196"/>
      <c r="D43" s="63"/>
      <c r="E43" s="63"/>
      <c r="F43" s="181"/>
      <c r="G43" s="196"/>
      <c r="H43" s="63"/>
    </row>
    <row r="45" spans="1:9">
      <c r="A45" s="61"/>
      <c r="B45" s="179" t="s">
        <v>177</v>
      </c>
      <c r="C45" s="196"/>
      <c r="D45" s="61"/>
      <c r="E45" s="179" t="s">
        <v>205</v>
      </c>
      <c r="F45" s="196"/>
      <c r="G45" s="179" t="s">
        <v>174</v>
      </c>
      <c r="H45" s="196"/>
    </row>
    <row r="46" spans="1:9">
      <c r="A46" s="78" t="s">
        <v>206</v>
      </c>
      <c r="B46" s="181">
        <f>H7</f>
        <v>250000</v>
      </c>
      <c r="C46" s="196"/>
      <c r="D46" s="78" t="s">
        <v>207</v>
      </c>
      <c r="E46" s="175">
        <f>VLOOKUP(E45,'Drop Downs'!A:B,2,0)</f>
        <v>1.05</v>
      </c>
      <c r="F46" s="199"/>
      <c r="G46" s="175">
        <f>VLOOKUP(F5,'Drop Downs'!A:B,2,0)</f>
        <v>7.86</v>
      </c>
      <c r="H46" s="199"/>
    </row>
    <row r="47" spans="1:9">
      <c r="A47" s="78" t="s">
        <v>118</v>
      </c>
      <c r="B47" s="176">
        <f>'Sales Entry'!C61</f>
        <v>10</v>
      </c>
      <c r="C47" s="196"/>
      <c r="D47" s="78" t="s">
        <v>208</v>
      </c>
      <c r="E47" s="175">
        <f>G47*$E$46/$G$46</f>
        <v>1.3893129770992366E-2</v>
      </c>
      <c r="F47" s="199"/>
      <c r="G47" s="184">
        <f>'Sales Entry'!C63</f>
        <v>0.104</v>
      </c>
      <c r="H47" s="196"/>
      <c r="I47" s="42"/>
    </row>
    <row r="48" spans="1:9">
      <c r="A48" s="78" t="s">
        <v>209</v>
      </c>
      <c r="B48" s="176" t="str">
        <f>'Sales Entry'!C62</f>
        <v>1X117 MOD</v>
      </c>
      <c r="C48" s="196"/>
      <c r="D48" s="78" t="s">
        <v>210</v>
      </c>
      <c r="E48" s="175">
        <f>G48*$E$46/$G$46</f>
        <v>0.10419847328244275</v>
      </c>
      <c r="F48" s="199"/>
      <c r="G48" s="184">
        <f>'Sales Entry'!C64</f>
        <v>0.78</v>
      </c>
      <c r="H48" s="196"/>
    </row>
    <row r="49" spans="1:12">
      <c r="A49" s="78" t="s">
        <v>211</v>
      </c>
      <c r="B49" s="79">
        <f>VLOOKUP(B48,'Drop Downs'!J:K,2,0)</f>
        <v>2.4049999999999998</v>
      </c>
      <c r="C49" s="79">
        <f>B49*$G$46/$E$46</f>
        <v>18.003142857142855</v>
      </c>
      <c r="D49" s="78" t="s">
        <v>212</v>
      </c>
      <c r="E49" s="175">
        <f>E48+E47</f>
        <v>0.11809160305343512</v>
      </c>
      <c r="F49" s="199"/>
      <c r="G49" s="175">
        <f>G48+G47</f>
        <v>0.88400000000000001</v>
      </c>
      <c r="H49" s="199"/>
    </row>
    <row r="50" spans="1:12">
      <c r="A50" s="78" t="s">
        <v>126</v>
      </c>
      <c r="B50" s="80">
        <f>'Sales Entry'!C65</f>
        <v>16</v>
      </c>
      <c r="C50" s="79">
        <f>IF(B50="",C49,B50)</f>
        <v>16</v>
      </c>
      <c r="D50" s="78"/>
      <c r="E50" s="79"/>
      <c r="F50" s="81"/>
      <c r="G50" s="79"/>
      <c r="H50" s="81"/>
      <c r="J50" s="33"/>
    </row>
    <row r="51" spans="1:12">
      <c r="A51" s="78" t="s">
        <v>213</v>
      </c>
      <c r="B51" s="185">
        <f>(G48*B47)/G51</f>
        <v>0.3140096618357488</v>
      </c>
      <c r="C51" s="199"/>
      <c r="D51" s="78" t="s">
        <v>214</v>
      </c>
      <c r="E51" s="175">
        <f>(E49*B47)+B49</f>
        <v>3.5859160305343512</v>
      </c>
      <c r="F51" s="199"/>
      <c r="G51" s="175">
        <f>(G49*B47)+C50</f>
        <v>24.84</v>
      </c>
      <c r="H51" s="199"/>
      <c r="L51" s="42"/>
    </row>
    <row r="53" spans="1:12" ht="30" customHeight="1">
      <c r="A53" s="82" t="s">
        <v>215</v>
      </c>
      <c r="B53" s="82" t="s">
        <v>216</v>
      </c>
      <c r="C53" s="82" t="s">
        <v>217</v>
      </c>
      <c r="D53" s="82" t="s">
        <v>218</v>
      </c>
    </row>
    <row r="54" spans="1:12">
      <c r="A54" s="66" t="s">
        <v>219</v>
      </c>
      <c r="B54" s="83">
        <v>0.15</v>
      </c>
      <c r="C54" s="84">
        <f>IF(B54&gt;0,B$47*(1-$B54),"")</f>
        <v>8.5</v>
      </c>
      <c r="D54" s="84">
        <f>IFERROR(ROUNDUP(($B$46/$C54),0),"")</f>
        <v>29412</v>
      </c>
    </row>
    <row r="55" spans="1:12">
      <c r="A55" s="66" t="s">
        <v>220</v>
      </c>
      <c r="B55" s="83">
        <v>0.2</v>
      </c>
      <c r="C55" s="84">
        <f>IF(B55&gt;0,B$47*(1-$B55),"")</f>
        <v>8</v>
      </c>
      <c r="D55" s="84">
        <f>IFERROR(ROUNDUP(($B$46/$C55),0),"")</f>
        <v>31250</v>
      </c>
    </row>
    <row r="56" spans="1:12">
      <c r="A56" s="66" t="s">
        <v>156</v>
      </c>
      <c r="B56" s="83">
        <v>0.25</v>
      </c>
      <c r="C56" s="84">
        <f>IF(B56&gt;0,B$47*(1-$B56),"")</f>
        <v>7.5</v>
      </c>
      <c r="D56" s="84">
        <f>IFERROR(ROUNDUP(($B$46/$C56),0),"")</f>
        <v>33334</v>
      </c>
    </row>
    <row r="58" spans="1:12" ht="30" customHeight="1">
      <c r="A58" s="85" t="s">
        <v>221</v>
      </c>
      <c r="B58" s="86" t="s">
        <v>222</v>
      </c>
      <c r="C58" s="86" t="s">
        <v>223</v>
      </c>
      <c r="D58" s="86" t="s">
        <v>224</v>
      </c>
      <c r="E58" s="86" t="s">
        <v>175</v>
      </c>
      <c r="F58" s="86" t="s">
        <v>225</v>
      </c>
      <c r="G58" s="174" t="s">
        <v>226</v>
      </c>
      <c r="H58" s="196"/>
    </row>
    <row r="59" spans="1:12">
      <c r="A59" s="78" t="s">
        <v>227</v>
      </c>
      <c r="B59" s="67" t="s">
        <v>228</v>
      </c>
      <c r="C59" s="87">
        <v>1</v>
      </c>
      <c r="D59" s="87">
        <v>1</v>
      </c>
      <c r="E59" s="63"/>
      <c r="F59" s="88">
        <f t="shared" ref="F59:F68" si="3">$E59/(300/($G$51/$B$47))</f>
        <v>0</v>
      </c>
      <c r="G59" s="177"/>
      <c r="H59" s="196"/>
    </row>
    <row r="60" spans="1:12">
      <c r="A60" s="78" t="s">
        <v>229</v>
      </c>
      <c r="B60" s="67" t="s">
        <v>228</v>
      </c>
      <c r="C60" s="87">
        <v>1</v>
      </c>
      <c r="D60" s="87">
        <v>1</v>
      </c>
      <c r="E60" s="63"/>
      <c r="F60" s="88">
        <f t="shared" si="3"/>
        <v>0</v>
      </c>
      <c r="G60" s="177"/>
      <c r="H60" s="196"/>
    </row>
    <row r="61" spans="1:12">
      <c r="A61" s="78" t="s">
        <v>230</v>
      </c>
      <c r="B61" s="67" t="s">
        <v>231</v>
      </c>
      <c r="C61" s="87"/>
      <c r="D61" s="87"/>
      <c r="E61" s="63"/>
      <c r="F61" s="88">
        <f t="shared" si="3"/>
        <v>0</v>
      </c>
      <c r="G61" s="177"/>
      <c r="H61" s="196"/>
    </row>
    <row r="62" spans="1:12">
      <c r="A62" s="78" t="s">
        <v>232</v>
      </c>
      <c r="B62" s="67" t="s">
        <v>231</v>
      </c>
      <c r="C62" s="87"/>
      <c r="D62" s="87"/>
      <c r="E62" s="63"/>
      <c r="F62" s="88">
        <f t="shared" si="3"/>
        <v>0</v>
      </c>
      <c r="G62" s="177"/>
      <c r="H62" s="196"/>
    </row>
    <row r="63" spans="1:12">
      <c r="A63" s="78" t="s">
        <v>233</v>
      </c>
      <c r="B63" s="67" t="s">
        <v>231</v>
      </c>
      <c r="C63" s="87"/>
      <c r="D63" s="87"/>
      <c r="E63" s="63"/>
      <c r="F63" s="88">
        <f t="shared" si="3"/>
        <v>0</v>
      </c>
      <c r="G63" s="177"/>
      <c r="H63" s="196"/>
    </row>
    <row r="64" spans="1:12">
      <c r="A64" s="78" t="s">
        <v>234</v>
      </c>
      <c r="B64" s="67" t="s">
        <v>228</v>
      </c>
      <c r="C64" s="87"/>
      <c r="D64" s="87"/>
      <c r="E64" s="63">
        <v>0</v>
      </c>
      <c r="F64" s="88">
        <f t="shared" si="3"/>
        <v>0</v>
      </c>
      <c r="G64" s="177"/>
      <c r="H64" s="196"/>
    </row>
    <row r="65" spans="1:9">
      <c r="A65" s="78" t="s">
        <v>235</v>
      </c>
      <c r="B65" s="67" t="s">
        <v>231</v>
      </c>
      <c r="C65" s="87"/>
      <c r="D65" s="87"/>
      <c r="E65" s="63"/>
      <c r="F65" s="88">
        <f t="shared" si="3"/>
        <v>0</v>
      </c>
      <c r="G65" s="177"/>
      <c r="H65" s="196"/>
    </row>
    <row r="66" spans="1:9">
      <c r="A66" s="78" t="s">
        <v>236</v>
      </c>
      <c r="B66" s="67" t="s">
        <v>231</v>
      </c>
      <c r="C66" s="87"/>
      <c r="D66" s="87"/>
      <c r="E66" s="63"/>
      <c r="F66" s="88">
        <f t="shared" si="3"/>
        <v>0</v>
      </c>
      <c r="G66" s="177"/>
      <c r="H66" s="196"/>
    </row>
    <row r="67" spans="1:9">
      <c r="A67" s="78" t="s">
        <v>237</v>
      </c>
      <c r="B67" s="67" t="s">
        <v>231</v>
      </c>
      <c r="C67" s="87"/>
      <c r="D67" s="87"/>
      <c r="E67" s="63">
        <v>0</v>
      </c>
      <c r="F67" s="88">
        <f t="shared" si="3"/>
        <v>0</v>
      </c>
      <c r="G67" s="177"/>
      <c r="H67" s="196"/>
    </row>
    <row r="68" spans="1:9">
      <c r="A68" s="78" t="s">
        <v>238</v>
      </c>
      <c r="B68" s="67" t="s">
        <v>231</v>
      </c>
      <c r="C68" s="87"/>
      <c r="D68" s="87"/>
      <c r="E68" s="63"/>
      <c r="F68" s="88">
        <f t="shared" si="3"/>
        <v>0</v>
      </c>
      <c r="G68" s="177"/>
      <c r="H68" s="196"/>
    </row>
    <row r="70" spans="1:9" s="13" customFormat="1" ht="30" customHeight="1">
      <c r="A70" s="86"/>
      <c r="B70" s="86"/>
      <c r="C70" s="86" t="s">
        <v>239</v>
      </c>
      <c r="D70" s="86" t="s">
        <v>175</v>
      </c>
      <c r="E70" s="86" t="s">
        <v>240</v>
      </c>
      <c r="F70" s="86" t="s">
        <v>241</v>
      </c>
    </row>
    <row r="71" spans="1:9">
      <c r="A71" s="89" t="s">
        <v>242</v>
      </c>
      <c r="B71" s="86" t="s">
        <v>243</v>
      </c>
      <c r="C71" s="90">
        <f>E49*B47</f>
        <v>1.1809160305343511</v>
      </c>
      <c r="D71" s="74">
        <f>IF($F$2="Nasik",VLOOKUP('Estimation Sheet'!$B71,'Wax Shell Rate'!$A:$D,2,0),IF($F$2="Mn",VLOOKUP('Estimation Sheet'!$B71,'Wax Shell Rate'!$A:$D,3,0),0))</f>
        <v>81.790000000000006</v>
      </c>
      <c r="E71" s="74">
        <f t="shared" ref="E71:F75" si="4">$D71*$C71</f>
        <v>96.587122137404592</v>
      </c>
      <c r="F71" s="74">
        <f t="shared" si="4"/>
        <v>96.587122137404592</v>
      </c>
    </row>
    <row r="72" spans="1:9">
      <c r="A72" s="89"/>
      <c r="B72" s="86" t="s">
        <v>244</v>
      </c>
      <c r="C72" s="90">
        <f>IF(B50="",B49,B50/G46)</f>
        <v>2.0356234096692112</v>
      </c>
      <c r="D72" s="74">
        <f>IF($F$2="Nasik",VLOOKUP('Estimation Sheet'!$B72,'Wax Shell Rate'!$A:$D,2,0),IF($F$2="Mn",VLOOKUP('Estimation Sheet'!$B72,'Wax Shell Rate'!$A:$D,3,0),0))</f>
        <v>13.88</v>
      </c>
      <c r="E72" s="74">
        <f t="shared" si="4"/>
        <v>28.254452926208653</v>
      </c>
      <c r="F72" s="74">
        <f t="shared" si="4"/>
        <v>28.254452926208653</v>
      </c>
    </row>
    <row r="73" spans="1:9">
      <c r="A73" s="91"/>
      <c r="B73" s="86" t="s">
        <v>245</v>
      </c>
      <c r="C73" s="92">
        <v>0</v>
      </c>
      <c r="D73" s="74">
        <f>IF($F$2="Nasik",VLOOKUP('Estimation Sheet'!$B73,'Wax Shell Rate'!$A:$D,2,0),IF($F$2="Mn",VLOOKUP('Estimation Sheet'!$B73,'Wax Shell Rate'!$A:$D,3,0),0))</f>
        <v>70</v>
      </c>
      <c r="E73" s="74">
        <f t="shared" si="4"/>
        <v>0</v>
      </c>
      <c r="F73" s="74">
        <f t="shared" si="4"/>
        <v>0</v>
      </c>
    </row>
    <row r="74" spans="1:9">
      <c r="A74" s="91"/>
      <c r="B74" s="86" t="s">
        <v>246</v>
      </c>
      <c r="C74" s="63">
        <v>0.15</v>
      </c>
      <c r="D74" s="74">
        <f>IF($F$2="Nasik",VLOOKUP('Estimation Sheet'!$B74,'Wax Shell Rate'!$A:$D,2,0),IF($F$2="Mn",VLOOKUP('Estimation Sheet'!$B74,'Wax Shell Rate'!$A:$D,3,0),0))</f>
        <v>400</v>
      </c>
      <c r="E74" s="74">
        <f t="shared" si="4"/>
        <v>60</v>
      </c>
      <c r="F74" s="74">
        <f t="shared" si="4"/>
        <v>60</v>
      </c>
    </row>
    <row r="75" spans="1:9">
      <c r="A75" s="89" t="s">
        <v>247</v>
      </c>
      <c r="B75" s="86" t="s">
        <v>248</v>
      </c>
      <c r="C75" s="90">
        <f>G51*0.6</f>
        <v>14.904</v>
      </c>
      <c r="D75" s="74">
        <f>IF($F$2="Nasik",IF(F5="MS",VLOOKUP('Estimation Sheet'!$B75,'Wax Shell Rate'!$A:$D,2,0),VLOOKUP('Estimation Sheet'!$B75,'Wax Shell Rate'!$A:$D,3,0)),IF($F$2="Mn",VLOOKUP('Estimation Sheet'!$B75,'Wax Shell Rate'!$A:$D,4,0),0))</f>
        <v>42</v>
      </c>
      <c r="E75" s="74">
        <f t="shared" si="4"/>
        <v>625.96799999999996</v>
      </c>
      <c r="F75" s="74">
        <f t="shared" si="4"/>
        <v>625.96799999999996</v>
      </c>
    </row>
    <row r="76" spans="1:9">
      <c r="A76" s="89" t="s">
        <v>249</v>
      </c>
      <c r="B76" s="67" t="s">
        <v>250</v>
      </c>
      <c r="C76" s="90"/>
      <c r="D76" s="74"/>
      <c r="E76" s="74"/>
      <c r="F76" s="74"/>
    </row>
    <row r="77" spans="1:9">
      <c r="A77" s="89" t="s">
        <v>249</v>
      </c>
      <c r="B77" s="86" t="s">
        <v>251</v>
      </c>
      <c r="C77" s="90">
        <f>G51</f>
        <v>24.84</v>
      </c>
      <c r="D77" s="74">
        <f>IF(B76="Virgin",D30,K30)*(1+IF(F2="Nasik",Master!C11,Master!B11))</f>
        <v>52.957999999999991</v>
      </c>
      <c r="E77" s="74"/>
      <c r="F77" s="74">
        <f>D77*C77</f>
        <v>1315.4767199999999</v>
      </c>
    </row>
    <row r="78" spans="1:9">
      <c r="A78" s="93"/>
      <c r="B78" s="86" t="s">
        <v>252</v>
      </c>
      <c r="C78" s="90">
        <f>($G$51*(1-IF($F$2="Nasik",Master!$C$9,Master!$B$9)))-($G$47*$B$47*0.33)-($G$48*$B$47)</f>
        <v>15.951599999999999</v>
      </c>
      <c r="D78" s="74">
        <f>IF(E33&lt;&gt;0,E33,IF(B76="Virgin",D30,K30))</f>
        <v>52.957999999999991</v>
      </c>
      <c r="E78" s="74">
        <f>($C$77*$D$77)-($D$78*$C$78)</f>
        <v>470.71188720000009</v>
      </c>
      <c r="F78" s="74"/>
      <c r="I78" s="14"/>
    </row>
    <row r="79" spans="1:9">
      <c r="A79" s="93" t="s">
        <v>253</v>
      </c>
      <c r="B79" s="94"/>
      <c r="C79" s="63"/>
      <c r="D79" s="74">
        <f>IF($F$2="Nasik",IF($F$5="SS",VLOOKUP('Estimation Sheet'!$A79,Master!$A:$D,4,0),VLOOKUP('Estimation Sheet'!$A79,Master!$A:$D,3,0)),IF($F$2="Mn",VLOOKUP('Estimation Sheet'!$A79,Master!$A:$D,2,0),0))</f>
        <v>645.02</v>
      </c>
      <c r="E79" s="74">
        <f>$D79*$C$77/VLOOKUP($F$2,Master!$H:$I,2,0)</f>
        <v>593.41840000000002</v>
      </c>
      <c r="F79" s="74">
        <f>$D79*$C$77/VLOOKUP($F$2,Master!$H:$I,2,0)</f>
        <v>593.41840000000002</v>
      </c>
    </row>
    <row r="80" spans="1:9">
      <c r="A80" s="93" t="s">
        <v>104</v>
      </c>
      <c r="B80" s="94"/>
      <c r="C80" s="90">
        <f>G48*B47</f>
        <v>7.8000000000000007</v>
      </c>
      <c r="D80" s="95">
        <v>30</v>
      </c>
      <c r="E80" s="74">
        <f>$D80*$C80</f>
        <v>234.00000000000003</v>
      </c>
      <c r="F80" s="74">
        <f>$D80*$C80</f>
        <v>234.00000000000003</v>
      </c>
      <c r="H80" s="14"/>
    </row>
    <row r="81" spans="1:13">
      <c r="A81" s="93" t="s">
        <v>254</v>
      </c>
      <c r="B81" s="94"/>
      <c r="C81" s="92"/>
      <c r="D81" s="74">
        <f>IF($F$2="Nasik",VLOOKUP('Estimation Sheet'!$A81,Master!$A:$D,3,0),IF($F$2="Mn",VLOOKUP('Estimation Sheet'!$A81,Master!$A:$D,2,0),0))</f>
        <v>26</v>
      </c>
      <c r="E81" s="74">
        <f>$D81*$C$77</f>
        <v>645.84</v>
      </c>
      <c r="F81" s="74">
        <f>$D81*$C$77</f>
        <v>645.84</v>
      </c>
    </row>
    <row r="82" spans="1:13">
      <c r="A82" s="93" t="s">
        <v>255</v>
      </c>
      <c r="B82" s="94"/>
      <c r="C82" s="92"/>
      <c r="D82" s="74">
        <f>IF($F$2="Nasik",VLOOKUP('Estimation Sheet'!$A82,Master!$A:$D,3,0),IF($F$2="Mn",VLOOKUP('Estimation Sheet'!$A82,Master!$A:$D,2,0),0))</f>
        <v>0</v>
      </c>
      <c r="E82" s="74">
        <f>$D82*$C$77/VLOOKUP($F$2,Master!$H:$I,2,0)</f>
        <v>0</v>
      </c>
      <c r="F82" s="74">
        <f>$D82*$C$77/VLOOKUP($F$2,Master!$H:$I,2,0)</f>
        <v>0</v>
      </c>
    </row>
    <row r="83" spans="1:13">
      <c r="A83" s="93" t="s">
        <v>256</v>
      </c>
      <c r="B83" s="94"/>
      <c r="C83" s="63"/>
      <c r="D83" s="74">
        <f>IF($F$2="Nasik",VLOOKUP('Estimation Sheet'!$A83,Master!$A:$D,3,0),IF($F$2="Mn",VLOOKUP('Estimation Sheet'!$A83,Master!$A:$D,2,0),0))</f>
        <v>488</v>
      </c>
      <c r="E83" s="74">
        <f>$D83*$C$77/VLOOKUP($F$2,Master!$H:$I,2,0)</f>
        <v>448.96</v>
      </c>
      <c r="F83" s="74">
        <f>$D83*$C$77/VLOOKUP($F$2,Master!$H:$I,2,0)</f>
        <v>448.96</v>
      </c>
    </row>
    <row r="84" spans="1:13">
      <c r="A84" s="93" t="s">
        <v>257</v>
      </c>
      <c r="B84" s="94"/>
      <c r="C84" s="63"/>
      <c r="D84" s="74">
        <f>IF($F$2="Nasik",IF($F$5="SS",VLOOKUP('Estimation Sheet'!$A84,Master!$A:$D,4,0),VLOOKUP('Estimation Sheet'!$A84,Master!$A:$D,3,0)),IF($F$2="Mn",VLOOKUP('Estimation Sheet'!$A84,Master!$A:$D,2,0),0))</f>
        <v>1621.88</v>
      </c>
      <c r="E84" s="74">
        <f>$D84*$C$77/VLOOKUP($F$2,Master!$H:$I,2,0)</f>
        <v>1492.1296000000002</v>
      </c>
      <c r="F84" s="74">
        <f>$D84*$C$77/VLOOKUP($F$2,Master!$H:$I,2,0)</f>
        <v>1492.1296000000002</v>
      </c>
    </row>
    <row r="85" spans="1:13">
      <c r="A85" s="93" t="s">
        <v>258</v>
      </c>
      <c r="B85" s="94"/>
      <c r="C85" s="63"/>
      <c r="D85" s="96">
        <v>0.01</v>
      </c>
      <c r="E85" s="74">
        <f t="array" ref="E85">SUM(E71:E84*D85)</f>
        <v>46.958694622636145</v>
      </c>
      <c r="F85" s="74">
        <f t="array" ref="F85">SUM(F71:F84*D85)</f>
        <v>55.40634295063613</v>
      </c>
    </row>
    <row r="86" spans="1:13">
      <c r="A86" s="93" t="s">
        <v>259</v>
      </c>
      <c r="B86" s="94"/>
      <c r="C86" s="63"/>
      <c r="D86" s="95"/>
      <c r="E86" s="74">
        <f>SUM(E71:E85)</f>
        <v>4742.8281568862503</v>
      </c>
      <c r="F86" s="74">
        <f>SUM(F71:F85)</f>
        <v>5596.0406380142495</v>
      </c>
      <c r="G86" s="14"/>
    </row>
    <row r="87" spans="1:13" ht="21.75" customHeight="1">
      <c r="A87" s="97" t="s">
        <v>260</v>
      </c>
      <c r="B87" s="97"/>
      <c r="C87" s="97"/>
      <c r="D87" s="98"/>
      <c r="E87" s="99">
        <f>E86</f>
        <v>4742.8281568862503</v>
      </c>
      <c r="F87" s="99">
        <f>F86</f>
        <v>5596.0406380142495</v>
      </c>
    </row>
    <row r="89" spans="1:13" ht="30" customHeight="1">
      <c r="A89" s="100" t="s">
        <v>261</v>
      </c>
      <c r="B89" s="57" t="s">
        <v>175</v>
      </c>
      <c r="C89" s="183" t="s">
        <v>262</v>
      </c>
      <c r="D89" s="195"/>
      <c r="E89" s="196"/>
      <c r="F89" s="183" t="s">
        <v>263</v>
      </c>
      <c r="G89" s="195"/>
      <c r="H89" s="196"/>
      <c r="I89" s="82" t="s">
        <v>264</v>
      </c>
      <c r="J89" s="82" t="s">
        <v>265</v>
      </c>
      <c r="K89" s="82" t="s">
        <v>266</v>
      </c>
      <c r="L89" s="82" t="s">
        <v>267</v>
      </c>
      <c r="M89" s="82" t="s">
        <v>268</v>
      </c>
    </row>
    <row r="90" spans="1:13">
      <c r="A90" s="93" t="s">
        <v>269</v>
      </c>
      <c r="B90" s="101"/>
      <c r="C90" s="102">
        <f>$B$54</f>
        <v>0.15</v>
      </c>
      <c r="D90" s="102">
        <f>IF($B$55&gt;0,$B$55,"")</f>
        <v>0.2</v>
      </c>
      <c r="E90" s="102">
        <f>$B$56</f>
        <v>0.25</v>
      </c>
      <c r="F90" s="102">
        <f>$B$54</f>
        <v>0.15</v>
      </c>
      <c r="G90" s="102">
        <f>$B$55</f>
        <v>0.2</v>
      </c>
      <c r="H90" s="102">
        <f>$B$56</f>
        <v>0.25</v>
      </c>
      <c r="I90" s="63"/>
      <c r="J90" s="63"/>
      <c r="K90" s="63"/>
      <c r="L90" s="63"/>
      <c r="M90" s="63"/>
    </row>
    <row r="91" spans="1:13">
      <c r="A91" s="93" t="s">
        <v>270</v>
      </c>
      <c r="B91" s="95"/>
      <c r="C91" s="74">
        <f>IF($B$54&gt;0,$E$87/$B$47/(1-C$90),"")</f>
        <v>557.97978316308831</v>
      </c>
      <c r="D91" s="74">
        <f>IF($B$55&gt;0,$E$87/$B$47/(1-D$90),"")</f>
        <v>592.85351961078129</v>
      </c>
      <c r="E91" s="74">
        <f>IF($B$56&gt;0,$E$87/$B$47/(1-E$90),"")</f>
        <v>632.37708758483336</v>
      </c>
      <c r="F91" s="74">
        <f>IF($B$54&gt;0,$F$87/$B$47/(1-F$90),"")</f>
        <v>658.3577221193234</v>
      </c>
      <c r="G91" s="74">
        <f>IF($B$55&gt;0,$F$87/$B$47/(1-G$90),"")</f>
        <v>699.50507975178107</v>
      </c>
      <c r="H91" s="74">
        <f>IF($B$56&gt;0,$F$87/$B$47/(1-H$90),"")</f>
        <v>746.1387517352332</v>
      </c>
      <c r="I91" s="63"/>
      <c r="J91" s="63"/>
      <c r="K91" s="63"/>
      <c r="L91" s="63"/>
      <c r="M91" s="63"/>
    </row>
    <row r="92" spans="1:13">
      <c r="A92" s="67" t="s">
        <v>271</v>
      </c>
      <c r="B92" s="95">
        <v>200</v>
      </c>
      <c r="C92" s="103">
        <f t="shared" ref="C92:C105" si="5">IF($B$54&gt;0,IF($M92="NO",$B92,IF($M92="MD",$B92/$B$47,IF($M92="KG",$B92*$G$48,0))),"")</f>
        <v>20</v>
      </c>
      <c r="D92" s="103">
        <f t="shared" ref="D92:D105" si="6">IF($B$55&gt;0,IF($M92="NO",$B92,IF($M92="MD",$B92/$B$47,IF($M92="KG",$B92*$G$48,0))),"")</f>
        <v>20</v>
      </c>
      <c r="E92" s="103">
        <f t="shared" ref="E92:E105" si="7">IF($B$56&gt;0,IF($M92="NO",$B92,IF($M92="MD",$B92/$B$47,IF($M92="KG",$B92*$G$48,0))),"")</f>
        <v>20</v>
      </c>
      <c r="F92" s="103">
        <f t="shared" ref="F92:F105" si="8">IF($B$54&gt;0,IF($M92="NO",$B92,IF($M92="MD",$B92/$B$47,IF($M92="KG",$B92*$G$48,0))),"")</f>
        <v>20</v>
      </c>
      <c r="G92" s="103">
        <f t="shared" ref="G92:G105" si="9">IF($B$55&gt;0,IF($M92="NO",$B92,IF($M92="MD",$B92/$B$47,IF($M92="KG",$B92*$G$48,0))),"")</f>
        <v>20</v>
      </c>
      <c r="H92" s="103">
        <f t="shared" ref="H92:H105" si="10">IF($B$56&gt;0,IF($M92="NO",$B92,IF($M92="MD",$B92/$B$47,IF($M92="KG",$B92*$G$48,0))),"")</f>
        <v>20</v>
      </c>
      <c r="I92" s="67" t="s">
        <v>272</v>
      </c>
      <c r="J92" s="63"/>
      <c r="K92" s="63"/>
      <c r="L92" s="63"/>
      <c r="M92" s="63" t="s">
        <v>273</v>
      </c>
    </row>
    <row r="93" spans="1:13">
      <c r="A93" s="67" t="s">
        <v>274</v>
      </c>
      <c r="B93" s="95">
        <v>200</v>
      </c>
      <c r="C93" s="103">
        <f t="shared" si="5"/>
        <v>20</v>
      </c>
      <c r="D93" s="103">
        <f t="shared" si="6"/>
        <v>20</v>
      </c>
      <c r="E93" s="103">
        <f t="shared" si="7"/>
        <v>20</v>
      </c>
      <c r="F93" s="103">
        <f t="shared" si="8"/>
        <v>20</v>
      </c>
      <c r="G93" s="103">
        <f t="shared" si="9"/>
        <v>20</v>
      </c>
      <c r="H93" s="103">
        <f t="shared" si="10"/>
        <v>20</v>
      </c>
      <c r="I93" s="67" t="s">
        <v>272</v>
      </c>
      <c r="J93" s="63"/>
      <c r="K93" s="63"/>
      <c r="L93" s="63"/>
      <c r="M93" s="63" t="s">
        <v>273</v>
      </c>
    </row>
    <row r="94" spans="1:13">
      <c r="A94" s="67" t="s">
        <v>275</v>
      </c>
      <c r="B94" s="95">
        <v>10</v>
      </c>
      <c r="C94" s="103">
        <f t="shared" si="5"/>
        <v>10</v>
      </c>
      <c r="D94" s="103">
        <f t="shared" si="6"/>
        <v>10</v>
      </c>
      <c r="E94" s="103">
        <f t="shared" si="7"/>
        <v>10</v>
      </c>
      <c r="F94" s="103">
        <f t="shared" si="8"/>
        <v>10</v>
      </c>
      <c r="G94" s="103">
        <f t="shared" si="9"/>
        <v>10</v>
      </c>
      <c r="H94" s="103">
        <f t="shared" si="10"/>
        <v>10</v>
      </c>
      <c r="I94" s="67" t="s">
        <v>272</v>
      </c>
      <c r="J94" s="63"/>
      <c r="K94" s="63"/>
      <c r="L94" s="63"/>
      <c r="M94" s="63" t="s">
        <v>231</v>
      </c>
    </row>
    <row r="95" spans="1:13">
      <c r="A95" s="67" t="s">
        <v>276</v>
      </c>
      <c r="B95" s="95">
        <v>5</v>
      </c>
      <c r="C95" s="103">
        <f t="shared" si="5"/>
        <v>5</v>
      </c>
      <c r="D95" s="103">
        <f t="shared" si="6"/>
        <v>5</v>
      </c>
      <c r="E95" s="103">
        <f t="shared" si="7"/>
        <v>5</v>
      </c>
      <c r="F95" s="103">
        <f t="shared" si="8"/>
        <v>5</v>
      </c>
      <c r="G95" s="103">
        <f t="shared" si="9"/>
        <v>5</v>
      </c>
      <c r="H95" s="103">
        <f t="shared" si="10"/>
        <v>5</v>
      </c>
      <c r="I95" s="67" t="s">
        <v>272</v>
      </c>
      <c r="J95" s="63"/>
      <c r="K95" s="63"/>
      <c r="L95" s="63"/>
      <c r="M95" s="63" t="str">
        <f>IFERROR(VLOOKUP(A95,'Drop Downs'!Z:AA,2,0),"")</f>
        <v>NO</v>
      </c>
    </row>
    <row r="96" spans="1:13">
      <c r="A96" s="67" t="s">
        <v>277</v>
      </c>
      <c r="B96" s="95">
        <v>10</v>
      </c>
      <c r="C96" s="103">
        <f t="shared" si="5"/>
        <v>10</v>
      </c>
      <c r="D96" s="103">
        <f t="shared" si="6"/>
        <v>10</v>
      </c>
      <c r="E96" s="103">
        <f t="shared" si="7"/>
        <v>10</v>
      </c>
      <c r="F96" s="103">
        <f t="shared" si="8"/>
        <v>10</v>
      </c>
      <c r="G96" s="103">
        <f t="shared" si="9"/>
        <v>10</v>
      </c>
      <c r="H96" s="103">
        <f t="shared" si="10"/>
        <v>10</v>
      </c>
      <c r="I96" s="67" t="s">
        <v>272</v>
      </c>
      <c r="J96" s="63"/>
      <c r="K96" s="63"/>
      <c r="L96" s="63"/>
      <c r="M96" s="63" t="str">
        <f>IFERROR(VLOOKUP(A96,'Drop Downs'!Z:AA,2,0),"")</f>
        <v>No</v>
      </c>
    </row>
    <row r="97" spans="1:14">
      <c r="A97" s="67" t="s">
        <v>278</v>
      </c>
      <c r="B97" s="95">
        <v>4</v>
      </c>
      <c r="C97" s="103">
        <f t="shared" si="5"/>
        <v>4</v>
      </c>
      <c r="D97" s="103">
        <f t="shared" si="6"/>
        <v>4</v>
      </c>
      <c r="E97" s="103">
        <f t="shared" si="7"/>
        <v>4</v>
      </c>
      <c r="F97" s="103">
        <f t="shared" si="8"/>
        <v>4</v>
      </c>
      <c r="G97" s="103">
        <f t="shared" si="9"/>
        <v>4</v>
      </c>
      <c r="H97" s="103">
        <f t="shared" si="10"/>
        <v>4</v>
      </c>
      <c r="I97" s="67" t="s">
        <v>272</v>
      </c>
      <c r="J97" s="63"/>
      <c r="K97" s="63"/>
      <c r="L97" s="63"/>
      <c r="M97" s="63" t="str">
        <f>IFERROR(VLOOKUP(A97,'Drop Downs'!Z:AA,2,0),"")</f>
        <v>NO</v>
      </c>
      <c r="N97" s="35"/>
    </row>
    <row r="98" spans="1:14">
      <c r="A98" s="67"/>
      <c r="B98" s="95"/>
      <c r="C98" s="103">
        <f t="shared" si="5"/>
        <v>0</v>
      </c>
      <c r="D98" s="103">
        <f t="shared" si="6"/>
        <v>0</v>
      </c>
      <c r="E98" s="103">
        <f t="shared" si="7"/>
        <v>0</v>
      </c>
      <c r="F98" s="103">
        <f t="shared" si="8"/>
        <v>0</v>
      </c>
      <c r="G98" s="103">
        <f t="shared" si="9"/>
        <v>0</v>
      </c>
      <c r="H98" s="103">
        <f t="shared" si="10"/>
        <v>0</v>
      </c>
      <c r="I98" s="67" t="s">
        <v>279</v>
      </c>
      <c r="J98" s="63"/>
      <c r="K98" s="63"/>
      <c r="L98" s="63"/>
      <c r="M98" s="63" t="str">
        <f>IFERROR(VLOOKUP(A98,'Drop Downs'!Z:AA,2,0),"")</f>
        <v/>
      </c>
    </row>
    <row r="99" spans="1:14">
      <c r="A99" s="67"/>
      <c r="B99" s="95"/>
      <c r="C99" s="103">
        <f t="shared" si="5"/>
        <v>0</v>
      </c>
      <c r="D99" s="103">
        <f t="shared" si="6"/>
        <v>0</v>
      </c>
      <c r="E99" s="103">
        <f t="shared" si="7"/>
        <v>0</v>
      </c>
      <c r="F99" s="103">
        <f t="shared" si="8"/>
        <v>0</v>
      </c>
      <c r="G99" s="103">
        <f t="shared" si="9"/>
        <v>0</v>
      </c>
      <c r="H99" s="103">
        <f t="shared" si="10"/>
        <v>0</v>
      </c>
      <c r="I99" s="67" t="s">
        <v>279</v>
      </c>
      <c r="J99" s="63"/>
      <c r="K99" s="63"/>
      <c r="L99" s="63"/>
      <c r="M99" s="63" t="str">
        <f>IFERROR(VLOOKUP(A99,'Drop Downs'!Z:AA,2,0),"")</f>
        <v/>
      </c>
    </row>
    <row r="100" spans="1:14">
      <c r="A100" s="67"/>
      <c r="B100" s="95"/>
      <c r="C100" s="103">
        <f t="shared" si="5"/>
        <v>0</v>
      </c>
      <c r="D100" s="103">
        <f t="shared" si="6"/>
        <v>0</v>
      </c>
      <c r="E100" s="103">
        <f t="shared" si="7"/>
        <v>0</v>
      </c>
      <c r="F100" s="103">
        <f t="shared" si="8"/>
        <v>0</v>
      </c>
      <c r="G100" s="103">
        <f t="shared" si="9"/>
        <v>0</v>
      </c>
      <c r="H100" s="103">
        <f t="shared" si="10"/>
        <v>0</v>
      </c>
      <c r="I100" s="67" t="s">
        <v>279</v>
      </c>
      <c r="J100" s="63"/>
      <c r="K100" s="63"/>
      <c r="L100" s="63"/>
      <c r="M100" s="63" t="str">
        <f>IFERROR(VLOOKUP(A100,'Drop Downs'!Z:AA,2,0),"")</f>
        <v/>
      </c>
    </row>
    <row r="101" spans="1:14">
      <c r="A101" s="67"/>
      <c r="B101" s="95"/>
      <c r="C101" s="103">
        <f t="shared" si="5"/>
        <v>0</v>
      </c>
      <c r="D101" s="103">
        <f t="shared" si="6"/>
        <v>0</v>
      </c>
      <c r="E101" s="103">
        <f t="shared" si="7"/>
        <v>0</v>
      </c>
      <c r="F101" s="103">
        <f t="shared" si="8"/>
        <v>0</v>
      </c>
      <c r="G101" s="103">
        <f t="shared" si="9"/>
        <v>0</v>
      </c>
      <c r="H101" s="103">
        <f t="shared" si="10"/>
        <v>0</v>
      </c>
      <c r="I101" s="67" t="s">
        <v>279</v>
      </c>
      <c r="J101" s="63"/>
      <c r="K101" s="63"/>
      <c r="L101" s="63"/>
      <c r="M101" s="63" t="str">
        <f>IFERROR(VLOOKUP(A101,'Drop Downs'!Z:AA,2,0),"")</f>
        <v/>
      </c>
    </row>
    <row r="102" spans="1:14">
      <c r="A102" s="67"/>
      <c r="B102" s="95"/>
      <c r="C102" s="103">
        <f t="shared" si="5"/>
        <v>0</v>
      </c>
      <c r="D102" s="103">
        <f t="shared" si="6"/>
        <v>0</v>
      </c>
      <c r="E102" s="103">
        <f t="shared" si="7"/>
        <v>0</v>
      </c>
      <c r="F102" s="103">
        <f t="shared" si="8"/>
        <v>0</v>
      </c>
      <c r="G102" s="103">
        <f t="shared" si="9"/>
        <v>0</v>
      </c>
      <c r="H102" s="103">
        <f t="shared" si="10"/>
        <v>0</v>
      </c>
      <c r="I102" s="67" t="s">
        <v>279</v>
      </c>
      <c r="J102" s="63"/>
      <c r="K102" s="63"/>
      <c r="L102" s="63"/>
      <c r="M102" s="63" t="str">
        <f>IFERROR(VLOOKUP(A102,'Drop Downs'!Z:AA,2,0),"")</f>
        <v/>
      </c>
    </row>
    <row r="103" spans="1:14">
      <c r="A103" s="67"/>
      <c r="B103" s="95"/>
      <c r="C103" s="103">
        <f t="shared" si="5"/>
        <v>0</v>
      </c>
      <c r="D103" s="103">
        <f t="shared" si="6"/>
        <v>0</v>
      </c>
      <c r="E103" s="103">
        <f t="shared" si="7"/>
        <v>0</v>
      </c>
      <c r="F103" s="103">
        <f t="shared" si="8"/>
        <v>0</v>
      </c>
      <c r="G103" s="103">
        <f t="shared" si="9"/>
        <v>0</v>
      </c>
      <c r="H103" s="103">
        <f t="shared" si="10"/>
        <v>0</v>
      </c>
      <c r="I103" s="67" t="s">
        <v>279</v>
      </c>
      <c r="J103" s="63"/>
      <c r="K103" s="63"/>
      <c r="L103" s="63"/>
      <c r="M103" s="63" t="str">
        <f>IFERROR(VLOOKUP(A103,'Drop Downs'!Z:AA,2,0),"")</f>
        <v/>
      </c>
    </row>
    <row r="104" spans="1:14">
      <c r="A104" s="67"/>
      <c r="B104" s="95"/>
      <c r="C104" s="103">
        <f t="shared" si="5"/>
        <v>0</v>
      </c>
      <c r="D104" s="103">
        <f t="shared" si="6"/>
        <v>0</v>
      </c>
      <c r="E104" s="103">
        <f t="shared" si="7"/>
        <v>0</v>
      </c>
      <c r="F104" s="103">
        <f t="shared" si="8"/>
        <v>0</v>
      </c>
      <c r="G104" s="103">
        <f t="shared" si="9"/>
        <v>0</v>
      </c>
      <c r="H104" s="103">
        <f t="shared" si="10"/>
        <v>0</v>
      </c>
      <c r="I104" s="67" t="s">
        <v>279</v>
      </c>
      <c r="J104" s="63"/>
      <c r="K104" s="63"/>
      <c r="L104" s="63"/>
      <c r="M104" s="63" t="str">
        <f>IFERROR(VLOOKUP(A104,'Drop Downs'!Z:AA,2,0),"")</f>
        <v/>
      </c>
    </row>
    <row r="105" spans="1:14">
      <c r="A105" s="67"/>
      <c r="B105" s="95"/>
      <c r="C105" s="103">
        <f t="shared" si="5"/>
        <v>0</v>
      </c>
      <c r="D105" s="103">
        <f t="shared" si="6"/>
        <v>0</v>
      </c>
      <c r="E105" s="103">
        <f t="shared" si="7"/>
        <v>0</v>
      </c>
      <c r="F105" s="103">
        <f t="shared" si="8"/>
        <v>0</v>
      </c>
      <c r="G105" s="103">
        <f t="shared" si="9"/>
        <v>0</v>
      </c>
      <c r="H105" s="103">
        <f t="shared" si="10"/>
        <v>0</v>
      </c>
      <c r="I105" s="67" t="s">
        <v>279</v>
      </c>
      <c r="J105" s="63"/>
      <c r="K105" s="63"/>
      <c r="L105" s="63"/>
      <c r="M105" s="63" t="str">
        <f>IFERROR(VLOOKUP(A105,'Drop Downs'!Z:AA,2,0),"")</f>
        <v/>
      </c>
    </row>
    <row r="106" spans="1:14">
      <c r="A106" s="93" t="s">
        <v>280</v>
      </c>
      <c r="B106" s="95"/>
      <c r="C106" s="74">
        <f>IF($B$54&gt;0,SUM(C91:C105)*$B106,"")</f>
        <v>0</v>
      </c>
      <c r="D106" s="74">
        <f>IF($B$55&gt;0,SUM(D91:D105)*$B106,"")</f>
        <v>0</v>
      </c>
      <c r="E106" s="74">
        <f>IF($B$56&gt;0,SUM(E91:E105)*$B106,"")</f>
        <v>0</v>
      </c>
      <c r="F106" s="74">
        <f>IF($B$54&gt;0,SUM(F91:F105)*$B106,"")</f>
        <v>0</v>
      </c>
      <c r="G106" s="74">
        <f>IF($B$55&gt;0,SUM(G91:G105)*$B106,"")</f>
        <v>0</v>
      </c>
      <c r="H106" s="74">
        <f>IF($B$56&gt;0,SUM(H91:H105)*$B106,"")</f>
        <v>0</v>
      </c>
    </row>
    <row r="107" spans="1:14" ht="22.5" customHeight="1">
      <c r="A107" s="104" t="s">
        <v>281</v>
      </c>
      <c r="B107" s="105"/>
      <c r="C107" s="106">
        <f t="shared" ref="C107:H107" si="11">SUM(C91:C106)</f>
        <v>626.97978316308831</v>
      </c>
      <c r="D107" s="106">
        <f t="shared" si="11"/>
        <v>661.85351961078129</v>
      </c>
      <c r="E107" s="106">
        <f t="shared" si="11"/>
        <v>701.37708758483336</v>
      </c>
      <c r="F107" s="106">
        <f t="shared" si="11"/>
        <v>727.3577221193234</v>
      </c>
      <c r="G107" s="106">
        <f t="shared" si="11"/>
        <v>768.50507975178107</v>
      </c>
      <c r="H107" s="106">
        <f t="shared" si="11"/>
        <v>815.1387517352332</v>
      </c>
    </row>
    <row r="108" spans="1:14">
      <c r="A108" s="100" t="s">
        <v>282</v>
      </c>
      <c r="B108" s="107"/>
      <c r="C108" s="108">
        <f t="shared" ref="C108:H108" si="12">IF($B$54&gt;0,$B108/(1-C$90),"")</f>
        <v>0</v>
      </c>
      <c r="D108" s="108">
        <f t="shared" si="12"/>
        <v>0</v>
      </c>
      <c r="E108" s="108">
        <f t="shared" si="12"/>
        <v>0</v>
      </c>
      <c r="F108" s="108">
        <f t="shared" si="12"/>
        <v>0</v>
      </c>
      <c r="G108" s="108">
        <f t="shared" si="12"/>
        <v>0</v>
      </c>
      <c r="H108" s="108">
        <f t="shared" si="12"/>
        <v>0</v>
      </c>
    </row>
    <row r="109" spans="1:14">
      <c r="A109" s="100" t="s">
        <v>283</v>
      </c>
      <c r="B109" s="109">
        <v>0</v>
      </c>
      <c r="C109" s="108">
        <f>IF($B$54&gt;0,$B109,"")</f>
        <v>0</v>
      </c>
      <c r="D109" s="108">
        <f>IF($B$55&gt;0,$B109,"")</f>
        <v>0</v>
      </c>
      <c r="E109" s="108">
        <f>IF($B$56&gt;0,$B109,"")</f>
        <v>0</v>
      </c>
      <c r="F109" s="108">
        <f>IF($B$54&gt;0,$B109,"")</f>
        <v>0</v>
      </c>
      <c r="G109" s="108">
        <f>IF($B$55&gt;0,$B109,"")</f>
        <v>0</v>
      </c>
      <c r="H109" s="108">
        <f>IF($B$56&gt;0,$B109,"")</f>
        <v>0</v>
      </c>
    </row>
    <row r="110" spans="1:14" ht="23.25" customHeight="1">
      <c r="A110" s="110" t="s">
        <v>284</v>
      </c>
      <c r="B110" s="111"/>
      <c r="C110" s="112">
        <f>IF($B$54&gt;0,C107+C108+C109,"")</f>
        <v>626.97978316308831</v>
      </c>
      <c r="D110" s="112">
        <f>IF($B$55&gt;0,D107+D108+D109,"")</f>
        <v>661.85351961078129</v>
      </c>
      <c r="E110" s="112">
        <f>IF($B$56&gt;0,E107+E108+E109,"")</f>
        <v>701.37708758483336</v>
      </c>
      <c r="F110" s="112">
        <f>IF($B$54&gt;0,F107+F108+F109,"")</f>
        <v>727.3577221193234</v>
      </c>
      <c r="G110" s="112">
        <f>IF($B$55&gt;0,G107+G108+G109,"")</f>
        <v>768.50507975178107</v>
      </c>
      <c r="H110" s="112">
        <f>IF($B$56&gt;0,H107+H108+H109,"")</f>
        <v>815.1387517352332</v>
      </c>
    </row>
    <row r="111" spans="1:14">
      <c r="A111" s="15" t="s">
        <v>285</v>
      </c>
    </row>
    <row r="112" spans="1:14" ht="30" customHeight="1">
      <c r="A112" s="82" t="s">
        <v>286</v>
      </c>
      <c r="B112" s="82" t="s">
        <v>265</v>
      </c>
      <c r="C112" s="82" t="s">
        <v>287</v>
      </c>
      <c r="D112" s="82" t="s">
        <v>288</v>
      </c>
      <c r="E112" s="82" t="s">
        <v>289</v>
      </c>
      <c r="F112" s="82" t="s">
        <v>290</v>
      </c>
      <c r="G112" s="82" t="s">
        <v>291</v>
      </c>
      <c r="H112" s="82" t="s">
        <v>259</v>
      </c>
    </row>
    <row r="113" spans="1:10">
      <c r="A113" s="113" t="s">
        <v>292</v>
      </c>
      <c r="B113" s="77"/>
      <c r="C113" s="67" t="s">
        <v>293</v>
      </c>
      <c r="D113" s="74">
        <f>IFERROR(VLOOKUP($C113,Master!$A$37:$B$45,2,0),0)</f>
        <v>650</v>
      </c>
      <c r="E113" s="74">
        <f t="shared" ref="E113:E122" si="13">(B113/60)*D113</f>
        <v>0</v>
      </c>
      <c r="F113" s="95"/>
      <c r="G113" s="114">
        <v>110</v>
      </c>
      <c r="H113" s="115">
        <f t="shared" ref="H113:H122" si="14">((E113*IF(F113="",1,F113)+G113))</f>
        <v>110</v>
      </c>
      <c r="I113" s="116" t="s">
        <v>294</v>
      </c>
      <c r="J113" s="12" t="s">
        <v>295</v>
      </c>
    </row>
    <row r="114" spans="1:10">
      <c r="A114" s="113"/>
      <c r="B114" s="77"/>
      <c r="C114" s="67"/>
      <c r="D114" s="74">
        <f>IFERROR(VLOOKUP($C114,Master!$A$37:$B$45,2,0),0)</f>
        <v>0</v>
      </c>
      <c r="E114" s="74">
        <f t="shared" si="13"/>
        <v>0</v>
      </c>
      <c r="F114" s="95"/>
      <c r="G114" s="63"/>
      <c r="H114" s="115">
        <f t="shared" si="14"/>
        <v>0</v>
      </c>
    </row>
    <row r="115" spans="1:10">
      <c r="A115" s="113"/>
      <c r="B115" s="77"/>
      <c r="C115" s="67"/>
      <c r="D115" s="74">
        <f>IFERROR(VLOOKUP($C115,Master!$A$37:$B$45,2,0),0)</f>
        <v>0</v>
      </c>
      <c r="E115" s="74">
        <f t="shared" si="13"/>
        <v>0</v>
      </c>
      <c r="F115" s="95"/>
      <c r="G115" s="63"/>
      <c r="H115" s="115">
        <f t="shared" si="14"/>
        <v>0</v>
      </c>
    </row>
    <row r="116" spans="1:10">
      <c r="A116" s="113"/>
      <c r="B116" s="77"/>
      <c r="C116" s="67"/>
      <c r="D116" s="74">
        <f>IFERROR(VLOOKUP($C116,Master!$A$37:$B$45,2,0),0)</f>
        <v>0</v>
      </c>
      <c r="E116" s="74">
        <f t="shared" si="13"/>
        <v>0</v>
      </c>
      <c r="F116" s="95"/>
      <c r="G116" s="63"/>
      <c r="H116" s="115">
        <f t="shared" si="14"/>
        <v>0</v>
      </c>
    </row>
    <row r="117" spans="1:10">
      <c r="A117" s="113"/>
      <c r="B117" s="77"/>
      <c r="C117" s="67"/>
      <c r="D117" s="74">
        <f>IFERROR(VLOOKUP($C117,Master!$A$37:$B$45,2,0),0)</f>
        <v>0</v>
      </c>
      <c r="E117" s="74">
        <f t="shared" si="13"/>
        <v>0</v>
      </c>
      <c r="F117" s="95"/>
      <c r="G117" s="63"/>
      <c r="H117" s="115">
        <f t="shared" si="14"/>
        <v>0</v>
      </c>
    </row>
    <row r="118" spans="1:10">
      <c r="A118" s="113"/>
      <c r="B118" s="77"/>
      <c r="C118" s="67"/>
      <c r="D118" s="74">
        <f>IFERROR(VLOOKUP($C118,Master!$A$37:$B$45,2,0),0)</f>
        <v>0</v>
      </c>
      <c r="E118" s="74">
        <f t="shared" si="13"/>
        <v>0</v>
      </c>
      <c r="F118" s="95"/>
      <c r="G118" s="63"/>
      <c r="H118" s="115">
        <f t="shared" si="14"/>
        <v>0</v>
      </c>
    </row>
    <row r="119" spans="1:10">
      <c r="A119" s="113"/>
      <c r="B119" s="77"/>
      <c r="C119" s="67"/>
      <c r="D119" s="74">
        <f>IFERROR(VLOOKUP($C119,Master!$A$37:$B$45,2,0),0)</f>
        <v>0</v>
      </c>
      <c r="E119" s="74">
        <f t="shared" si="13"/>
        <v>0</v>
      </c>
      <c r="F119" s="95"/>
      <c r="G119" s="63"/>
      <c r="H119" s="115">
        <f t="shared" si="14"/>
        <v>0</v>
      </c>
    </row>
    <row r="120" spans="1:10">
      <c r="A120" s="113"/>
      <c r="B120" s="77"/>
      <c r="C120" s="67"/>
      <c r="D120" s="74">
        <f>IFERROR(VLOOKUP($C120,Master!$A$37:$B$45,2,0),0)</f>
        <v>0</v>
      </c>
      <c r="E120" s="74">
        <f t="shared" si="13"/>
        <v>0</v>
      </c>
      <c r="F120" s="95"/>
      <c r="G120" s="63"/>
      <c r="H120" s="115">
        <f t="shared" si="14"/>
        <v>0</v>
      </c>
    </row>
    <row r="121" spans="1:10">
      <c r="A121" s="113"/>
      <c r="B121" s="77"/>
      <c r="C121" s="67"/>
      <c r="D121" s="74">
        <f>IFERROR(VLOOKUP($C121,Master!$A$37:$B$45,2,0),0)</f>
        <v>0</v>
      </c>
      <c r="E121" s="74">
        <f t="shared" si="13"/>
        <v>0</v>
      </c>
      <c r="F121" s="95"/>
      <c r="G121" s="63"/>
      <c r="H121" s="115">
        <f t="shared" si="14"/>
        <v>0</v>
      </c>
    </row>
    <row r="122" spans="1:10">
      <c r="A122" s="113"/>
      <c r="B122" s="77"/>
      <c r="C122" s="67"/>
      <c r="D122" s="74">
        <f>IFERROR(VLOOKUP($C122,Master!$A$37:$B$45,2,0),0)</f>
        <v>0</v>
      </c>
      <c r="E122" s="74">
        <f t="shared" si="13"/>
        <v>0</v>
      </c>
      <c r="F122" s="95"/>
      <c r="G122" s="63"/>
      <c r="H122" s="115">
        <f t="shared" si="14"/>
        <v>0</v>
      </c>
    </row>
    <row r="123" spans="1:10">
      <c r="A123" s="61" t="s">
        <v>296</v>
      </c>
      <c r="B123" s="61"/>
      <c r="C123" s="61"/>
      <c r="D123" s="117"/>
      <c r="E123" s="117"/>
      <c r="F123" s="61"/>
      <c r="G123" s="61"/>
      <c r="H123" s="118">
        <f>SUM(H113:H122)</f>
        <v>110</v>
      </c>
    </row>
    <row r="124" spans="1:10">
      <c r="H124" s="14"/>
    </row>
    <row r="125" spans="1:10">
      <c r="A125" s="61"/>
      <c r="B125" s="61"/>
      <c r="C125" s="182" t="s">
        <v>262</v>
      </c>
      <c r="D125" s="195"/>
      <c r="E125" s="196"/>
      <c r="F125" s="182" t="s">
        <v>263</v>
      </c>
      <c r="G125" s="195"/>
      <c r="H125" s="196"/>
    </row>
    <row r="126" spans="1:10">
      <c r="A126" s="61"/>
      <c r="B126" s="63"/>
      <c r="C126" s="102">
        <f>$B$54</f>
        <v>0.15</v>
      </c>
      <c r="D126" s="102">
        <f>$B$55</f>
        <v>0.2</v>
      </c>
      <c r="E126" s="102">
        <f>$B$56</f>
        <v>0.25</v>
      </c>
      <c r="F126" s="102">
        <f>$B$54</f>
        <v>0.15</v>
      </c>
      <c r="G126" s="102">
        <f>$B$55</f>
        <v>0.2</v>
      </c>
      <c r="H126" s="102">
        <f>$B$56</f>
        <v>0.25</v>
      </c>
    </row>
    <row r="127" spans="1:10">
      <c r="A127" s="61" t="s">
        <v>297</v>
      </c>
      <c r="B127" s="83">
        <v>0.03</v>
      </c>
      <c r="C127" s="115">
        <f>IF($B$54&gt;0,SUM(C$107:C$108)*$B127,"")</f>
        <v>18.80939349489265</v>
      </c>
      <c r="D127" s="115">
        <f>IF($B$55&gt;0,SUM(D$107:D$108)*$B127,"")</f>
        <v>19.855605588323439</v>
      </c>
      <c r="E127" s="115">
        <f>IF($B$56&gt;0,SUM(E$107:E$108)*$B127,"")</f>
        <v>21.041312627545</v>
      </c>
      <c r="F127" s="115">
        <f>IF($B$54&gt;0,SUM(F$107:F$108)*$B127,"")</f>
        <v>21.8207316635797</v>
      </c>
      <c r="G127" s="115">
        <f>IF($B$55&gt;0,SUM(G$107:G$108)*$B127,"")</f>
        <v>23.055152392553431</v>
      </c>
      <c r="H127" s="115">
        <f>IF($B$56&gt;0,SUM(H$107:H$108)*$B127,"")</f>
        <v>24.454162552056996</v>
      </c>
    </row>
    <row r="128" spans="1:10">
      <c r="A128" s="61" t="s">
        <v>257</v>
      </c>
      <c r="B128" s="83">
        <v>0.1</v>
      </c>
      <c r="C128" s="115">
        <f>IF($B$54&gt;0,SUM($H$123,C$127)*$B128,"")</f>
        <v>12.880939349489266</v>
      </c>
      <c r="D128" s="115">
        <f>IF($B$55&gt;0,SUM($H$123,D$127)*$B128,"")</f>
        <v>12.985560558832345</v>
      </c>
      <c r="E128" s="115">
        <f>IF($B$56&gt;0,SUM($H$123,E$127)*$B128,"")</f>
        <v>13.104131262754501</v>
      </c>
      <c r="F128" s="115">
        <f>IF($B$54&gt;0,SUM($H$123,F$127)*$B128,"")</f>
        <v>13.18207316635797</v>
      </c>
      <c r="G128" s="115">
        <f>IF($B$55&gt;0,SUM($H$123,G$127)*$B128,"")</f>
        <v>13.305515239255342</v>
      </c>
      <c r="H128" s="115">
        <f>IF($B$56&gt;0,SUM($H$123,H$127)*$B128,"")</f>
        <v>13.4454162552057</v>
      </c>
    </row>
    <row r="129" spans="1:10">
      <c r="A129" s="61" t="s">
        <v>298</v>
      </c>
      <c r="B129" s="63"/>
      <c r="C129" s="115">
        <f>IF($B$54&gt;0,$H$123+C128+C127,"")</f>
        <v>141.69033284438191</v>
      </c>
      <c r="D129" s="115">
        <f>IF($B$55&gt;0,$H$123+D128+D127,"")</f>
        <v>142.84116614715577</v>
      </c>
      <c r="E129" s="115">
        <f>IF($B$56&gt;0,$H$123+E128+E127,"")</f>
        <v>144.1454438902995</v>
      </c>
      <c r="F129" s="115">
        <f>IF($B$54&gt;0,$H$123+F128+F127,"")</f>
        <v>145.00280482993767</v>
      </c>
      <c r="G129" s="115">
        <f>IF($B$55&gt;0,$H$123+G128+G127,"")</f>
        <v>146.36066763180878</v>
      </c>
      <c r="H129" s="115">
        <f>IF($B$56&gt;0,$H$123+H128+H127,"")</f>
        <v>147.89957880726269</v>
      </c>
    </row>
    <row r="130" spans="1:10" ht="19.5" customHeight="1">
      <c r="A130" s="100" t="s">
        <v>299</v>
      </c>
      <c r="B130" s="109"/>
      <c r="C130" s="108">
        <f>IF($B$54&gt;0,C129,"")</f>
        <v>141.69033284438191</v>
      </c>
      <c r="D130" s="108">
        <f>D129</f>
        <v>142.84116614715577</v>
      </c>
      <c r="E130" s="108">
        <f>IF($B$56&gt;0,E129,"")</f>
        <v>144.1454438902995</v>
      </c>
      <c r="F130" s="108">
        <f>IF($B$54&gt;0,F129,"")</f>
        <v>145.00280482993767</v>
      </c>
      <c r="G130" s="108">
        <f>IF($B$55&gt;0,G129,"")</f>
        <v>146.36066763180878</v>
      </c>
      <c r="H130" s="108">
        <f>IF($B$56&gt;0,H129,"")</f>
        <v>147.89957880726269</v>
      </c>
    </row>
    <row r="131" spans="1:10" ht="24.75" customHeight="1">
      <c r="A131" s="20" t="s">
        <v>300</v>
      </c>
      <c r="B131" s="105"/>
      <c r="C131" s="119">
        <f>IF($B$54&gt;0,C130+C110,"")</f>
        <v>768.67011600747026</v>
      </c>
      <c r="D131" s="119">
        <f>IF($B$55&gt;0,D130+D110,"")</f>
        <v>804.69468575793712</v>
      </c>
      <c r="E131" s="119">
        <f>IF($B$56&gt;0,E130+E110,"")</f>
        <v>845.52253147513284</v>
      </c>
      <c r="F131" s="119">
        <f>IF($B$54&gt;0,F130+F110,"")</f>
        <v>872.36052694926104</v>
      </c>
      <c r="G131" s="119">
        <f>IF($B$55&gt;0,G130+G110,"")</f>
        <v>914.86574738358991</v>
      </c>
      <c r="H131" s="119">
        <f>IF($B$56&gt;0,H130+H110,"")</f>
        <v>963.03833054249594</v>
      </c>
      <c r="J131" s="14"/>
    </row>
    <row r="132" spans="1:10" ht="27" customHeight="1">
      <c r="A132" s="19" t="s">
        <v>301</v>
      </c>
      <c r="B132" s="120">
        <v>0</v>
      </c>
      <c r="C132" s="121">
        <f t="shared" ref="C132:H132" si="15">IF($B$54&gt;0,C131/(1-$B$132)-C131,"")</f>
        <v>0</v>
      </c>
      <c r="D132" s="121">
        <f t="shared" si="15"/>
        <v>0</v>
      </c>
      <c r="E132" s="121">
        <f t="shared" si="15"/>
        <v>0</v>
      </c>
      <c r="F132" s="121">
        <f t="shared" si="15"/>
        <v>0</v>
      </c>
      <c r="G132" s="121">
        <f t="shared" si="15"/>
        <v>0</v>
      </c>
      <c r="H132" s="121">
        <f t="shared" si="15"/>
        <v>0</v>
      </c>
    </row>
    <row r="133" spans="1:10" ht="27" customHeight="1">
      <c r="A133" s="19" t="s">
        <v>302</v>
      </c>
      <c r="B133" s="122"/>
      <c r="C133" s="121">
        <f t="shared" ref="C133:H133" si="16">IFERROR(C131+C132,0)</f>
        <v>768.67011600747026</v>
      </c>
      <c r="D133" s="121">
        <f t="shared" si="16"/>
        <v>804.69468575793712</v>
      </c>
      <c r="E133" s="121">
        <f t="shared" si="16"/>
        <v>845.52253147513284</v>
      </c>
      <c r="F133" s="121">
        <f t="shared" si="16"/>
        <v>872.36052694926104</v>
      </c>
      <c r="G133" s="121">
        <f t="shared" si="16"/>
        <v>914.86574738358991</v>
      </c>
      <c r="H133" s="121">
        <f t="shared" si="16"/>
        <v>963.03833054249594</v>
      </c>
      <c r="I133" s="43">
        <f>'Sales Entry'!C67</f>
        <v>900</v>
      </c>
      <c r="J133" s="14"/>
    </row>
    <row r="134" spans="1:10">
      <c r="A134" s="174" t="s">
        <v>303</v>
      </c>
      <c r="B134" s="62" t="str">
        <f>'Sales Entry'!C68</f>
        <v>INR</v>
      </c>
      <c r="C134" s="37"/>
      <c r="D134" s="37"/>
      <c r="E134" s="37"/>
      <c r="F134" s="37"/>
      <c r="G134" s="37"/>
      <c r="H134" s="37"/>
    </row>
    <row r="135" spans="1:10">
      <c r="A135" s="200"/>
      <c r="B135" s="123">
        <f>VLOOKUP(B134,'Exchange Rate'!A:B,2,0)</f>
        <v>1</v>
      </c>
      <c r="C135" s="74">
        <f t="shared" ref="C135:H135" si="17">IF($B$54&gt;0,C133/$B135,"")</f>
        <v>768.67011600747026</v>
      </c>
      <c r="D135" s="74">
        <f t="shared" si="17"/>
        <v>804.69468575793712</v>
      </c>
      <c r="E135" s="74">
        <f t="shared" si="17"/>
        <v>845.52253147513284</v>
      </c>
      <c r="F135" s="74">
        <f t="shared" si="17"/>
        <v>872.36052694926104</v>
      </c>
      <c r="G135" s="74">
        <f t="shared" si="17"/>
        <v>914.86574738358991</v>
      </c>
      <c r="H135" s="74">
        <f t="shared" si="17"/>
        <v>963.03833054249594</v>
      </c>
    </row>
    <row r="136" spans="1:10">
      <c r="A136" s="93" t="s">
        <v>304</v>
      </c>
      <c r="B136" s="95"/>
      <c r="C136" s="74">
        <f t="shared" ref="C136:H136" si="18">IF($B$54&gt;0,C133/$G$48,"")</f>
        <v>985.47450770188493</v>
      </c>
      <c r="D136" s="74">
        <f t="shared" si="18"/>
        <v>1031.6598535358169</v>
      </c>
      <c r="E136" s="74">
        <f t="shared" si="18"/>
        <v>1084.0032454809395</v>
      </c>
      <c r="F136" s="74">
        <f t="shared" si="18"/>
        <v>1118.4109319862321</v>
      </c>
      <c r="G136" s="74">
        <f t="shared" si="18"/>
        <v>1172.9048043379357</v>
      </c>
      <c r="H136" s="74">
        <f t="shared" si="18"/>
        <v>1234.6645263365333</v>
      </c>
    </row>
    <row r="137" spans="1:10">
      <c r="C137" s="14"/>
    </row>
    <row r="138" spans="1:10">
      <c r="A138" s="100" t="s">
        <v>305</v>
      </c>
      <c r="B138" s="124">
        <v>0</v>
      </c>
      <c r="C138" s="108">
        <f>IF($B$54&gt;0,$B138*C133,"")</f>
        <v>0</v>
      </c>
      <c r="D138" s="108">
        <f>IF($B$55&gt;0,$B138*D133,"")</f>
        <v>0</v>
      </c>
      <c r="E138" s="108">
        <f>IF($B$56&gt;0,$B138*E133,"")</f>
        <v>0</v>
      </c>
      <c r="F138" s="108">
        <f>IF($B$54&gt;0,$B138*F133,"")</f>
        <v>0</v>
      </c>
      <c r="G138" s="108">
        <f>IF($B$55&gt;0,$B138*G133,"")</f>
        <v>0</v>
      </c>
      <c r="H138" s="108">
        <f>IF($B$56&gt;0,$B138*H133,"")</f>
        <v>0</v>
      </c>
    </row>
    <row r="139" spans="1:10" ht="27.75" customHeight="1">
      <c r="A139" s="125" t="s">
        <v>306</v>
      </c>
      <c r="B139" s="124">
        <v>0</v>
      </c>
      <c r="C139" s="126">
        <f t="shared" ref="C139:H139" si="19">(C133+C138)/(1-$B139)</f>
        <v>768.67011600747026</v>
      </c>
      <c r="D139" s="126">
        <f t="shared" si="19"/>
        <v>804.69468575793712</v>
      </c>
      <c r="E139" s="126">
        <f t="shared" si="19"/>
        <v>845.52253147513284</v>
      </c>
      <c r="F139" s="126">
        <f t="shared" si="19"/>
        <v>872.36052694926104</v>
      </c>
      <c r="G139" s="126">
        <f t="shared" si="19"/>
        <v>914.86574738358991</v>
      </c>
      <c r="H139" s="126">
        <f t="shared" si="19"/>
        <v>963.03833054249594</v>
      </c>
    </row>
    <row r="140" spans="1:10">
      <c r="A140" s="127" t="s">
        <v>307</v>
      </c>
      <c r="B140" s="63"/>
      <c r="C140" s="74">
        <f t="shared" ref="C140:H140" si="20">C139/$G$48</f>
        <v>985.47450770188493</v>
      </c>
      <c r="D140" s="74">
        <f t="shared" si="20"/>
        <v>1031.6598535358169</v>
      </c>
      <c r="E140" s="74">
        <f t="shared" si="20"/>
        <v>1084.0032454809395</v>
      </c>
      <c r="F140" s="74">
        <f t="shared" si="20"/>
        <v>1118.4109319862321</v>
      </c>
      <c r="G140" s="74">
        <f t="shared" si="20"/>
        <v>1172.9048043379357</v>
      </c>
      <c r="H140" s="74">
        <f t="shared" si="20"/>
        <v>1234.6645263365333</v>
      </c>
    </row>
    <row r="141" spans="1:10" ht="30" customHeight="1">
      <c r="A141" s="128" t="s">
        <v>308</v>
      </c>
      <c r="B141" s="63"/>
      <c r="C141" s="129">
        <f t="shared" ref="C141:H141" si="21">C139/$B$135</f>
        <v>768.67011600747026</v>
      </c>
      <c r="D141" s="129">
        <f t="shared" si="21"/>
        <v>804.69468575793712</v>
      </c>
      <c r="E141" s="129">
        <f t="shared" si="21"/>
        <v>845.52253147513284</v>
      </c>
      <c r="F141" s="129">
        <f t="shared" si="21"/>
        <v>872.36052694926104</v>
      </c>
      <c r="G141" s="129">
        <f t="shared" si="21"/>
        <v>914.86574738358991</v>
      </c>
      <c r="H141" s="129">
        <f t="shared" si="21"/>
        <v>963.03833054249594</v>
      </c>
    </row>
    <row r="145" spans="1:8">
      <c r="A145" s="18" t="s">
        <v>309</v>
      </c>
    </row>
    <row r="146" spans="1:8">
      <c r="A146" s="18" t="s">
        <v>310</v>
      </c>
    </row>
    <row r="147" spans="1:8">
      <c r="E147" s="12" t="s">
        <v>311</v>
      </c>
    </row>
    <row r="148" spans="1:8">
      <c r="A148" s="63" t="s">
        <v>135</v>
      </c>
      <c r="B148" s="130">
        <f>'Sales Entry'!C70</f>
        <v>150000</v>
      </c>
      <c r="C148" s="65" t="str">
        <f>'Sales Entry'!C71</f>
        <v>1 cavities</v>
      </c>
      <c r="E148" s="63" t="s">
        <v>312</v>
      </c>
      <c r="F148" s="130">
        <f>'Sales Entry'!C75</f>
        <v>100000</v>
      </c>
    </row>
    <row r="149" spans="1:8">
      <c r="A149" s="63" t="s">
        <v>313</v>
      </c>
      <c r="B149" s="130">
        <f>'Sales Entry'!C72</f>
        <v>50000</v>
      </c>
      <c r="E149" s="63" t="s">
        <v>147</v>
      </c>
      <c r="F149" s="130">
        <f>'Sales Entry'!C76</f>
        <v>80000</v>
      </c>
    </row>
    <row r="150" spans="1:8">
      <c r="A150" s="63" t="s">
        <v>314</v>
      </c>
      <c r="B150" s="130">
        <f>'Sales Entry'!C73</f>
        <v>0</v>
      </c>
      <c r="E150" s="63" t="s">
        <v>315</v>
      </c>
      <c r="F150" s="131">
        <f>'Sales Entry'!C77</f>
        <v>50000</v>
      </c>
    </row>
    <row r="151" spans="1:8">
      <c r="A151" s="63" t="s">
        <v>316</v>
      </c>
      <c r="B151" s="130">
        <f>'Sales Entry'!C74</f>
        <v>0</v>
      </c>
      <c r="E151" s="132" t="s">
        <v>317</v>
      </c>
      <c r="F151" s="133">
        <f>F147+F148+F149+F150</f>
        <v>230000</v>
      </c>
    </row>
    <row r="152" spans="1:8">
      <c r="A152" s="132" t="s">
        <v>317</v>
      </c>
      <c r="B152" s="133">
        <f>B148+B149+B150+B151</f>
        <v>200000</v>
      </c>
    </row>
    <row r="153" spans="1:8">
      <c r="H153" s="12" t="s">
        <v>311</v>
      </c>
    </row>
    <row r="155" spans="1:8">
      <c r="B155" s="94" t="s">
        <v>318</v>
      </c>
      <c r="C155" s="134">
        <f>B152+F151</f>
        <v>430000</v>
      </c>
    </row>
  </sheetData>
  <mergeCells count="51">
    <mergeCell ref="G59:H59"/>
    <mergeCell ref="B47:C47"/>
    <mergeCell ref="B46:C46"/>
    <mergeCell ref="G67:H67"/>
    <mergeCell ref="G61:H61"/>
    <mergeCell ref="G60:H60"/>
    <mergeCell ref="A1:H1"/>
    <mergeCell ref="E48:F48"/>
    <mergeCell ref="F40:G40"/>
    <mergeCell ref="G48:H48"/>
    <mergeCell ref="B43:C43"/>
    <mergeCell ref="A15:M15"/>
    <mergeCell ref="F41:G41"/>
    <mergeCell ref="B6:D6"/>
    <mergeCell ref="B4:D4"/>
    <mergeCell ref="A35:H35"/>
    <mergeCell ref="B41:C41"/>
    <mergeCell ref="E47:F47"/>
    <mergeCell ref="A9:H9"/>
    <mergeCell ref="F125:H125"/>
    <mergeCell ref="E51:F51"/>
    <mergeCell ref="B48:C48"/>
    <mergeCell ref="B42:C42"/>
    <mergeCell ref="G66:H66"/>
    <mergeCell ref="F42:G42"/>
    <mergeCell ref="G62:H62"/>
    <mergeCell ref="C125:E125"/>
    <mergeCell ref="G51:H51"/>
    <mergeCell ref="C89:E89"/>
    <mergeCell ref="G47:H47"/>
    <mergeCell ref="B51:C51"/>
    <mergeCell ref="G63:H63"/>
    <mergeCell ref="B45:C45"/>
    <mergeCell ref="F89:H89"/>
    <mergeCell ref="G46:H46"/>
    <mergeCell ref="A134:A135"/>
    <mergeCell ref="G49:H49"/>
    <mergeCell ref="B5:D5"/>
    <mergeCell ref="E46:F46"/>
    <mergeCell ref="G68:H68"/>
    <mergeCell ref="E49:F49"/>
    <mergeCell ref="H30:J30"/>
    <mergeCell ref="G58:H58"/>
    <mergeCell ref="E45:F45"/>
    <mergeCell ref="G65:H65"/>
    <mergeCell ref="G45:H45"/>
    <mergeCell ref="A30:C30"/>
    <mergeCell ref="B40:C40"/>
    <mergeCell ref="B7:D7"/>
    <mergeCell ref="G64:H64"/>
    <mergeCell ref="F43:G43"/>
  </mergeCells>
  <pageMargins left="0.7" right="0.7" top="0.75" bottom="0.75" header="0.3" footer="0.3"/>
  <pageSetup paperSize="9" orientation="portrait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5"/>
  <sheetViews>
    <sheetView workbookViewId="0"/>
  </sheetViews>
  <sheetFormatPr defaultRowHeight="15"/>
  <cols>
    <col min="1" max="1" width="5" customWidth="1"/>
    <col min="2" max="2" width="40" customWidth="1"/>
    <col min="3" max="3" width="55" customWidth="1"/>
    <col min="4" max="4" width="35" customWidth="1"/>
  </cols>
  <sheetData>
    <row r="1" spans="1:4" ht="21">
      <c r="A1" s="190" t="s">
        <v>319</v>
      </c>
      <c r="B1" s="191"/>
      <c r="C1" s="191"/>
      <c r="D1" s="191"/>
    </row>
    <row r="3" spans="1:4" ht="17.25">
      <c r="A3" s="201" t="s">
        <v>320</v>
      </c>
      <c r="B3" s="191"/>
      <c r="C3" s="191"/>
      <c r="D3" s="191"/>
    </row>
    <row r="4" spans="1:4">
      <c r="A4" s="44" t="s">
        <v>321</v>
      </c>
      <c r="B4" s="39" t="s">
        <v>322</v>
      </c>
      <c r="C4" s="45" t="s">
        <v>323</v>
      </c>
      <c r="D4" s="37"/>
    </row>
    <row r="5" spans="1:4">
      <c r="A5" s="44" t="s">
        <v>324</v>
      </c>
      <c r="B5" s="39" t="s">
        <v>325</v>
      </c>
      <c r="C5" s="45" t="s">
        <v>326</v>
      </c>
      <c r="D5" s="37"/>
    </row>
    <row r="6" spans="1:4">
      <c r="A6" s="44" t="s">
        <v>327</v>
      </c>
      <c r="B6" s="39" t="s">
        <v>328</v>
      </c>
      <c r="C6" s="45" t="s">
        <v>329</v>
      </c>
      <c r="D6" s="37"/>
    </row>
    <row r="7" spans="1:4">
      <c r="A7" s="44" t="s">
        <v>330</v>
      </c>
      <c r="B7" s="39" t="s">
        <v>331</v>
      </c>
      <c r="C7" s="45" t="s">
        <v>332</v>
      </c>
      <c r="D7" s="37"/>
    </row>
    <row r="8" spans="1:4">
      <c r="A8" s="44" t="s">
        <v>333</v>
      </c>
      <c r="B8" s="39" t="s">
        <v>334</v>
      </c>
      <c r="C8" s="45" t="s">
        <v>335</v>
      </c>
      <c r="D8" s="37"/>
    </row>
    <row r="9" spans="1:4">
      <c r="A9" s="44" t="s">
        <v>336</v>
      </c>
      <c r="B9" s="39" t="s">
        <v>337</v>
      </c>
      <c r="C9" s="45" t="s">
        <v>338</v>
      </c>
      <c r="D9" s="37"/>
    </row>
    <row r="10" spans="1:4">
      <c r="A10" s="44" t="s">
        <v>339</v>
      </c>
      <c r="B10" s="39" t="s">
        <v>340</v>
      </c>
      <c r="C10" s="45" t="s">
        <v>341</v>
      </c>
      <c r="D10" s="37"/>
    </row>
    <row r="11" spans="1:4">
      <c r="A11" s="44" t="s">
        <v>342</v>
      </c>
      <c r="B11" s="39" t="s">
        <v>343</v>
      </c>
      <c r="C11" s="45" t="s">
        <v>344</v>
      </c>
      <c r="D11" s="37"/>
    </row>
    <row r="12" spans="1:4">
      <c r="A12" s="44" t="s">
        <v>345</v>
      </c>
      <c r="B12" s="39" t="s">
        <v>346</v>
      </c>
      <c r="C12" s="45" t="s">
        <v>347</v>
      </c>
      <c r="D12" s="37"/>
    </row>
    <row r="13" spans="1:4">
      <c r="A13" s="44" t="s">
        <v>348</v>
      </c>
      <c r="B13" s="39" t="s">
        <v>349</v>
      </c>
      <c r="C13" s="45" t="s">
        <v>350</v>
      </c>
      <c r="D13" s="37"/>
    </row>
    <row r="15" spans="1:4" ht="17.25">
      <c r="A15" s="201" t="s">
        <v>351</v>
      </c>
      <c r="B15" s="191"/>
      <c r="C15" s="191"/>
      <c r="D15" s="191"/>
    </row>
    <row r="16" spans="1:4">
      <c r="A16" s="44" t="s">
        <v>352</v>
      </c>
      <c r="B16" s="46" t="s">
        <v>353</v>
      </c>
      <c r="C16" s="39" t="s">
        <v>354</v>
      </c>
      <c r="D16" s="37"/>
    </row>
    <row r="17" spans="1:4">
      <c r="A17" s="44" t="s">
        <v>355</v>
      </c>
      <c r="B17" s="47" t="s">
        <v>356</v>
      </c>
      <c r="C17" s="39" t="s">
        <v>357</v>
      </c>
      <c r="D17" s="37"/>
    </row>
    <row r="18" spans="1:4">
      <c r="A18" s="44" t="s">
        <v>358</v>
      </c>
      <c r="B18" s="48" t="s">
        <v>359</v>
      </c>
      <c r="C18" s="39" t="s">
        <v>360</v>
      </c>
      <c r="D18" s="37"/>
    </row>
    <row r="19" spans="1:4">
      <c r="A19" s="44" t="s">
        <v>361</v>
      </c>
      <c r="B19" s="44" t="s">
        <v>362</v>
      </c>
      <c r="C19" s="39" t="s">
        <v>363</v>
      </c>
      <c r="D19" s="37"/>
    </row>
    <row r="21" spans="1:4" ht="17.25">
      <c r="A21" s="201" t="s">
        <v>364</v>
      </c>
      <c r="B21" s="191"/>
      <c r="C21" s="191"/>
      <c r="D21" s="191"/>
    </row>
    <row r="22" spans="1:4">
      <c r="A22" s="192" t="s">
        <v>365</v>
      </c>
      <c r="B22" s="193"/>
      <c r="C22" s="193"/>
      <c r="D22" s="193"/>
    </row>
    <row r="23" spans="1:4">
      <c r="A23" s="37"/>
      <c r="B23" s="44" t="s">
        <v>6</v>
      </c>
      <c r="C23" s="39" t="s">
        <v>366</v>
      </c>
      <c r="D23" s="45" t="s">
        <v>367</v>
      </c>
    </row>
    <row r="24" spans="1:4">
      <c r="A24" s="37"/>
      <c r="B24" s="44" t="s">
        <v>9</v>
      </c>
      <c r="C24" s="39" t="s">
        <v>368</v>
      </c>
      <c r="D24" s="45" t="s">
        <v>369</v>
      </c>
    </row>
    <row r="25" spans="1:4">
      <c r="A25" s="37"/>
      <c r="B25" s="44" t="s">
        <v>11</v>
      </c>
      <c r="C25" s="39" t="s">
        <v>370</v>
      </c>
      <c r="D25" s="45" t="s">
        <v>371</v>
      </c>
    </row>
    <row r="26" spans="1:4">
      <c r="A26" s="37"/>
      <c r="B26" s="44" t="s">
        <v>14</v>
      </c>
      <c r="C26" s="39" t="s">
        <v>372</v>
      </c>
      <c r="D26" s="45" t="s">
        <v>373</v>
      </c>
    </row>
    <row r="27" spans="1:4">
      <c r="A27" s="37"/>
      <c r="B27" s="44" t="s">
        <v>17</v>
      </c>
      <c r="C27" s="39" t="s">
        <v>374</v>
      </c>
      <c r="D27" s="45" t="s">
        <v>375</v>
      </c>
    </row>
    <row r="28" spans="1:4">
      <c r="A28" s="37"/>
      <c r="B28" s="44" t="s">
        <v>20</v>
      </c>
      <c r="C28" s="39" t="s">
        <v>376</v>
      </c>
      <c r="D28" s="45" t="s">
        <v>377</v>
      </c>
    </row>
    <row r="29" spans="1:4">
      <c r="A29" s="37"/>
      <c r="B29" s="44" t="s">
        <v>23</v>
      </c>
      <c r="C29" s="39" t="s">
        <v>378</v>
      </c>
      <c r="D29" s="45" t="s">
        <v>379</v>
      </c>
    </row>
    <row r="30" spans="1:4">
      <c r="A30" s="37"/>
      <c r="B30" s="44" t="s">
        <v>26</v>
      </c>
      <c r="C30" s="39" t="s">
        <v>28</v>
      </c>
      <c r="D30" s="45" t="s">
        <v>380</v>
      </c>
    </row>
    <row r="31" spans="1:4">
      <c r="A31" s="37"/>
      <c r="B31" s="44" t="s">
        <v>29</v>
      </c>
      <c r="C31" s="39" t="s">
        <v>31</v>
      </c>
      <c r="D31" s="45" t="s">
        <v>381</v>
      </c>
    </row>
    <row r="32" spans="1:4">
      <c r="A32" s="37"/>
      <c r="B32" s="44" t="s">
        <v>32</v>
      </c>
      <c r="C32" s="39" t="s">
        <v>382</v>
      </c>
      <c r="D32" s="45" t="s">
        <v>383</v>
      </c>
    </row>
    <row r="33" spans="1:4">
      <c r="A33" s="37"/>
      <c r="B33" s="44" t="s">
        <v>35</v>
      </c>
      <c r="C33" s="39" t="s">
        <v>37</v>
      </c>
      <c r="D33" s="45" t="s">
        <v>384</v>
      </c>
    </row>
    <row r="34" spans="1:4">
      <c r="A34" s="37"/>
      <c r="B34" s="44" t="s">
        <v>38</v>
      </c>
      <c r="C34" s="39" t="s">
        <v>40</v>
      </c>
      <c r="D34" s="45" t="s">
        <v>385</v>
      </c>
    </row>
    <row r="35" spans="1:4">
      <c r="A35" s="37"/>
      <c r="B35" s="44" t="s">
        <v>41</v>
      </c>
      <c r="C35" s="39" t="s">
        <v>386</v>
      </c>
      <c r="D35" s="45" t="s">
        <v>387</v>
      </c>
    </row>
    <row r="36" spans="1:4">
      <c r="A36" s="37"/>
      <c r="B36" s="44" t="s">
        <v>44</v>
      </c>
      <c r="C36" s="39" t="s">
        <v>388</v>
      </c>
      <c r="D36" s="45" t="s">
        <v>389</v>
      </c>
    </row>
    <row r="37" spans="1:4">
      <c r="A37" s="37"/>
      <c r="B37" s="44" t="s">
        <v>47</v>
      </c>
      <c r="C37" s="39" t="s">
        <v>390</v>
      </c>
      <c r="D37" s="45" t="s">
        <v>391</v>
      </c>
    </row>
    <row r="38" spans="1:4">
      <c r="A38" s="192" t="s">
        <v>392</v>
      </c>
      <c r="B38" s="193"/>
      <c r="C38" s="193"/>
      <c r="D38" s="193"/>
    </row>
    <row r="39" spans="1:4">
      <c r="A39" s="37"/>
      <c r="B39" s="44" t="s">
        <v>393</v>
      </c>
      <c r="C39" s="39" t="s">
        <v>394</v>
      </c>
      <c r="D39" s="45" t="s">
        <v>395</v>
      </c>
    </row>
    <row r="40" spans="1:4">
      <c r="A40" s="37"/>
      <c r="B40" s="44" t="s">
        <v>396</v>
      </c>
      <c r="C40" s="39" t="s">
        <v>397</v>
      </c>
      <c r="D40" s="45"/>
    </row>
    <row r="41" spans="1:4">
      <c r="A41" s="192" t="s">
        <v>398</v>
      </c>
      <c r="B41" s="193"/>
      <c r="C41" s="193"/>
      <c r="D41" s="193"/>
    </row>
    <row r="42" spans="1:4">
      <c r="A42" s="37"/>
      <c r="B42" s="44" t="s">
        <v>199</v>
      </c>
      <c r="C42" s="39" t="s">
        <v>399</v>
      </c>
      <c r="D42" s="45" t="s">
        <v>400</v>
      </c>
    </row>
    <row r="43" spans="1:4">
      <c r="A43" s="37"/>
      <c r="B43" s="44" t="s">
        <v>200</v>
      </c>
      <c r="C43" s="39" t="s">
        <v>401</v>
      </c>
      <c r="D43" s="45" t="s">
        <v>402</v>
      </c>
    </row>
    <row r="44" spans="1:4">
      <c r="A44" s="37"/>
      <c r="B44" s="44" t="s">
        <v>201</v>
      </c>
      <c r="C44" s="39" t="s">
        <v>403</v>
      </c>
      <c r="D44" s="45" t="s">
        <v>404</v>
      </c>
    </row>
    <row r="45" spans="1:4">
      <c r="A45" s="37"/>
      <c r="B45" s="44" t="s">
        <v>202</v>
      </c>
      <c r="C45" s="39" t="s">
        <v>405</v>
      </c>
      <c r="D45" s="45" t="s">
        <v>406</v>
      </c>
    </row>
    <row r="46" spans="1:4">
      <c r="A46" s="37"/>
      <c r="B46" s="44" t="s">
        <v>203</v>
      </c>
      <c r="C46" s="39" t="s">
        <v>407</v>
      </c>
      <c r="D46" s="45" t="s">
        <v>408</v>
      </c>
    </row>
    <row r="47" spans="1:4">
      <c r="A47" s="37"/>
      <c r="B47" s="44" t="s">
        <v>204</v>
      </c>
      <c r="C47" s="39" t="s">
        <v>409</v>
      </c>
      <c r="D47" s="45" t="s">
        <v>410</v>
      </c>
    </row>
    <row r="48" spans="1:4">
      <c r="A48" s="192" t="s">
        <v>411</v>
      </c>
      <c r="B48" s="193"/>
      <c r="C48" s="193"/>
      <c r="D48" s="193"/>
    </row>
    <row r="49" spans="1:4">
      <c r="A49" s="37"/>
      <c r="B49" s="44" t="s">
        <v>104</v>
      </c>
      <c r="C49" s="39" t="s">
        <v>412</v>
      </c>
      <c r="D49" s="45" t="s">
        <v>413</v>
      </c>
    </row>
    <row r="50" spans="1:4">
      <c r="A50" s="37"/>
      <c r="B50" s="44" t="s">
        <v>107</v>
      </c>
      <c r="C50" s="39" t="s">
        <v>414</v>
      </c>
      <c r="D50" s="45" t="s">
        <v>415</v>
      </c>
    </row>
    <row r="51" spans="1:4">
      <c r="A51" s="37"/>
      <c r="B51" s="44" t="s">
        <v>109</v>
      </c>
      <c r="C51" s="39" t="s">
        <v>416</v>
      </c>
      <c r="D51" s="45" t="s">
        <v>417</v>
      </c>
    </row>
    <row r="52" spans="1:4">
      <c r="A52" s="37"/>
      <c r="B52" s="44" t="s">
        <v>111</v>
      </c>
      <c r="C52" s="39" t="s">
        <v>418</v>
      </c>
      <c r="D52" s="45" t="s">
        <v>419</v>
      </c>
    </row>
    <row r="53" spans="1:4">
      <c r="A53" s="37"/>
      <c r="B53" s="44" t="s">
        <v>112</v>
      </c>
      <c r="C53" s="39" t="s">
        <v>420</v>
      </c>
      <c r="D53" s="45" t="s">
        <v>421</v>
      </c>
    </row>
    <row r="54" spans="1:4">
      <c r="A54" s="37"/>
      <c r="B54" s="44" t="s">
        <v>115</v>
      </c>
      <c r="C54" s="39" t="s">
        <v>422</v>
      </c>
      <c r="D54" s="45" t="s">
        <v>423</v>
      </c>
    </row>
    <row r="55" spans="1:4">
      <c r="A55" s="192" t="s">
        <v>424</v>
      </c>
      <c r="B55" s="193"/>
      <c r="C55" s="193"/>
      <c r="D55" s="193"/>
    </row>
    <row r="56" spans="1:4">
      <c r="A56" s="37"/>
      <c r="B56" s="44" t="s">
        <v>118</v>
      </c>
      <c r="C56" s="39" t="s">
        <v>425</v>
      </c>
      <c r="D56" s="45" t="s">
        <v>426</v>
      </c>
    </row>
    <row r="57" spans="1:4">
      <c r="A57" s="37"/>
      <c r="B57" s="44" t="s">
        <v>120</v>
      </c>
      <c r="C57" s="39" t="s">
        <v>427</v>
      </c>
      <c r="D57" s="45" t="s">
        <v>428</v>
      </c>
    </row>
    <row r="58" spans="1:4">
      <c r="A58" s="37"/>
      <c r="B58" s="44" t="s">
        <v>429</v>
      </c>
      <c r="C58" s="39" t="s">
        <v>430</v>
      </c>
      <c r="D58" s="45" t="s">
        <v>431</v>
      </c>
    </row>
    <row r="59" spans="1:4">
      <c r="A59" s="37"/>
      <c r="B59" s="44" t="s">
        <v>432</v>
      </c>
      <c r="C59" s="39" t="s">
        <v>433</v>
      </c>
      <c r="D59" s="45" t="e">
        <f ca="1">Wax Wt * (Metal Density / Wax Density)</f>
        <v>#NAME?</v>
      </c>
    </row>
    <row r="60" spans="1:4">
      <c r="A60" s="37"/>
      <c r="B60" s="44" t="s">
        <v>434</v>
      </c>
      <c r="C60" s="39" t="s">
        <v>435</v>
      </c>
      <c r="D60" s="45" t="s">
        <v>436</v>
      </c>
    </row>
    <row r="61" spans="1:4">
      <c r="A61" s="192" t="s">
        <v>437</v>
      </c>
      <c r="B61" s="193"/>
      <c r="C61" s="193"/>
      <c r="D61" s="193"/>
    </row>
    <row r="62" spans="1:4">
      <c r="A62" s="37"/>
      <c r="B62" s="44" t="s">
        <v>438</v>
      </c>
      <c r="C62" s="39" t="s">
        <v>439</v>
      </c>
      <c r="D62" s="45" t="s">
        <v>440</v>
      </c>
    </row>
    <row r="63" spans="1:4">
      <c r="A63" s="37"/>
      <c r="B63" s="44" t="s">
        <v>131</v>
      </c>
      <c r="C63" s="39" t="s">
        <v>441</v>
      </c>
      <c r="D63" s="45" t="s">
        <v>133</v>
      </c>
    </row>
    <row r="64" spans="1:4">
      <c r="A64" s="192" t="s">
        <v>442</v>
      </c>
      <c r="B64" s="193"/>
      <c r="C64" s="193"/>
      <c r="D64" s="193"/>
    </row>
    <row r="65" spans="1:4">
      <c r="A65" s="37"/>
      <c r="B65" s="44" t="s">
        <v>135</v>
      </c>
      <c r="C65" s="39" t="s">
        <v>443</v>
      </c>
      <c r="D65" s="45" t="s">
        <v>444</v>
      </c>
    </row>
    <row r="66" spans="1:4">
      <c r="A66" s="37"/>
      <c r="B66" s="44" t="s">
        <v>137</v>
      </c>
      <c r="C66" s="39" t="s">
        <v>139</v>
      </c>
      <c r="D66" s="45" t="s">
        <v>445</v>
      </c>
    </row>
    <row r="67" spans="1:4">
      <c r="A67" s="37"/>
      <c r="B67" s="44" t="s">
        <v>140</v>
      </c>
      <c r="C67" s="39" t="s">
        <v>446</v>
      </c>
      <c r="D67" s="45" t="s">
        <v>447</v>
      </c>
    </row>
    <row r="68" spans="1:4">
      <c r="A68" s="37"/>
      <c r="B68" s="44" t="s">
        <v>142</v>
      </c>
      <c r="C68" s="39" t="s">
        <v>448</v>
      </c>
      <c r="D68" s="45" t="s">
        <v>449</v>
      </c>
    </row>
    <row r="69" spans="1:4">
      <c r="A69" s="37"/>
      <c r="B69" s="44" t="s">
        <v>144</v>
      </c>
      <c r="C69" s="39" t="s">
        <v>450</v>
      </c>
      <c r="D69" s="45" t="s">
        <v>449</v>
      </c>
    </row>
    <row r="70" spans="1:4">
      <c r="A70" s="37"/>
      <c r="B70" s="44" t="s">
        <v>145</v>
      </c>
      <c r="C70" s="39" t="s">
        <v>146</v>
      </c>
      <c r="D70" s="45" t="s">
        <v>447</v>
      </c>
    </row>
    <row r="71" spans="1:4">
      <c r="A71" s="37"/>
      <c r="B71" s="44" t="s">
        <v>147</v>
      </c>
      <c r="C71" s="39" t="s">
        <v>148</v>
      </c>
      <c r="D71" s="45" t="s">
        <v>447</v>
      </c>
    </row>
    <row r="72" spans="1:4">
      <c r="A72" s="37"/>
      <c r="B72" s="44" t="s">
        <v>149</v>
      </c>
      <c r="C72" s="39" t="s">
        <v>150</v>
      </c>
      <c r="D72" s="45" t="s">
        <v>447</v>
      </c>
    </row>
    <row r="74" spans="1:4" ht="17.25">
      <c r="A74" s="201" t="s">
        <v>451</v>
      </c>
      <c r="B74" s="191"/>
      <c r="C74" s="191"/>
      <c r="D74" s="191"/>
    </row>
    <row r="75" spans="1:4">
      <c r="A75" s="37"/>
      <c r="B75" s="49" t="s">
        <v>452</v>
      </c>
      <c r="C75" s="37"/>
      <c r="D75" s="37"/>
    </row>
    <row r="76" spans="1:4">
      <c r="A76" s="37"/>
      <c r="B76" s="49" t="s">
        <v>453</v>
      </c>
      <c r="C76" s="37"/>
      <c r="D76" s="37"/>
    </row>
    <row r="77" spans="1:4">
      <c r="A77" s="37"/>
      <c r="B77" s="49" t="s">
        <v>454</v>
      </c>
      <c r="C77" s="37"/>
      <c r="D77" s="37"/>
    </row>
    <row r="78" spans="1:4">
      <c r="A78" s="37"/>
      <c r="B78" s="49" t="s">
        <v>455</v>
      </c>
      <c r="C78" s="37"/>
      <c r="D78" s="37"/>
    </row>
    <row r="79" spans="1:4">
      <c r="A79" s="37"/>
      <c r="B79" s="49" t="s">
        <v>456</v>
      </c>
      <c r="C79" s="37"/>
      <c r="D79" s="37"/>
    </row>
    <row r="80" spans="1:4">
      <c r="A80" s="37"/>
      <c r="B80" s="49" t="s">
        <v>457</v>
      </c>
      <c r="C80" s="37"/>
      <c r="D80" s="37"/>
    </row>
    <row r="81" spans="1:4">
      <c r="A81" s="37"/>
      <c r="B81" s="49" t="s">
        <v>458</v>
      </c>
      <c r="C81" s="37"/>
      <c r="D81" s="37"/>
    </row>
    <row r="82" spans="1:4">
      <c r="A82" s="37"/>
      <c r="B82" s="49" t="s">
        <v>459</v>
      </c>
      <c r="C82" s="37"/>
      <c r="D82" s="37"/>
    </row>
    <row r="83" spans="1:4">
      <c r="A83" s="37"/>
      <c r="B83" s="49" t="s">
        <v>460</v>
      </c>
      <c r="C83" s="37"/>
      <c r="D83" s="37"/>
    </row>
    <row r="84" spans="1:4">
      <c r="A84" s="37"/>
      <c r="B84" s="49" t="s">
        <v>461</v>
      </c>
      <c r="C84" s="37"/>
      <c r="D84" s="37"/>
    </row>
    <row r="85" spans="1:4">
      <c r="A85" s="37"/>
      <c r="B85" s="50" t="s">
        <v>462</v>
      </c>
      <c r="C85" s="37"/>
      <c r="D85" s="37"/>
    </row>
    <row r="86" spans="1:4">
      <c r="A86" s="37"/>
      <c r="B86" s="50" t="s">
        <v>463</v>
      </c>
      <c r="C86" s="37"/>
      <c r="D86" s="37"/>
    </row>
    <row r="87" spans="1:4">
      <c r="A87" s="37"/>
      <c r="B87" s="50" t="s">
        <v>464</v>
      </c>
      <c r="C87" s="37"/>
      <c r="D87" s="37"/>
    </row>
    <row r="88" spans="1:4">
      <c r="A88" s="37"/>
      <c r="B88" s="50" t="s">
        <v>465</v>
      </c>
      <c r="C88" s="37"/>
      <c r="D88" s="37"/>
    </row>
    <row r="89" spans="1:4">
      <c r="A89" s="37"/>
      <c r="B89" s="50" t="s">
        <v>466</v>
      </c>
      <c r="C89" s="37"/>
      <c r="D89" s="37"/>
    </row>
    <row r="90" spans="1:4">
      <c r="A90" s="37"/>
      <c r="B90" s="50" t="s">
        <v>467</v>
      </c>
      <c r="C90" s="37"/>
      <c r="D90" s="37"/>
    </row>
    <row r="91" spans="1:4">
      <c r="A91" s="37"/>
      <c r="B91" s="50" t="s">
        <v>468</v>
      </c>
      <c r="C91" s="37"/>
      <c r="D91" s="37"/>
    </row>
    <row r="92" spans="1:4">
      <c r="A92" s="37"/>
      <c r="B92" s="50" t="s">
        <v>469</v>
      </c>
      <c r="C92" s="37"/>
      <c r="D92" s="37"/>
    </row>
    <row r="93" spans="1:4">
      <c r="A93" s="37"/>
      <c r="B93" s="50" t="s">
        <v>470</v>
      </c>
      <c r="C93" s="37"/>
      <c r="D93" s="37"/>
    </row>
    <row r="94" spans="1:4">
      <c r="A94" s="37"/>
      <c r="B94" s="50" t="s">
        <v>471</v>
      </c>
      <c r="C94" s="37"/>
      <c r="D94" s="37"/>
    </row>
    <row r="96" spans="1:4" ht="17.25">
      <c r="A96" s="201" t="s">
        <v>472</v>
      </c>
      <c r="B96" s="191"/>
      <c r="C96" s="191"/>
      <c r="D96" s="191"/>
    </row>
    <row r="97" spans="1:4">
      <c r="A97" s="37"/>
      <c r="B97" s="48" t="s">
        <v>473</v>
      </c>
      <c r="C97" s="39" t="s">
        <v>474</v>
      </c>
      <c r="D97" s="45" t="s">
        <v>475</v>
      </c>
    </row>
    <row r="98" spans="1:4">
      <c r="A98" s="37"/>
      <c r="B98" s="48" t="s">
        <v>476</v>
      </c>
      <c r="C98" s="39" t="s">
        <v>477</v>
      </c>
      <c r="D98" s="45" t="s">
        <v>478</v>
      </c>
    </row>
    <row r="99" spans="1:4">
      <c r="A99" s="37"/>
      <c r="B99" s="48" t="s">
        <v>479</v>
      </c>
      <c r="C99" s="39" t="s">
        <v>480</v>
      </c>
      <c r="D99" s="45" t="s">
        <v>481</v>
      </c>
    </row>
    <row r="100" spans="1:4">
      <c r="A100" s="37"/>
      <c r="B100" s="48" t="s">
        <v>482</v>
      </c>
      <c r="C100" s="39" t="s">
        <v>483</v>
      </c>
      <c r="D100" s="45" t="s">
        <v>484</v>
      </c>
    </row>
    <row r="101" spans="1:4">
      <c r="A101" s="37"/>
      <c r="B101" s="48" t="s">
        <v>269</v>
      </c>
      <c r="C101" s="39" t="s">
        <v>485</v>
      </c>
      <c r="D101" s="45" t="s">
        <v>486</v>
      </c>
    </row>
    <row r="102" spans="1:4">
      <c r="A102" s="37"/>
      <c r="B102" s="48" t="s">
        <v>487</v>
      </c>
      <c r="C102" s="39" t="s">
        <v>488</v>
      </c>
      <c r="D102" s="45" t="s">
        <v>489</v>
      </c>
    </row>
    <row r="103" spans="1:4">
      <c r="A103" s="37"/>
      <c r="B103" s="48" t="s">
        <v>490</v>
      </c>
      <c r="C103" s="39" t="s">
        <v>491</v>
      </c>
      <c r="D103" s="45" t="s">
        <v>492</v>
      </c>
    </row>
    <row r="105" spans="1:4" ht="17.25">
      <c r="A105" s="201" t="s">
        <v>493</v>
      </c>
      <c r="B105" s="191"/>
      <c r="C105" s="191"/>
      <c r="D105" s="191"/>
    </row>
    <row r="106" spans="1:4">
      <c r="A106" s="37"/>
      <c r="B106" s="44" t="s">
        <v>494</v>
      </c>
      <c r="C106" s="39" t="s">
        <v>495</v>
      </c>
      <c r="D106" s="51" t="s">
        <v>496</v>
      </c>
    </row>
    <row r="107" spans="1:4">
      <c r="A107" s="37"/>
      <c r="B107" s="44" t="s">
        <v>497</v>
      </c>
      <c r="C107" s="39" t="s">
        <v>498</v>
      </c>
      <c r="D107" s="51" t="s">
        <v>499</v>
      </c>
    </row>
    <row r="108" spans="1:4">
      <c r="A108" s="37"/>
      <c r="B108" s="44" t="s">
        <v>500</v>
      </c>
      <c r="C108" s="39" t="s">
        <v>501</v>
      </c>
      <c r="D108" s="51" t="s">
        <v>502</v>
      </c>
    </row>
    <row r="109" spans="1:4">
      <c r="A109" s="37"/>
      <c r="B109" s="44" t="s">
        <v>503</v>
      </c>
      <c r="C109" s="39" t="s">
        <v>504</v>
      </c>
      <c r="D109" s="51" t="s">
        <v>505</v>
      </c>
    </row>
    <row r="110" spans="1:4">
      <c r="A110" s="37"/>
      <c r="B110" s="44" t="s">
        <v>506</v>
      </c>
      <c r="C110" s="39" t="s">
        <v>507</v>
      </c>
      <c r="D110" s="51" t="s">
        <v>508</v>
      </c>
    </row>
    <row r="111" spans="1:4">
      <c r="A111" s="37"/>
      <c r="B111" s="44" t="s">
        <v>298</v>
      </c>
      <c r="C111" s="39" t="s">
        <v>509</v>
      </c>
      <c r="D111" s="51" t="s">
        <v>510</v>
      </c>
    </row>
    <row r="112" spans="1:4">
      <c r="A112" s="37"/>
      <c r="B112" s="44" t="s">
        <v>511</v>
      </c>
      <c r="C112" s="39" t="s">
        <v>512</v>
      </c>
      <c r="D112" s="51" t="s">
        <v>513</v>
      </c>
    </row>
    <row r="113" spans="1:4">
      <c r="A113" s="37"/>
      <c r="B113" s="44" t="s">
        <v>514</v>
      </c>
      <c r="C113" s="39" t="s">
        <v>515</v>
      </c>
      <c r="D113" s="51" t="e">
        <f ca="1">Die Total + Machining Total — auto</f>
        <v>#NAME?</v>
      </c>
    </row>
    <row r="115" spans="1:4" ht="17.25">
      <c r="A115" s="201" t="s">
        <v>516</v>
      </c>
      <c r="B115" s="191"/>
      <c r="C115" s="191"/>
      <c r="D115" s="191"/>
    </row>
    <row r="116" spans="1:4">
      <c r="A116" s="37"/>
      <c r="B116" s="52" t="s">
        <v>517</v>
      </c>
      <c r="C116" s="39" t="s">
        <v>518</v>
      </c>
      <c r="D116" s="53" t="s">
        <v>519</v>
      </c>
    </row>
    <row r="117" spans="1:4">
      <c r="A117" s="37"/>
      <c r="B117" s="52" t="s">
        <v>520</v>
      </c>
      <c r="C117" s="39" t="s">
        <v>521</v>
      </c>
      <c r="D117" s="53" t="s">
        <v>522</v>
      </c>
    </row>
    <row r="118" spans="1:4">
      <c r="A118" s="37"/>
      <c r="B118" s="52" t="s">
        <v>523</v>
      </c>
      <c r="C118" s="39" t="s">
        <v>524</v>
      </c>
      <c r="D118" s="53" t="s">
        <v>525</v>
      </c>
    </row>
    <row r="119" spans="1:4">
      <c r="A119" s="37"/>
      <c r="B119" s="52" t="s">
        <v>526</v>
      </c>
      <c r="C119" s="39" t="s">
        <v>527</v>
      </c>
      <c r="D119" s="53" t="s">
        <v>528</v>
      </c>
    </row>
    <row r="120" spans="1:4">
      <c r="A120" s="37"/>
      <c r="B120" s="52" t="s">
        <v>529</v>
      </c>
      <c r="C120" s="39" t="s">
        <v>530</v>
      </c>
      <c r="D120" s="53" t="s">
        <v>531</v>
      </c>
    </row>
    <row r="121" spans="1:4">
      <c r="A121" s="37"/>
      <c r="B121" s="52" t="s">
        <v>532</v>
      </c>
      <c r="C121" s="39" t="s">
        <v>533</v>
      </c>
      <c r="D121" s="53" t="s">
        <v>534</v>
      </c>
    </row>
    <row r="122" spans="1:4">
      <c r="A122" s="37"/>
      <c r="B122" s="52" t="s">
        <v>535</v>
      </c>
      <c r="C122" s="39" t="s">
        <v>536</v>
      </c>
      <c r="D122" s="53" t="s">
        <v>537</v>
      </c>
    </row>
    <row r="123" spans="1:4">
      <c r="A123" s="37"/>
      <c r="B123" s="52" t="s">
        <v>538</v>
      </c>
      <c r="C123" s="39" t="s">
        <v>539</v>
      </c>
      <c r="D123" s="53" t="s">
        <v>540</v>
      </c>
    </row>
    <row r="124" spans="1:4">
      <c r="A124" s="37"/>
      <c r="B124" s="52" t="s">
        <v>541</v>
      </c>
      <c r="C124" s="39" t="s">
        <v>542</v>
      </c>
      <c r="D124" s="53" t="s">
        <v>543</v>
      </c>
    </row>
    <row r="125" spans="1:4">
      <c r="A125" s="37"/>
      <c r="B125" s="52" t="s">
        <v>544</v>
      </c>
      <c r="C125" s="39" t="s">
        <v>545</v>
      </c>
      <c r="D125" s="53" t="s">
        <v>546</v>
      </c>
    </row>
  </sheetData>
  <mergeCells count="15">
    <mergeCell ref="A115:D115"/>
    <mergeCell ref="A1:D1"/>
    <mergeCell ref="A61:D61"/>
    <mergeCell ref="A22:D22"/>
    <mergeCell ref="A74:D74"/>
    <mergeCell ref="A105:D105"/>
    <mergeCell ref="A48:D48"/>
    <mergeCell ref="A3:D3"/>
    <mergeCell ref="A21:D21"/>
    <mergeCell ref="A38:D38"/>
    <mergeCell ref="A55:D55"/>
    <mergeCell ref="A15:D15"/>
    <mergeCell ref="A64:D64"/>
    <mergeCell ref="A96:D96"/>
    <mergeCell ref="A41:D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2"/>
  <sheetViews>
    <sheetView topLeftCell="S1" workbookViewId="0">
      <selection activeCell="N12" sqref="N12"/>
    </sheetView>
  </sheetViews>
  <sheetFormatPr defaultRowHeight="15"/>
  <cols>
    <col min="1" max="1" width="13.42578125" bestFit="1" customWidth="1"/>
    <col min="2" max="2" width="7.7109375" bestFit="1" customWidth="1"/>
    <col min="3" max="3" width="14.42578125" bestFit="1" customWidth="1"/>
    <col min="4" max="4" width="7.5703125" bestFit="1" customWidth="1"/>
    <col min="5" max="5" width="22.42578125" bestFit="1" customWidth="1"/>
    <col min="6" max="6" width="16.28515625" bestFit="1" customWidth="1"/>
    <col min="7" max="7" width="17.5703125" bestFit="1" customWidth="1"/>
    <col min="8" max="8" width="59" bestFit="1" customWidth="1"/>
    <col min="9" max="9" width="10.7109375" bestFit="1" customWidth="1"/>
    <col min="10" max="10" width="15.140625" bestFit="1" customWidth="1"/>
    <col min="11" max="11" width="12.28515625" bestFit="1" customWidth="1"/>
    <col min="12" max="12" width="10.5703125" bestFit="1" customWidth="1"/>
    <col min="13" max="13" width="11.140625" bestFit="1" customWidth="1"/>
    <col min="14" max="14" width="11.42578125" bestFit="1" customWidth="1"/>
    <col min="16" max="16" width="15.7109375" bestFit="1" customWidth="1"/>
    <col min="18" max="18" width="5.85546875" bestFit="1" customWidth="1"/>
    <col min="20" max="20" width="22.7109375" bestFit="1" customWidth="1"/>
    <col min="21" max="21" width="11.85546875" bestFit="1" customWidth="1"/>
    <col min="22" max="22" width="26.42578125" bestFit="1" customWidth="1"/>
    <col min="23" max="23" width="20.7109375" bestFit="1" customWidth="1"/>
    <col min="24" max="24" width="26.42578125" bestFit="1" customWidth="1"/>
    <col min="25" max="25" width="28.140625" customWidth="1"/>
    <col min="26" max="26" width="26.42578125" bestFit="1" customWidth="1"/>
    <col min="27" max="27" width="17.42578125" bestFit="1" customWidth="1"/>
  </cols>
  <sheetData>
    <row r="1" spans="1:27" s="1" customFormat="1">
      <c r="A1" s="135" t="s">
        <v>35</v>
      </c>
      <c r="B1" s="136" t="s">
        <v>547</v>
      </c>
      <c r="C1" s="135" t="s">
        <v>20</v>
      </c>
      <c r="D1" s="137" t="s">
        <v>548</v>
      </c>
      <c r="E1" s="135" t="s">
        <v>111</v>
      </c>
      <c r="F1" s="136" t="s">
        <v>29</v>
      </c>
      <c r="G1" s="135" t="s">
        <v>107</v>
      </c>
      <c r="H1" s="137" t="s">
        <v>104</v>
      </c>
      <c r="I1" s="138" t="s">
        <v>549</v>
      </c>
      <c r="J1" s="139" t="s">
        <v>209</v>
      </c>
      <c r="K1" s="138" t="s">
        <v>550</v>
      </c>
      <c r="L1" s="139" t="s">
        <v>551</v>
      </c>
      <c r="M1" s="140" t="s">
        <v>552</v>
      </c>
      <c r="N1" s="138" t="s">
        <v>174</v>
      </c>
      <c r="O1" s="38"/>
      <c r="P1" s="139" t="s">
        <v>553</v>
      </c>
      <c r="Q1" s="38"/>
      <c r="R1" s="138" t="s">
        <v>11</v>
      </c>
      <c r="S1" s="139" t="s">
        <v>554</v>
      </c>
      <c r="T1" s="38"/>
      <c r="U1" s="140" t="s">
        <v>555</v>
      </c>
      <c r="V1" s="138"/>
      <c r="W1" s="139" t="s">
        <v>556</v>
      </c>
      <c r="X1" s="141" t="s">
        <v>287</v>
      </c>
      <c r="Y1" s="141" t="s">
        <v>557</v>
      </c>
      <c r="Z1" s="138" t="s">
        <v>558</v>
      </c>
      <c r="AA1" s="1" t="s">
        <v>559</v>
      </c>
    </row>
    <row r="2" spans="1:27">
      <c r="A2" s="37" t="s">
        <v>36</v>
      </c>
      <c r="B2" s="37">
        <v>7.86</v>
      </c>
      <c r="C2" s="37" t="s">
        <v>21</v>
      </c>
      <c r="D2" s="37" t="s">
        <v>228</v>
      </c>
      <c r="E2" s="37" t="s">
        <v>560</v>
      </c>
      <c r="F2" s="37" t="s">
        <v>30</v>
      </c>
      <c r="G2" s="37" t="s">
        <v>561</v>
      </c>
      <c r="H2" s="37" t="s">
        <v>562</v>
      </c>
      <c r="I2" s="37" t="s">
        <v>113</v>
      </c>
      <c r="J2" s="37" t="s">
        <v>563</v>
      </c>
      <c r="K2" s="37">
        <v>4.0209999999999999</v>
      </c>
      <c r="L2" s="37" t="s">
        <v>24</v>
      </c>
      <c r="M2" s="37" t="s">
        <v>156</v>
      </c>
      <c r="N2" s="37" t="s">
        <v>564</v>
      </c>
      <c r="O2" s="37"/>
      <c r="P2" s="37" t="s">
        <v>199</v>
      </c>
      <c r="Q2" s="37"/>
      <c r="R2" s="37" t="s">
        <v>12</v>
      </c>
      <c r="S2" s="37" t="s">
        <v>279</v>
      </c>
      <c r="T2" s="142"/>
      <c r="U2" s="37" t="s">
        <v>565</v>
      </c>
      <c r="V2" s="143"/>
      <c r="W2" s="37" t="s">
        <v>292</v>
      </c>
      <c r="X2" s="142" t="s">
        <v>566</v>
      </c>
      <c r="Y2" s="37" t="s">
        <v>567</v>
      </c>
      <c r="Z2" s="143" t="s">
        <v>271</v>
      </c>
      <c r="AA2" t="s">
        <v>273</v>
      </c>
    </row>
    <row r="3" spans="1:27">
      <c r="A3" s="37" t="s">
        <v>568</v>
      </c>
      <c r="B3" s="37">
        <v>7.86</v>
      </c>
      <c r="C3" s="37" t="s">
        <v>569</v>
      </c>
      <c r="D3" s="37" t="s">
        <v>231</v>
      </c>
      <c r="E3" s="37" t="s">
        <v>570</v>
      </c>
      <c r="F3" s="37" t="s">
        <v>571</v>
      </c>
      <c r="G3" s="37" t="s">
        <v>572</v>
      </c>
      <c r="H3" s="37" t="s">
        <v>573</v>
      </c>
      <c r="I3" s="37" t="s">
        <v>574</v>
      </c>
      <c r="J3" s="37" t="s">
        <v>575</v>
      </c>
      <c r="K3" s="37">
        <v>1.8</v>
      </c>
      <c r="L3" s="37" t="s">
        <v>576</v>
      </c>
      <c r="M3" s="37" t="s">
        <v>157</v>
      </c>
      <c r="N3" s="37" t="s">
        <v>577</v>
      </c>
      <c r="O3" s="37"/>
      <c r="P3" s="37" t="s">
        <v>200</v>
      </c>
      <c r="Q3" s="37"/>
      <c r="R3" s="37" t="s">
        <v>158</v>
      </c>
      <c r="S3" s="37" t="s">
        <v>272</v>
      </c>
      <c r="T3" s="142"/>
      <c r="U3" s="37" t="s">
        <v>250</v>
      </c>
      <c r="V3" s="37"/>
      <c r="W3" s="37" t="s">
        <v>578</v>
      </c>
      <c r="X3" s="142" t="s">
        <v>579</v>
      </c>
      <c r="Y3" s="37" t="s">
        <v>567</v>
      </c>
      <c r="Z3" s="37" t="s">
        <v>274</v>
      </c>
      <c r="AA3" s="21" t="s">
        <v>273</v>
      </c>
    </row>
    <row r="4" spans="1:27">
      <c r="A4" s="37" t="s">
        <v>580</v>
      </c>
      <c r="B4" s="37">
        <v>2.7</v>
      </c>
      <c r="C4" s="37"/>
      <c r="D4" s="37"/>
      <c r="E4" s="37" t="s">
        <v>581</v>
      </c>
      <c r="F4" s="37" t="s">
        <v>582</v>
      </c>
      <c r="G4" s="37" t="s">
        <v>583</v>
      </c>
      <c r="H4" s="37" t="s">
        <v>584</v>
      </c>
      <c r="I4" s="37" t="s">
        <v>294</v>
      </c>
      <c r="J4" s="37" t="s">
        <v>585</v>
      </c>
      <c r="K4" s="37">
        <v>1.9</v>
      </c>
      <c r="L4" s="37"/>
      <c r="M4" s="37" t="s">
        <v>161</v>
      </c>
      <c r="N4" s="37" t="s">
        <v>586</v>
      </c>
      <c r="O4" s="37"/>
      <c r="P4" s="37" t="s">
        <v>201</v>
      </c>
      <c r="Q4" s="37"/>
      <c r="R4" s="37"/>
      <c r="S4" s="37"/>
      <c r="T4" s="144"/>
      <c r="U4" s="37"/>
      <c r="V4" s="37"/>
      <c r="W4" s="37" t="s">
        <v>587</v>
      </c>
      <c r="X4" s="144" t="s">
        <v>588</v>
      </c>
      <c r="Y4" s="37" t="s">
        <v>567</v>
      </c>
      <c r="Z4" s="37" t="s">
        <v>589</v>
      </c>
      <c r="AA4" s="21" t="s">
        <v>590</v>
      </c>
    </row>
    <row r="5" spans="1:27">
      <c r="A5" s="37" t="s">
        <v>205</v>
      </c>
      <c r="B5" s="37">
        <v>1.05</v>
      </c>
      <c r="C5" s="37"/>
      <c r="D5" s="37"/>
      <c r="E5" s="37" t="s">
        <v>591</v>
      </c>
      <c r="F5" s="37"/>
      <c r="G5" s="37" t="s">
        <v>592</v>
      </c>
      <c r="H5" s="37" t="s">
        <v>593</v>
      </c>
      <c r="I5" s="37"/>
      <c r="J5" s="37" t="s">
        <v>594</v>
      </c>
      <c r="K5" s="37">
        <v>1.8</v>
      </c>
      <c r="L5" s="37"/>
      <c r="M5" s="37" t="s">
        <v>158</v>
      </c>
      <c r="N5" s="37" t="s">
        <v>595</v>
      </c>
      <c r="O5" s="37"/>
      <c r="P5" s="37" t="s">
        <v>202</v>
      </c>
      <c r="Q5" s="37"/>
      <c r="R5" s="37"/>
      <c r="S5" s="37"/>
      <c r="T5" s="144"/>
      <c r="U5" s="37"/>
      <c r="V5" s="37"/>
      <c r="W5" s="37" t="s">
        <v>596</v>
      </c>
      <c r="X5" s="144" t="s">
        <v>597</v>
      </c>
      <c r="Y5" s="37" t="s">
        <v>293</v>
      </c>
      <c r="Z5" s="37" t="s">
        <v>598</v>
      </c>
      <c r="AA5" s="22" t="s">
        <v>590</v>
      </c>
    </row>
    <row r="6" spans="1:27">
      <c r="A6" s="37" t="s">
        <v>599</v>
      </c>
      <c r="B6" s="37">
        <v>8.9</v>
      </c>
      <c r="C6" s="37"/>
      <c r="D6" s="37"/>
      <c r="E6" s="37" t="s">
        <v>600</v>
      </c>
      <c r="F6" s="37"/>
      <c r="G6" s="37" t="s">
        <v>108</v>
      </c>
      <c r="H6" s="37" t="s">
        <v>601</v>
      </c>
      <c r="I6" s="37"/>
      <c r="J6" s="37" t="s">
        <v>602</v>
      </c>
      <c r="K6" s="37">
        <v>2.4049999999999998</v>
      </c>
      <c r="L6" s="37"/>
      <c r="M6" s="37" t="s">
        <v>159</v>
      </c>
      <c r="N6" s="37" t="s">
        <v>603</v>
      </c>
      <c r="O6" s="37"/>
      <c r="P6" s="37" t="s">
        <v>203</v>
      </c>
      <c r="Q6" s="37"/>
      <c r="R6" s="37"/>
      <c r="S6" s="37"/>
      <c r="T6" s="144"/>
      <c r="U6" s="37"/>
      <c r="V6" s="37"/>
      <c r="W6" s="37" t="s">
        <v>604</v>
      </c>
      <c r="X6" s="144" t="s">
        <v>605</v>
      </c>
      <c r="Y6" s="37" t="s">
        <v>293</v>
      </c>
      <c r="Z6" s="37" t="s">
        <v>606</v>
      </c>
      <c r="AA6" s="22" t="s">
        <v>590</v>
      </c>
    </row>
    <row r="7" spans="1:27">
      <c r="A7" s="37"/>
      <c r="B7" s="37"/>
      <c r="C7" s="37"/>
      <c r="D7" s="37"/>
      <c r="E7" s="37"/>
      <c r="F7" s="37"/>
      <c r="G7" s="37" t="s">
        <v>607</v>
      </c>
      <c r="H7" s="37" t="s">
        <v>608</v>
      </c>
      <c r="I7" s="37"/>
      <c r="J7" s="37" t="s">
        <v>609</v>
      </c>
      <c r="K7" s="145">
        <v>2.4049999999999998</v>
      </c>
      <c r="L7" s="37"/>
      <c r="M7" s="37" t="s">
        <v>160</v>
      </c>
      <c r="N7" s="37" t="s">
        <v>610</v>
      </c>
      <c r="O7" s="37"/>
      <c r="P7" s="37" t="s">
        <v>204</v>
      </c>
      <c r="Q7" s="37"/>
      <c r="R7" s="37"/>
      <c r="S7" s="37"/>
      <c r="T7" s="144"/>
      <c r="U7" s="37"/>
      <c r="V7" s="37"/>
      <c r="W7" s="37" t="s">
        <v>560</v>
      </c>
      <c r="X7" s="144" t="s">
        <v>611</v>
      </c>
      <c r="Y7" s="37" t="s">
        <v>293</v>
      </c>
      <c r="Z7" s="37" t="s">
        <v>612</v>
      </c>
      <c r="AA7" s="21" t="s">
        <v>613</v>
      </c>
    </row>
    <row r="8" spans="1:27">
      <c r="A8" s="37"/>
      <c r="B8" s="37"/>
      <c r="C8" s="37"/>
      <c r="D8" s="37"/>
      <c r="E8" s="37"/>
      <c r="F8" s="37"/>
      <c r="G8" s="37" t="s">
        <v>614</v>
      </c>
      <c r="H8" s="37" t="s">
        <v>615</v>
      </c>
      <c r="I8" s="37"/>
      <c r="J8" s="37" t="s">
        <v>616</v>
      </c>
      <c r="K8" s="37">
        <v>2.004</v>
      </c>
      <c r="L8" s="37"/>
      <c r="M8" s="37" t="s">
        <v>163</v>
      </c>
      <c r="N8" s="37" t="s">
        <v>617</v>
      </c>
      <c r="O8" s="37"/>
      <c r="P8" s="37"/>
      <c r="Q8" s="37"/>
      <c r="R8" s="37"/>
      <c r="S8" s="37"/>
      <c r="T8" s="144"/>
      <c r="U8" s="37"/>
      <c r="V8" s="37"/>
      <c r="W8" s="37"/>
      <c r="X8" s="144" t="s">
        <v>618</v>
      </c>
      <c r="Y8" s="37" t="s">
        <v>293</v>
      </c>
      <c r="Z8" s="37" t="s">
        <v>619</v>
      </c>
      <c r="AA8" s="22" t="s">
        <v>613</v>
      </c>
    </row>
    <row r="9" spans="1:27">
      <c r="A9" s="37"/>
      <c r="B9" s="37"/>
      <c r="C9" s="37"/>
      <c r="D9" s="37"/>
      <c r="E9" s="37"/>
      <c r="F9" s="37"/>
      <c r="G9" s="37" t="s">
        <v>620</v>
      </c>
      <c r="H9" s="37" t="s">
        <v>621</v>
      </c>
      <c r="I9" s="37"/>
      <c r="J9" s="37" t="s">
        <v>622</v>
      </c>
      <c r="K9" s="37">
        <v>2.004</v>
      </c>
      <c r="L9" s="37"/>
      <c r="M9" s="37" t="s">
        <v>165</v>
      </c>
      <c r="N9" s="37" t="s">
        <v>599</v>
      </c>
      <c r="O9" s="37"/>
      <c r="P9" s="37"/>
      <c r="Q9" s="37"/>
      <c r="R9" s="37"/>
      <c r="S9" s="37"/>
      <c r="T9" s="144"/>
      <c r="U9" s="37"/>
      <c r="V9" s="37"/>
      <c r="W9" s="37"/>
      <c r="X9" s="144" t="s">
        <v>623</v>
      </c>
      <c r="Y9" s="37" t="s">
        <v>293</v>
      </c>
      <c r="Z9" s="37" t="s">
        <v>624</v>
      </c>
      <c r="AA9" s="22" t="s">
        <v>590</v>
      </c>
    </row>
    <row r="10" spans="1:27">
      <c r="A10" s="37"/>
      <c r="B10" s="37"/>
      <c r="C10" s="37"/>
      <c r="D10" s="37"/>
      <c r="E10" s="37"/>
      <c r="F10" s="37"/>
      <c r="G10" s="37"/>
      <c r="H10" s="37" t="s">
        <v>625</v>
      </c>
      <c r="I10" s="37"/>
      <c r="J10" s="37" t="s">
        <v>121</v>
      </c>
      <c r="K10" s="37">
        <v>2.4049999999999998</v>
      </c>
      <c r="L10" s="37"/>
      <c r="M10" s="37" t="s">
        <v>162</v>
      </c>
      <c r="N10" s="37"/>
      <c r="O10" s="37"/>
      <c r="P10" s="37"/>
      <c r="Q10" s="37"/>
      <c r="R10" s="37"/>
      <c r="S10" s="37"/>
      <c r="T10" s="146"/>
      <c r="U10" s="37"/>
      <c r="V10" s="37"/>
      <c r="W10" s="37"/>
      <c r="X10" s="146" t="s">
        <v>626</v>
      </c>
      <c r="Y10" s="37" t="s">
        <v>293</v>
      </c>
      <c r="Z10" s="37" t="s">
        <v>627</v>
      </c>
      <c r="AA10" s="22" t="s">
        <v>613</v>
      </c>
    </row>
    <row r="11" spans="1:27">
      <c r="A11" s="37"/>
      <c r="B11" s="37"/>
      <c r="C11" s="37"/>
      <c r="D11" s="37"/>
      <c r="E11" s="37"/>
      <c r="F11" s="37"/>
      <c r="G11" s="37"/>
      <c r="H11" s="37" t="s">
        <v>628</v>
      </c>
      <c r="I11" s="37"/>
      <c r="J11" s="37" t="s">
        <v>629</v>
      </c>
      <c r="K11" s="37">
        <v>1.8069999999999999</v>
      </c>
      <c r="L11" s="37"/>
      <c r="M11" s="37" t="s">
        <v>630</v>
      </c>
      <c r="N11" s="37"/>
      <c r="O11" s="37"/>
      <c r="P11" s="37"/>
      <c r="Q11" s="37"/>
      <c r="R11" s="37"/>
      <c r="S11" s="37"/>
      <c r="T11" s="147"/>
      <c r="U11" s="37"/>
      <c r="V11" s="37"/>
      <c r="W11" s="37"/>
      <c r="X11" s="147" t="s">
        <v>631</v>
      </c>
      <c r="Y11" s="37" t="s">
        <v>632</v>
      </c>
      <c r="Z11" s="37" t="s">
        <v>633</v>
      </c>
      <c r="AA11" s="22" t="s">
        <v>590</v>
      </c>
    </row>
    <row r="12" spans="1:27">
      <c r="A12" s="37"/>
      <c r="B12" s="37"/>
      <c r="C12" s="37"/>
      <c r="D12" s="37"/>
      <c r="E12" s="37"/>
      <c r="F12" s="37"/>
      <c r="G12" s="37"/>
      <c r="H12" s="37" t="s">
        <v>634</v>
      </c>
      <c r="I12" s="37"/>
      <c r="J12" s="37" t="s">
        <v>635</v>
      </c>
      <c r="K12" s="37">
        <v>2</v>
      </c>
      <c r="L12" s="37"/>
      <c r="M12" s="37" t="s">
        <v>164</v>
      </c>
      <c r="N12" s="37"/>
      <c r="O12" s="37"/>
      <c r="P12" s="37"/>
      <c r="Q12" s="37"/>
      <c r="R12" s="37"/>
      <c r="S12" s="37"/>
      <c r="T12" s="147"/>
      <c r="U12" s="37"/>
      <c r="V12" s="37"/>
      <c r="W12" s="37"/>
      <c r="X12" s="147" t="s">
        <v>636</v>
      </c>
      <c r="Y12" s="37" t="s">
        <v>632</v>
      </c>
      <c r="Z12" s="37" t="s">
        <v>637</v>
      </c>
    </row>
    <row r="13" spans="1:27">
      <c r="A13" s="37"/>
      <c r="B13" s="37"/>
      <c r="C13" s="37"/>
      <c r="D13" s="37"/>
      <c r="E13" s="37"/>
      <c r="F13" s="37"/>
      <c r="G13" s="37"/>
      <c r="H13" s="37" t="s">
        <v>105</v>
      </c>
      <c r="I13" s="37"/>
      <c r="J13" s="37" t="s">
        <v>638</v>
      </c>
      <c r="K13" s="37">
        <v>2.335</v>
      </c>
      <c r="L13" s="37"/>
      <c r="M13" s="37"/>
      <c r="N13" s="37"/>
      <c r="O13" s="37"/>
      <c r="P13" s="37"/>
      <c r="Q13" s="37"/>
      <c r="R13" s="37"/>
      <c r="S13" s="37"/>
      <c r="T13" s="147"/>
      <c r="U13" s="37"/>
      <c r="V13" s="37"/>
      <c r="W13" s="37"/>
      <c r="X13" s="147" t="s">
        <v>639</v>
      </c>
      <c r="Y13" s="37" t="s">
        <v>632</v>
      </c>
      <c r="Z13" s="37" t="s">
        <v>640</v>
      </c>
      <c r="AA13" s="21" t="s">
        <v>231</v>
      </c>
    </row>
    <row r="14" spans="1:27">
      <c r="A14" s="37"/>
      <c r="B14" s="37"/>
      <c r="C14" s="37"/>
      <c r="D14" s="37"/>
      <c r="E14" s="37"/>
      <c r="F14" s="37"/>
      <c r="G14" s="37"/>
      <c r="H14" s="37" t="s">
        <v>641</v>
      </c>
      <c r="I14" s="37"/>
      <c r="J14" s="37" t="s">
        <v>642</v>
      </c>
      <c r="K14" s="37">
        <v>1.4</v>
      </c>
      <c r="L14" s="37"/>
      <c r="M14" s="37"/>
      <c r="N14" s="37"/>
      <c r="O14" s="37"/>
      <c r="P14" s="37"/>
      <c r="Q14" s="37"/>
      <c r="R14" s="37"/>
      <c r="S14" s="37"/>
      <c r="T14" s="148"/>
      <c r="U14" s="37"/>
      <c r="V14" s="37"/>
      <c r="W14" s="37"/>
      <c r="X14" s="148" t="s">
        <v>643</v>
      </c>
      <c r="Y14" s="37" t="s">
        <v>644</v>
      </c>
      <c r="Z14" s="37" t="s">
        <v>645</v>
      </c>
      <c r="AA14" s="22" t="s">
        <v>613</v>
      </c>
    </row>
    <row r="15" spans="1:27">
      <c r="A15" s="37"/>
      <c r="B15" s="37"/>
      <c r="C15" s="37"/>
      <c r="D15" s="37"/>
      <c r="E15" s="37"/>
      <c r="F15" s="37"/>
      <c r="G15" s="37"/>
      <c r="H15" s="37"/>
      <c r="I15" s="37"/>
      <c r="J15" s="37" t="s">
        <v>646</v>
      </c>
      <c r="K15" s="37">
        <v>1.2</v>
      </c>
      <c r="L15" s="37"/>
      <c r="M15" s="37"/>
      <c r="N15" s="37"/>
      <c r="O15" s="37"/>
      <c r="P15" s="37"/>
      <c r="Q15" s="37"/>
      <c r="R15" s="37"/>
      <c r="S15" s="37"/>
      <c r="T15" s="148"/>
      <c r="U15" s="37"/>
      <c r="V15" s="37"/>
      <c r="W15" s="37"/>
      <c r="X15" s="148" t="s">
        <v>647</v>
      </c>
      <c r="Y15" s="37" t="s">
        <v>644</v>
      </c>
      <c r="Z15" s="37" t="s">
        <v>648</v>
      </c>
      <c r="AA15" s="22" t="s">
        <v>613</v>
      </c>
    </row>
    <row r="16" spans="1:27">
      <c r="A16" s="37"/>
      <c r="B16" s="37"/>
      <c r="C16" s="37"/>
      <c r="D16" s="37"/>
      <c r="E16" s="37"/>
      <c r="F16" s="37"/>
      <c r="G16" s="37"/>
      <c r="H16" s="37"/>
      <c r="I16" s="37"/>
      <c r="J16" s="37" t="s">
        <v>649</v>
      </c>
      <c r="K16" s="37">
        <v>1.7</v>
      </c>
      <c r="L16" s="37"/>
      <c r="M16" s="37"/>
      <c r="N16" s="37"/>
      <c r="O16" s="37"/>
      <c r="P16" s="37"/>
      <c r="Q16" s="37"/>
      <c r="R16" s="37"/>
      <c r="S16" s="37"/>
      <c r="T16" s="149"/>
      <c r="U16" s="37"/>
      <c r="V16" s="37"/>
      <c r="W16" s="37"/>
      <c r="X16" s="149" t="s">
        <v>650</v>
      </c>
      <c r="Y16" s="37" t="s">
        <v>651</v>
      </c>
      <c r="Z16" s="37" t="s">
        <v>278</v>
      </c>
      <c r="AA16" s="22" t="s">
        <v>590</v>
      </c>
    </row>
    <row r="17" spans="1:27">
      <c r="A17" s="37"/>
      <c r="B17" s="37"/>
      <c r="C17" s="37"/>
      <c r="D17" s="37"/>
      <c r="E17" s="37"/>
      <c r="F17" s="37"/>
      <c r="G17" s="37"/>
      <c r="H17" s="37"/>
      <c r="I17" s="37"/>
      <c r="J17" s="37" t="s">
        <v>652</v>
      </c>
      <c r="K17" s="37">
        <v>0</v>
      </c>
      <c r="L17" s="37"/>
      <c r="M17" s="37"/>
      <c r="N17" s="37"/>
      <c r="O17" s="37"/>
      <c r="P17" s="37"/>
      <c r="Q17" s="37"/>
      <c r="R17" s="37"/>
      <c r="S17" s="37"/>
      <c r="T17" s="149"/>
      <c r="U17" s="37"/>
      <c r="V17" s="37"/>
      <c r="W17" s="37"/>
      <c r="X17" s="149" t="s">
        <v>653</v>
      </c>
      <c r="Y17" s="37" t="s">
        <v>651</v>
      </c>
      <c r="Z17" s="37" t="s">
        <v>640</v>
      </c>
      <c r="AA17" s="22" t="s">
        <v>231</v>
      </c>
    </row>
    <row r="18" spans="1:27">
      <c r="A18" s="37"/>
      <c r="B18" s="37"/>
      <c r="C18" s="37"/>
      <c r="D18" s="37"/>
      <c r="E18" s="37"/>
      <c r="F18" s="37"/>
      <c r="G18" s="37"/>
      <c r="H18" s="37"/>
      <c r="I18" s="37"/>
      <c r="J18" s="37" t="s">
        <v>654</v>
      </c>
      <c r="K18" s="37">
        <v>1.8</v>
      </c>
      <c r="L18" s="37"/>
      <c r="M18" s="37"/>
      <c r="N18" s="37"/>
      <c r="O18" s="37"/>
      <c r="P18" s="37"/>
      <c r="Q18" s="37"/>
      <c r="R18" s="37"/>
      <c r="S18" s="37"/>
      <c r="T18" s="149"/>
      <c r="U18" s="37"/>
      <c r="V18" s="37"/>
      <c r="W18" s="37"/>
      <c r="X18" s="149" t="s">
        <v>655</v>
      </c>
      <c r="Y18" s="37" t="s">
        <v>651</v>
      </c>
      <c r="Z18" s="37" t="s">
        <v>656</v>
      </c>
      <c r="AA18" s="21" t="s">
        <v>231</v>
      </c>
    </row>
    <row r="19" spans="1:27">
      <c r="A19" s="37"/>
      <c r="B19" s="37"/>
      <c r="C19" s="37"/>
      <c r="D19" s="37"/>
      <c r="E19" s="37"/>
      <c r="F19" s="37"/>
      <c r="G19" s="37"/>
      <c r="H19" s="37"/>
      <c r="I19" s="37"/>
      <c r="J19" s="37" t="s">
        <v>657</v>
      </c>
      <c r="K19" s="37">
        <v>2.16</v>
      </c>
      <c r="L19" s="37"/>
      <c r="M19" s="37"/>
      <c r="N19" s="37"/>
      <c r="O19" s="37"/>
      <c r="P19" s="37"/>
      <c r="Q19" s="37"/>
      <c r="R19" s="37"/>
      <c r="S19" s="37"/>
      <c r="T19" s="149"/>
      <c r="U19" s="37"/>
      <c r="V19" s="37"/>
      <c r="W19" s="37"/>
      <c r="X19" s="149" t="s">
        <v>658</v>
      </c>
      <c r="Y19" s="37" t="s">
        <v>659</v>
      </c>
      <c r="Z19" s="37"/>
    </row>
    <row r="20" spans="1:27">
      <c r="A20" s="37"/>
      <c r="B20" s="37"/>
      <c r="C20" s="37"/>
      <c r="D20" s="37"/>
      <c r="E20" s="37"/>
      <c r="F20" s="37"/>
      <c r="G20" s="37"/>
      <c r="H20" s="37"/>
      <c r="I20" s="37"/>
      <c r="J20" s="37" t="s">
        <v>660</v>
      </c>
      <c r="K20" s="37">
        <v>1.3</v>
      </c>
      <c r="L20" s="37"/>
      <c r="M20" s="37"/>
      <c r="N20" s="37"/>
      <c r="O20" s="37"/>
      <c r="P20" s="37"/>
      <c r="Q20" s="37"/>
      <c r="R20" s="37"/>
      <c r="S20" s="37"/>
      <c r="T20" s="149"/>
      <c r="U20" s="37"/>
      <c r="V20" s="37"/>
      <c r="W20" s="37"/>
      <c r="X20" s="149" t="s">
        <v>661</v>
      </c>
      <c r="Y20" s="37" t="s">
        <v>659</v>
      </c>
      <c r="Z20" s="37"/>
    </row>
    <row r="21" spans="1:27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149"/>
      <c r="U21" s="37"/>
      <c r="V21" s="37"/>
      <c r="W21" s="37"/>
      <c r="X21" s="149" t="s">
        <v>662</v>
      </c>
      <c r="Y21" s="37" t="s">
        <v>659</v>
      </c>
      <c r="Z21" s="37"/>
    </row>
    <row r="22" spans="1:27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149"/>
      <c r="U22" s="37"/>
      <c r="V22" s="37"/>
      <c r="W22" s="37"/>
      <c r="X22" s="149" t="s">
        <v>663</v>
      </c>
      <c r="Y22" s="37" t="s">
        <v>659</v>
      </c>
      <c r="Z22" s="37"/>
    </row>
  </sheetData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23"/>
  <sheetViews>
    <sheetView topLeftCell="C10" zoomScale="111" workbookViewId="0">
      <selection activeCell="N3" sqref="N3"/>
    </sheetView>
  </sheetViews>
  <sheetFormatPr defaultRowHeight="15"/>
  <cols>
    <col min="1" max="1" width="22.7109375" bestFit="1" customWidth="1"/>
    <col min="2" max="2" width="13.42578125" bestFit="1" customWidth="1"/>
    <col min="3" max="3" width="19.42578125" bestFit="1" customWidth="1"/>
    <col min="4" max="4" width="7" bestFit="1" customWidth="1"/>
    <col min="5" max="5" width="6.7109375" bestFit="1" customWidth="1"/>
    <col min="6" max="6" width="12.42578125" bestFit="1" customWidth="1"/>
    <col min="7" max="7" width="12.85546875" bestFit="1" customWidth="1"/>
    <col min="8" max="8" width="12.5703125" bestFit="1" customWidth="1"/>
    <col min="9" max="9" width="19.140625" bestFit="1" customWidth="1"/>
    <col min="10" max="10" width="9.42578125" bestFit="1" customWidth="1"/>
    <col min="11" max="11" width="14.42578125" bestFit="1" customWidth="1"/>
    <col min="12" max="12" width="7" bestFit="1" customWidth="1"/>
    <col min="13" max="13" width="24" bestFit="1" customWidth="1"/>
    <col min="14" max="14" width="7.7109375" bestFit="1" customWidth="1"/>
  </cols>
  <sheetData>
    <row r="2" spans="1:15">
      <c r="A2" t="s">
        <v>664</v>
      </c>
      <c r="B2" t="s">
        <v>287</v>
      </c>
      <c r="C2" t="s">
        <v>665</v>
      </c>
      <c r="D2" t="s">
        <v>256</v>
      </c>
      <c r="E2" t="s">
        <v>254</v>
      </c>
      <c r="F2" t="s">
        <v>666</v>
      </c>
      <c r="G2" t="s">
        <v>253</v>
      </c>
      <c r="H2" t="s">
        <v>667</v>
      </c>
      <c r="I2" t="s">
        <v>668</v>
      </c>
      <c r="J2" t="s">
        <v>669</v>
      </c>
      <c r="K2" t="s">
        <v>670</v>
      </c>
      <c r="L2" t="s">
        <v>317</v>
      </c>
      <c r="M2" t="s">
        <v>671</v>
      </c>
      <c r="N2" t="s">
        <v>288</v>
      </c>
    </row>
    <row r="3" spans="1:15">
      <c r="A3" s="142" t="s">
        <v>566</v>
      </c>
      <c r="B3" s="37" t="s">
        <v>567</v>
      </c>
      <c r="D3">
        <f t="shared" ref="D3:D23" si="0">105*22*26*12</f>
        <v>720720</v>
      </c>
      <c r="L3">
        <f t="shared" ref="L3:L23" si="1">SUM(D3:K3)</f>
        <v>720720</v>
      </c>
      <c r="M3">
        <f t="shared" ref="M3:M23" si="2">22*26*12</f>
        <v>6864</v>
      </c>
      <c r="N3">
        <f t="shared" ref="N3:N23" si="3">L3/M3</f>
        <v>105</v>
      </c>
      <c r="O3">
        <f>M3*N3</f>
        <v>720720</v>
      </c>
    </row>
    <row r="4" spans="1:15">
      <c r="A4" s="142" t="s">
        <v>579</v>
      </c>
      <c r="B4" s="37" t="s">
        <v>567</v>
      </c>
      <c r="D4">
        <f t="shared" si="0"/>
        <v>720720</v>
      </c>
      <c r="L4">
        <f t="shared" si="1"/>
        <v>720720</v>
      </c>
      <c r="M4">
        <f t="shared" si="2"/>
        <v>6864</v>
      </c>
      <c r="N4">
        <f t="shared" si="3"/>
        <v>105</v>
      </c>
    </row>
    <row r="5" spans="1:15">
      <c r="A5" s="144" t="s">
        <v>588</v>
      </c>
      <c r="B5" s="37" t="s">
        <v>567</v>
      </c>
      <c r="D5">
        <f t="shared" si="0"/>
        <v>720720</v>
      </c>
      <c r="L5">
        <f t="shared" si="1"/>
        <v>720720</v>
      </c>
      <c r="M5">
        <f t="shared" si="2"/>
        <v>6864</v>
      </c>
      <c r="N5">
        <f t="shared" si="3"/>
        <v>105</v>
      </c>
    </row>
    <row r="6" spans="1:15">
      <c r="A6" s="144" t="s">
        <v>597</v>
      </c>
      <c r="B6" s="37" t="s">
        <v>293</v>
      </c>
      <c r="D6">
        <f t="shared" si="0"/>
        <v>720720</v>
      </c>
      <c r="L6">
        <f t="shared" si="1"/>
        <v>720720</v>
      </c>
      <c r="M6">
        <f t="shared" si="2"/>
        <v>6864</v>
      </c>
      <c r="N6">
        <f t="shared" si="3"/>
        <v>105</v>
      </c>
    </row>
    <row r="7" spans="1:15">
      <c r="A7" s="144" t="s">
        <v>605</v>
      </c>
      <c r="B7" s="37" t="s">
        <v>293</v>
      </c>
      <c r="D7">
        <f t="shared" si="0"/>
        <v>720720</v>
      </c>
      <c r="L7">
        <f t="shared" si="1"/>
        <v>720720</v>
      </c>
      <c r="M7">
        <f t="shared" si="2"/>
        <v>6864</v>
      </c>
      <c r="N7">
        <f t="shared" si="3"/>
        <v>105</v>
      </c>
    </row>
    <row r="8" spans="1:15">
      <c r="A8" s="144" t="s">
        <v>611</v>
      </c>
      <c r="B8" s="37" t="s">
        <v>293</v>
      </c>
      <c r="D8">
        <f t="shared" si="0"/>
        <v>720720</v>
      </c>
      <c r="L8">
        <f t="shared" si="1"/>
        <v>720720</v>
      </c>
      <c r="M8">
        <f t="shared" si="2"/>
        <v>6864</v>
      </c>
      <c r="N8">
        <f t="shared" si="3"/>
        <v>105</v>
      </c>
    </row>
    <row r="9" spans="1:15">
      <c r="A9" s="144" t="s">
        <v>618</v>
      </c>
      <c r="B9" s="37" t="s">
        <v>293</v>
      </c>
      <c r="D9">
        <f t="shared" si="0"/>
        <v>720720</v>
      </c>
      <c r="L9">
        <f t="shared" si="1"/>
        <v>720720</v>
      </c>
      <c r="M9">
        <f t="shared" si="2"/>
        <v>6864</v>
      </c>
      <c r="N9">
        <f t="shared" si="3"/>
        <v>105</v>
      </c>
    </row>
    <row r="10" spans="1:15">
      <c r="A10" s="144" t="s">
        <v>623</v>
      </c>
      <c r="B10" s="37" t="s">
        <v>293</v>
      </c>
      <c r="D10">
        <f t="shared" si="0"/>
        <v>720720</v>
      </c>
      <c r="L10">
        <f t="shared" si="1"/>
        <v>720720</v>
      </c>
      <c r="M10">
        <f t="shared" si="2"/>
        <v>6864</v>
      </c>
      <c r="N10">
        <f t="shared" si="3"/>
        <v>105</v>
      </c>
    </row>
    <row r="11" spans="1:15">
      <c r="A11" s="146" t="s">
        <v>626</v>
      </c>
      <c r="B11" s="37" t="s">
        <v>293</v>
      </c>
      <c r="D11">
        <f t="shared" si="0"/>
        <v>720720</v>
      </c>
      <c r="L11">
        <f t="shared" si="1"/>
        <v>720720</v>
      </c>
      <c r="M11">
        <f t="shared" si="2"/>
        <v>6864</v>
      </c>
      <c r="N11">
        <f t="shared" si="3"/>
        <v>105</v>
      </c>
    </row>
    <row r="12" spans="1:15">
      <c r="A12" s="147" t="s">
        <v>631</v>
      </c>
      <c r="B12" s="37" t="s">
        <v>632</v>
      </c>
      <c r="D12">
        <f t="shared" si="0"/>
        <v>720720</v>
      </c>
      <c r="L12">
        <f t="shared" si="1"/>
        <v>720720</v>
      </c>
      <c r="M12">
        <f t="shared" si="2"/>
        <v>6864</v>
      </c>
      <c r="N12">
        <f t="shared" si="3"/>
        <v>105</v>
      </c>
    </row>
    <row r="13" spans="1:15">
      <c r="A13" s="147" t="s">
        <v>636</v>
      </c>
      <c r="B13" s="37" t="s">
        <v>632</v>
      </c>
      <c r="D13">
        <f t="shared" si="0"/>
        <v>720720</v>
      </c>
      <c r="L13">
        <f t="shared" si="1"/>
        <v>720720</v>
      </c>
      <c r="M13">
        <f t="shared" si="2"/>
        <v>6864</v>
      </c>
      <c r="N13">
        <f t="shared" si="3"/>
        <v>105</v>
      </c>
    </row>
    <row r="14" spans="1:15">
      <c r="A14" s="147" t="s">
        <v>639</v>
      </c>
      <c r="B14" s="37" t="s">
        <v>632</v>
      </c>
      <c r="D14">
        <f t="shared" si="0"/>
        <v>720720</v>
      </c>
      <c r="L14">
        <f t="shared" si="1"/>
        <v>720720</v>
      </c>
      <c r="M14">
        <f t="shared" si="2"/>
        <v>6864</v>
      </c>
      <c r="N14">
        <f t="shared" si="3"/>
        <v>105</v>
      </c>
    </row>
    <row r="15" spans="1:15">
      <c r="A15" s="148" t="s">
        <v>643</v>
      </c>
      <c r="B15" s="37" t="s">
        <v>644</v>
      </c>
      <c r="D15">
        <f t="shared" si="0"/>
        <v>720720</v>
      </c>
      <c r="L15">
        <f t="shared" si="1"/>
        <v>720720</v>
      </c>
      <c r="M15">
        <f t="shared" si="2"/>
        <v>6864</v>
      </c>
      <c r="N15">
        <f t="shared" si="3"/>
        <v>105</v>
      </c>
    </row>
    <row r="16" spans="1:15">
      <c r="A16" s="148" t="s">
        <v>647</v>
      </c>
      <c r="B16" s="37" t="s">
        <v>644</v>
      </c>
      <c r="D16">
        <f t="shared" si="0"/>
        <v>720720</v>
      </c>
      <c r="L16">
        <f t="shared" si="1"/>
        <v>720720</v>
      </c>
      <c r="M16">
        <f t="shared" si="2"/>
        <v>6864</v>
      </c>
      <c r="N16">
        <f t="shared" si="3"/>
        <v>105</v>
      </c>
    </row>
    <row r="17" spans="1:14">
      <c r="A17" s="149" t="s">
        <v>650</v>
      </c>
      <c r="B17" s="37" t="s">
        <v>651</v>
      </c>
      <c r="D17">
        <f t="shared" si="0"/>
        <v>720720</v>
      </c>
      <c r="L17">
        <f t="shared" si="1"/>
        <v>720720</v>
      </c>
      <c r="M17">
        <f t="shared" si="2"/>
        <v>6864</v>
      </c>
      <c r="N17">
        <f t="shared" si="3"/>
        <v>105</v>
      </c>
    </row>
    <row r="18" spans="1:14">
      <c r="A18" s="149" t="s">
        <v>653</v>
      </c>
      <c r="B18" s="37" t="s">
        <v>651</v>
      </c>
      <c r="D18">
        <f t="shared" si="0"/>
        <v>720720</v>
      </c>
      <c r="L18">
        <f t="shared" si="1"/>
        <v>720720</v>
      </c>
      <c r="M18">
        <f t="shared" si="2"/>
        <v>6864</v>
      </c>
      <c r="N18">
        <f t="shared" si="3"/>
        <v>105</v>
      </c>
    </row>
    <row r="19" spans="1:14">
      <c r="A19" s="149" t="s">
        <v>655</v>
      </c>
      <c r="B19" s="37" t="s">
        <v>651</v>
      </c>
      <c r="D19">
        <f t="shared" si="0"/>
        <v>720720</v>
      </c>
      <c r="L19">
        <f t="shared" si="1"/>
        <v>720720</v>
      </c>
      <c r="M19">
        <f t="shared" si="2"/>
        <v>6864</v>
      </c>
      <c r="N19">
        <f t="shared" si="3"/>
        <v>105</v>
      </c>
    </row>
    <row r="20" spans="1:14">
      <c r="A20" s="149" t="s">
        <v>658</v>
      </c>
      <c r="B20" s="37" t="s">
        <v>659</v>
      </c>
      <c r="D20">
        <f t="shared" si="0"/>
        <v>720720</v>
      </c>
      <c r="L20">
        <f t="shared" si="1"/>
        <v>720720</v>
      </c>
      <c r="M20">
        <f t="shared" si="2"/>
        <v>6864</v>
      </c>
      <c r="N20">
        <f t="shared" si="3"/>
        <v>105</v>
      </c>
    </row>
    <row r="21" spans="1:14">
      <c r="A21" s="149" t="s">
        <v>661</v>
      </c>
      <c r="B21" s="37" t="s">
        <v>659</v>
      </c>
      <c r="D21">
        <f t="shared" si="0"/>
        <v>720720</v>
      </c>
      <c r="L21">
        <f t="shared" si="1"/>
        <v>720720</v>
      </c>
      <c r="M21">
        <f t="shared" si="2"/>
        <v>6864</v>
      </c>
      <c r="N21">
        <f t="shared" si="3"/>
        <v>105</v>
      </c>
    </row>
    <row r="22" spans="1:14">
      <c r="A22" s="149" t="s">
        <v>662</v>
      </c>
      <c r="B22" s="37" t="s">
        <v>659</v>
      </c>
      <c r="D22">
        <f t="shared" si="0"/>
        <v>720720</v>
      </c>
      <c r="L22">
        <f t="shared" si="1"/>
        <v>720720</v>
      </c>
      <c r="M22">
        <f t="shared" si="2"/>
        <v>6864</v>
      </c>
      <c r="N22">
        <f t="shared" si="3"/>
        <v>105</v>
      </c>
    </row>
    <row r="23" spans="1:14">
      <c r="A23" s="149" t="s">
        <v>663</v>
      </c>
      <c r="B23" s="37" t="s">
        <v>659</v>
      </c>
      <c r="D23">
        <f t="shared" si="0"/>
        <v>720720</v>
      </c>
      <c r="L23">
        <f t="shared" si="1"/>
        <v>720720</v>
      </c>
      <c r="M23">
        <f t="shared" si="2"/>
        <v>6864</v>
      </c>
      <c r="N23">
        <f t="shared" si="3"/>
        <v>105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8"/>
  <sheetViews>
    <sheetView workbookViewId="0">
      <selection activeCell="C8" sqref="C8"/>
    </sheetView>
  </sheetViews>
  <sheetFormatPr defaultRowHeight="15"/>
  <cols>
    <col min="1" max="1" width="6.85546875" bestFit="1" customWidth="1"/>
    <col min="2" max="2" width="16.42578125" bestFit="1" customWidth="1"/>
    <col min="3" max="3" width="14.28515625" bestFit="1" customWidth="1"/>
    <col min="4" max="4" width="11.7109375" bestFit="1" customWidth="1"/>
    <col min="5" max="5" width="4.140625" bestFit="1" customWidth="1"/>
    <col min="6" max="6" width="16.85546875" bestFit="1" customWidth="1"/>
    <col min="7" max="7" width="17.7109375" bestFit="1" customWidth="1"/>
  </cols>
  <sheetData>
    <row r="1" spans="1:7" ht="15.75" customHeight="1" thickBot="1">
      <c r="A1" s="23" t="s">
        <v>172</v>
      </c>
      <c r="B1" s="24" t="s">
        <v>672</v>
      </c>
      <c r="C1" s="25" t="s">
        <v>673</v>
      </c>
      <c r="D1" s="25" t="s">
        <v>674</v>
      </c>
      <c r="E1" s="25" t="s">
        <v>176</v>
      </c>
      <c r="F1" s="25" t="s">
        <v>675</v>
      </c>
      <c r="G1" s="25" t="s">
        <v>676</v>
      </c>
    </row>
    <row r="2" spans="1:7" ht="15.75" customHeight="1" thickBot="1">
      <c r="A2" s="26">
        <v>1</v>
      </c>
      <c r="B2" s="27" t="s">
        <v>677</v>
      </c>
      <c r="C2" s="27" t="s">
        <v>567</v>
      </c>
      <c r="D2" s="27" t="s">
        <v>678</v>
      </c>
      <c r="E2" s="28">
        <v>3</v>
      </c>
      <c r="F2" s="28">
        <v>19</v>
      </c>
      <c r="G2" s="28">
        <v>57</v>
      </c>
    </row>
    <row r="3" spans="1:7" ht="15.75" customHeight="1" thickBot="1">
      <c r="A3" s="26">
        <v>2</v>
      </c>
      <c r="B3" s="27" t="s">
        <v>679</v>
      </c>
      <c r="C3" s="27" t="s">
        <v>293</v>
      </c>
      <c r="D3" s="27" t="s">
        <v>678</v>
      </c>
      <c r="E3" s="28">
        <v>4</v>
      </c>
      <c r="F3" s="28">
        <v>19</v>
      </c>
      <c r="G3" s="28">
        <v>76</v>
      </c>
    </row>
    <row r="4" spans="1:7" ht="15.75" customHeight="1" thickBot="1">
      <c r="A4" s="26">
        <v>3</v>
      </c>
      <c r="B4" s="27" t="s">
        <v>680</v>
      </c>
      <c r="C4" s="27" t="s">
        <v>293</v>
      </c>
      <c r="D4" s="27" t="s">
        <v>678</v>
      </c>
      <c r="E4" s="28">
        <v>1</v>
      </c>
      <c r="F4" s="28">
        <v>18</v>
      </c>
      <c r="G4" s="28">
        <v>18</v>
      </c>
    </row>
    <row r="5" spans="1:7" ht="15.75" customHeight="1" thickBot="1">
      <c r="A5" s="26">
        <v>4</v>
      </c>
      <c r="B5" s="27" t="s">
        <v>681</v>
      </c>
      <c r="C5" s="27" t="s">
        <v>293</v>
      </c>
      <c r="D5" s="27" t="s">
        <v>682</v>
      </c>
      <c r="E5" s="28">
        <v>3</v>
      </c>
      <c r="F5" s="28">
        <v>24</v>
      </c>
      <c r="G5" s="28">
        <v>72</v>
      </c>
    </row>
    <row r="6" spans="1:7" ht="15.75" customHeight="1" thickBot="1">
      <c r="A6" s="26">
        <v>5</v>
      </c>
      <c r="B6" s="27" t="s">
        <v>683</v>
      </c>
      <c r="C6" s="27" t="s">
        <v>684</v>
      </c>
      <c r="D6" s="27" t="s">
        <v>644</v>
      </c>
      <c r="E6" s="28">
        <v>2</v>
      </c>
      <c r="F6" s="28">
        <v>12</v>
      </c>
      <c r="G6" s="28">
        <v>24</v>
      </c>
    </row>
    <row r="7" spans="1:7" ht="15.75" customHeight="1" thickBot="1">
      <c r="A7" s="26">
        <v>6</v>
      </c>
      <c r="B7" s="27" t="s">
        <v>685</v>
      </c>
      <c r="C7" s="27" t="s">
        <v>293</v>
      </c>
      <c r="D7" s="27" t="s">
        <v>651</v>
      </c>
      <c r="E7" s="28">
        <v>3</v>
      </c>
      <c r="F7" s="28">
        <v>18</v>
      </c>
      <c r="G7" s="28">
        <v>55</v>
      </c>
    </row>
    <row r="8" spans="1:7" ht="15.75" customHeight="1" thickBot="1">
      <c r="A8" s="26">
        <v>7</v>
      </c>
      <c r="B8" s="27" t="s">
        <v>686</v>
      </c>
      <c r="C8" s="27" t="s">
        <v>293</v>
      </c>
      <c r="D8" s="27" t="s">
        <v>651</v>
      </c>
      <c r="E8" s="28">
        <v>1</v>
      </c>
      <c r="F8" s="28">
        <v>22</v>
      </c>
      <c r="G8" s="28">
        <v>22</v>
      </c>
    </row>
    <row r="9" spans="1:7" ht="15.75" customHeight="1" thickBot="1">
      <c r="A9" s="26">
        <v>8</v>
      </c>
      <c r="B9" s="27" t="s">
        <v>687</v>
      </c>
      <c r="C9" s="27" t="s">
        <v>684</v>
      </c>
      <c r="D9" s="27" t="s">
        <v>651</v>
      </c>
      <c r="E9" s="28">
        <v>1</v>
      </c>
      <c r="F9" s="28">
        <v>17</v>
      </c>
      <c r="G9" s="28">
        <v>17</v>
      </c>
    </row>
    <row r="10" spans="1:7" ht="15.75" customHeight="1" thickBot="1">
      <c r="A10" s="26">
        <v>9</v>
      </c>
      <c r="B10" s="27" t="s">
        <v>688</v>
      </c>
      <c r="C10" s="27" t="s">
        <v>684</v>
      </c>
      <c r="D10" s="27" t="s">
        <v>651</v>
      </c>
      <c r="E10" s="28">
        <v>1</v>
      </c>
      <c r="F10" s="28">
        <v>13</v>
      </c>
      <c r="G10" s="28">
        <v>13</v>
      </c>
    </row>
    <row r="11" spans="1:7" ht="15.75" customHeight="1" thickBot="1">
      <c r="A11" s="26">
        <v>10</v>
      </c>
      <c r="B11" s="27" t="s">
        <v>689</v>
      </c>
      <c r="C11" s="27" t="s">
        <v>684</v>
      </c>
      <c r="D11" s="27" t="s">
        <v>651</v>
      </c>
      <c r="E11" s="28">
        <v>1</v>
      </c>
      <c r="F11" s="28">
        <v>11</v>
      </c>
      <c r="G11" s="28">
        <v>11</v>
      </c>
    </row>
    <row r="12" spans="1:7" ht="15.75" customHeight="1" thickBot="1">
      <c r="A12" s="26"/>
      <c r="B12" s="27"/>
      <c r="C12" s="27"/>
      <c r="D12" s="27"/>
      <c r="E12" s="28"/>
      <c r="F12" s="29" t="s">
        <v>690</v>
      </c>
      <c r="G12" s="29">
        <v>366</v>
      </c>
    </row>
    <row r="13" spans="1:7" ht="15.75" customHeight="1" thickBot="1">
      <c r="A13" s="26"/>
      <c r="B13" s="27"/>
      <c r="C13" s="27"/>
      <c r="D13" s="27"/>
      <c r="E13" s="28"/>
      <c r="F13" s="28"/>
      <c r="G13" s="28"/>
    </row>
    <row r="14" spans="1:7" ht="15.75" customHeight="1" thickBot="1">
      <c r="A14" s="26"/>
      <c r="B14" s="30" t="s">
        <v>691</v>
      </c>
      <c r="C14" s="27" t="s">
        <v>692</v>
      </c>
      <c r="D14" s="27" t="s">
        <v>693</v>
      </c>
      <c r="E14" s="28" t="s">
        <v>176</v>
      </c>
      <c r="F14" s="28" t="s">
        <v>694</v>
      </c>
      <c r="G14" s="28" t="s">
        <v>695</v>
      </c>
    </row>
    <row r="15" spans="1:7" ht="15.75" customHeight="1" thickBot="1">
      <c r="A15" s="26">
        <v>1</v>
      </c>
      <c r="B15" s="27" t="s">
        <v>696</v>
      </c>
      <c r="C15" s="27" t="s">
        <v>697</v>
      </c>
      <c r="D15" s="27" t="s">
        <v>698</v>
      </c>
      <c r="E15" s="28">
        <v>1</v>
      </c>
      <c r="F15" s="28">
        <v>12</v>
      </c>
      <c r="G15" s="28">
        <v>12</v>
      </c>
    </row>
    <row r="16" spans="1:7" ht="15.75" customHeight="1" thickBot="1">
      <c r="A16" s="26">
        <v>2</v>
      </c>
      <c r="B16" s="27" t="s">
        <v>699</v>
      </c>
      <c r="C16" s="27" t="s">
        <v>700</v>
      </c>
      <c r="D16" s="27" t="s">
        <v>701</v>
      </c>
      <c r="E16" s="28">
        <v>40</v>
      </c>
      <c r="F16" s="28">
        <v>0.8</v>
      </c>
      <c r="G16" s="28">
        <v>32</v>
      </c>
    </row>
    <row r="17" spans="1:7" ht="15.75" customHeight="1" thickBot="1">
      <c r="A17" s="26">
        <v>3</v>
      </c>
      <c r="B17" s="27" t="s">
        <v>702</v>
      </c>
      <c r="C17" s="27" t="s">
        <v>703</v>
      </c>
      <c r="D17" s="27" t="s">
        <v>704</v>
      </c>
      <c r="E17" s="28">
        <v>6</v>
      </c>
      <c r="F17" s="28">
        <v>14</v>
      </c>
      <c r="G17" s="28">
        <v>86</v>
      </c>
    </row>
    <row r="18" spans="1:7" ht="15.75" customHeight="1" thickBot="1">
      <c r="A18" s="26"/>
      <c r="B18" s="27"/>
      <c r="C18" s="27"/>
      <c r="D18" s="27"/>
      <c r="E18" s="28"/>
      <c r="F18" s="29" t="s">
        <v>690</v>
      </c>
      <c r="G18" s="29">
        <v>130</v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8"/>
  <sheetViews>
    <sheetView topLeftCell="C1" workbookViewId="0">
      <selection activeCell="D14" sqref="D14"/>
    </sheetView>
  </sheetViews>
  <sheetFormatPr defaultRowHeight="15.75"/>
  <cols>
    <col min="3" max="3" width="11.7109375" bestFit="1" customWidth="1"/>
    <col min="4" max="4" width="12.7109375" bestFit="1" customWidth="1"/>
    <col min="7" max="7" width="28.28515625" style="4" bestFit="1" customWidth="1"/>
    <col min="8" max="8" width="11.28515625" style="4" customWidth="1"/>
    <col min="9" max="9" width="9.140625" style="54" customWidth="1"/>
    <col min="11" max="11" width="11.7109375" bestFit="1" customWidth="1"/>
    <col min="13" max="13" width="28.28515625" style="4" bestFit="1" customWidth="1"/>
    <col min="14" max="14" width="11.28515625" style="4" customWidth="1"/>
    <col min="15" max="15" width="9.140625" style="54" customWidth="1"/>
    <col min="17" max="17" width="11.7109375" bestFit="1" customWidth="1"/>
  </cols>
  <sheetData>
    <row r="1" spans="1:20">
      <c r="A1" s="37" t="s">
        <v>705</v>
      </c>
      <c r="B1" s="37" t="s">
        <v>12</v>
      </c>
      <c r="C1" s="37" t="s">
        <v>12</v>
      </c>
      <c r="D1" s="37" t="s">
        <v>158</v>
      </c>
      <c r="E1" s="37"/>
      <c r="G1" t="s">
        <v>706</v>
      </c>
      <c r="M1" t="s">
        <v>707</v>
      </c>
    </row>
    <row r="2" spans="1:20">
      <c r="A2" s="37" t="s">
        <v>705</v>
      </c>
      <c r="B2" s="37" t="s">
        <v>36</v>
      </c>
      <c r="C2" s="37" t="s">
        <v>568</v>
      </c>
      <c r="D2" s="37"/>
      <c r="E2" s="37"/>
      <c r="G2" s="150" t="s">
        <v>708</v>
      </c>
      <c r="H2" s="150" t="s">
        <v>709</v>
      </c>
      <c r="I2" s="151" t="s">
        <v>176</v>
      </c>
      <c r="J2" s="152" t="s">
        <v>175</v>
      </c>
      <c r="K2" s="37" t="s">
        <v>177</v>
      </c>
      <c r="M2" s="150" t="s">
        <v>708</v>
      </c>
      <c r="N2" s="150" t="s">
        <v>709</v>
      </c>
      <c r="O2" s="151" t="s">
        <v>176</v>
      </c>
      <c r="P2" s="152" t="s">
        <v>175</v>
      </c>
      <c r="Q2" s="37" t="s">
        <v>177</v>
      </c>
    </row>
    <row r="3" spans="1:20">
      <c r="A3" s="37" t="s">
        <v>706</v>
      </c>
      <c r="B3" s="37"/>
      <c r="C3" s="37">
        <f>SUMIFS('Nasik Ledger'!N:N,'Nasik Ledger'!$A:$A,$A3,'Nasik Ledger'!$I:$I,"RMSL")+SUMIFS('Nasik Ledger'!P:P,'Nasik Ledger'!$A:$A,$A3,'Nasik Ledger'!$I:$I,"RMSL")+SUMIFS('Nasik Ledger'!N:N,'Nasik Ledger'!$A:$A,$A3,'Nasik Ledger'!$I:$I,"RMSI")+SUMIFS('Nasik Ledger'!P:P,'Nasik Ledger'!$A:$A,$A3,'Nasik Ledger'!$I:$I,"RMSI")</f>
        <v>-1894072.3860000002</v>
      </c>
      <c r="D3" s="37">
        <f>SUMIFS('Nasik Ledger'!O:O,'Nasik Ledger'!$A:$A,$A3,'Nasik Ledger'!$I:$I,"RMSL")+SUMIFS('Nasik Ledger'!Q:Q,'Nasik Ledger'!$A:$A,$A3,'Nasik Ledger'!$I:$I,"RMSL")+SUMIFS('Nasik Ledger'!O:O,'Nasik Ledger'!$A:$A,$A3,'Nasik Ledger'!$I:$I,"RMSI")+SUMIFS('Nasik Ledger'!Q:Q,'Nasik Ledger'!$A:$A,$A3,'Nasik Ledger'!$I:$I,"RMSI")</f>
        <v>-59107116.829999998</v>
      </c>
      <c r="E3" s="153">
        <v>49</v>
      </c>
      <c r="G3" s="154" t="s">
        <v>710</v>
      </c>
      <c r="H3" s="155" t="s">
        <v>711</v>
      </c>
      <c r="I3" s="156">
        <v>24</v>
      </c>
      <c r="J3" s="156">
        <f>VLOOKUP(CONCATENATE("'",$H3),'Nasik Ledger'!$F$3:$AB$957,21,0)</f>
        <v>163.62032928395971</v>
      </c>
      <c r="K3" s="156">
        <f t="shared" ref="K3:K10" si="0">J3*I3</f>
        <v>3926.8879028150332</v>
      </c>
      <c r="M3" s="154" t="s">
        <v>710</v>
      </c>
      <c r="N3" s="155" t="s">
        <v>711</v>
      </c>
      <c r="O3" s="156">
        <v>24</v>
      </c>
      <c r="P3" s="156">
        <f>VLOOKUP(CONCATENATE("'",$N3),'Mn Ledger'!$F$3:$AB$957,21,0)</f>
        <v>163.66812044948759</v>
      </c>
      <c r="Q3" s="156">
        <f t="shared" ref="Q3:Q10" si="1">P3*O3</f>
        <v>3928.0348907877024</v>
      </c>
    </row>
    <row r="4" spans="1:20">
      <c r="A4" s="37" t="s">
        <v>707</v>
      </c>
      <c r="B4" s="37"/>
      <c r="C4" s="37">
        <f>SUMIFS('Mn Ledger'!N:N,'Mn Ledger'!$A:$A,$A4,'Mn Ledger'!$I:$I,"RMSL")+SUMIFS('Mn Ledger'!P:P,'Mn Ledger'!$A:$A,$A4,'Mn Ledger'!$I:$I,"RMSL")+SUMIFS('Mn Ledger'!N:N,'Mn Ledger'!$A:$A,$A4,'Mn Ledger'!$I:$I,"RMSI")+SUMIFS('Mn Ledger'!P:P,'Mn Ledger'!$A:$A,$A4,'Mn Ledger'!$I:$I,"RMSI")</f>
        <v>-1041637.5</v>
      </c>
      <c r="D4" s="37">
        <f>SUMIFS('Mn Ledger'!O:O,'Mn Ledger'!$A:$A,$A4,'Mn Ledger'!$I:$I,"RMSL")+SUMIFS('Mn Ledger'!Q:Q,'Mn Ledger'!$A:$A,$A4,'Mn Ledger'!$I:$I,"RMSL")+SUMIFS('Mn Ledger'!O:O,'Mn Ledger'!$A:$A,$A4,'Mn Ledger'!$I:$I,"RMSI")+SUMIFS('Mn Ledger'!Q:Q,'Mn Ledger'!$A:$A,$A4,'Mn Ledger'!$I:$I,"RMSI")</f>
        <v>-42056204.660000004</v>
      </c>
      <c r="E4" s="153">
        <f>D4/C4</f>
        <v>40.375086976035334</v>
      </c>
      <c r="G4" s="154" t="s">
        <v>712</v>
      </c>
      <c r="H4" s="155" t="s">
        <v>713</v>
      </c>
      <c r="I4" s="156">
        <v>3</v>
      </c>
      <c r="J4" s="156">
        <f>VLOOKUP(CONCATENATE("'",$H4),'Nasik Ledger'!$F$3:$AB$957,21,0)</f>
        <v>129.21988816530165</v>
      </c>
      <c r="K4" s="156">
        <f t="shared" si="0"/>
        <v>387.65966449590496</v>
      </c>
      <c r="M4" s="154" t="s">
        <v>712</v>
      </c>
      <c r="N4" s="155" t="s">
        <v>713</v>
      </c>
      <c r="O4" s="156">
        <v>3</v>
      </c>
      <c r="P4" s="156">
        <f>VLOOKUP(CONCATENATE("'",$N4),'Mn Ledger'!$F$3:$AB$957,21,0)</f>
        <v>134.45535123451276</v>
      </c>
      <c r="Q4" s="156">
        <f t="shared" si="1"/>
        <v>403.36605370353828</v>
      </c>
      <c r="T4" t="s">
        <v>714</v>
      </c>
    </row>
    <row r="5" spans="1:20">
      <c r="A5" s="37"/>
      <c r="B5" s="37"/>
      <c r="C5" s="37"/>
      <c r="D5" s="37"/>
      <c r="E5" s="37"/>
      <c r="G5" s="154" t="s">
        <v>715</v>
      </c>
      <c r="H5" s="155" t="s">
        <v>716</v>
      </c>
      <c r="I5" s="156">
        <v>2.5</v>
      </c>
      <c r="J5" s="156">
        <f>VLOOKUP(CONCATENATE("'",$H5),'Nasik Ledger'!$F$3:$AB$957,21,0)</f>
        <v>420.34669258408428</v>
      </c>
      <c r="K5" s="156">
        <f t="shared" si="0"/>
        <v>1050.8667314602108</v>
      </c>
      <c r="M5" s="154" t="s">
        <v>715</v>
      </c>
      <c r="N5" s="155" t="s">
        <v>716</v>
      </c>
      <c r="O5" s="156">
        <v>2.5</v>
      </c>
      <c r="P5" s="156">
        <f>VLOOKUP(CONCATENATE("'",$N5),'Mn Ledger'!$F$3:$AB$957,21,0)</f>
        <v>420.64601568259508</v>
      </c>
      <c r="Q5" s="156">
        <f t="shared" si="1"/>
        <v>1051.6150392064876</v>
      </c>
      <c r="T5" t="s">
        <v>717</v>
      </c>
    </row>
    <row r="6" spans="1:20" ht="30" customHeight="1">
      <c r="A6" s="76" t="s">
        <v>243</v>
      </c>
      <c r="B6" s="157">
        <v>81.790000000000006</v>
      </c>
      <c r="C6" s="158">
        <v>81.790000000000006</v>
      </c>
      <c r="D6" s="158">
        <v>81.81</v>
      </c>
      <c r="E6" s="37"/>
      <c r="G6" s="154" t="s">
        <v>718</v>
      </c>
      <c r="H6" s="155" t="s">
        <v>719</v>
      </c>
      <c r="I6" s="156">
        <v>2</v>
      </c>
      <c r="J6" s="156">
        <f>VLOOKUP(CONCATENATE("'",$H6),'Nasik Ledger'!$F$3:$AB$957,21,0)</f>
        <v>497.22058536277996</v>
      </c>
      <c r="K6" s="156">
        <f t="shared" si="0"/>
        <v>994.44117072555991</v>
      </c>
      <c r="M6" s="154" t="s">
        <v>718</v>
      </c>
      <c r="N6" s="155" t="s">
        <v>719</v>
      </c>
      <c r="O6" s="156">
        <v>2</v>
      </c>
      <c r="P6" s="156">
        <f>VLOOKUP(CONCATENATE("'",$N6),'Mn Ledger'!$F$3:$AB$957,21,0)</f>
        <v>494.81074492099322</v>
      </c>
      <c r="Q6" s="156">
        <f t="shared" si="1"/>
        <v>989.62148984198643</v>
      </c>
      <c r="T6" t="s">
        <v>720</v>
      </c>
    </row>
    <row r="7" spans="1:20" ht="30" customHeight="1">
      <c r="A7" s="76" t="s">
        <v>244</v>
      </c>
      <c r="B7" s="157">
        <v>13.88</v>
      </c>
      <c r="C7" s="158">
        <v>13.88</v>
      </c>
      <c r="D7" s="158">
        <v>13.82</v>
      </c>
      <c r="E7" s="37"/>
      <c r="G7" s="154" t="s">
        <v>721</v>
      </c>
      <c r="H7" s="155" t="s">
        <v>722</v>
      </c>
      <c r="I7" s="156">
        <v>1.5</v>
      </c>
      <c r="J7" s="156">
        <f>VLOOKUP(CONCATENATE("'",$H7),'Nasik Ledger'!$F$3:$AB$957,21,0)</f>
        <v>126.95900834995936</v>
      </c>
      <c r="K7" s="156">
        <f t="shared" si="0"/>
        <v>190.43851252493903</v>
      </c>
      <c r="M7" s="154" t="s">
        <v>721</v>
      </c>
      <c r="N7" s="155" t="s">
        <v>722</v>
      </c>
      <c r="O7" s="156">
        <v>1.5</v>
      </c>
      <c r="P7" s="156">
        <f>VLOOKUP(CONCATENATE("'",$N7),'Mn Ledger'!$F$3:$AB$957,21,0)</f>
        <v>123.61997375328083</v>
      </c>
      <c r="Q7" s="156">
        <f t="shared" si="1"/>
        <v>185.42996062992125</v>
      </c>
      <c r="T7" t="s">
        <v>723</v>
      </c>
    </row>
    <row r="8" spans="1:20" ht="30" customHeight="1">
      <c r="A8" s="76" t="s">
        <v>245</v>
      </c>
      <c r="B8" s="37">
        <v>70</v>
      </c>
      <c r="C8" s="37">
        <v>70</v>
      </c>
      <c r="D8" s="37">
        <v>70</v>
      </c>
      <c r="E8" s="37"/>
      <c r="G8" s="159" t="s">
        <v>724</v>
      </c>
      <c r="H8" s="159"/>
      <c r="I8" s="156">
        <v>137</v>
      </c>
      <c r="J8" s="156">
        <f>J38</f>
        <v>7.3208557345242511</v>
      </c>
      <c r="K8" s="156">
        <f t="shared" si="0"/>
        <v>1002.9572356298224</v>
      </c>
      <c r="M8" s="159" t="s">
        <v>724</v>
      </c>
      <c r="N8" s="159"/>
      <c r="O8" s="156">
        <v>137</v>
      </c>
      <c r="P8" s="156">
        <f>P38</f>
        <v>7.321533623396987</v>
      </c>
      <c r="Q8" s="156">
        <f t="shared" si="1"/>
        <v>1003.0501064053872</v>
      </c>
    </row>
    <row r="9" spans="1:20" ht="30" customHeight="1">
      <c r="A9" s="76" t="s">
        <v>246</v>
      </c>
      <c r="B9" s="37">
        <v>400</v>
      </c>
      <c r="C9" s="37">
        <v>400</v>
      </c>
      <c r="D9" s="37">
        <v>400</v>
      </c>
      <c r="E9" s="37"/>
      <c r="G9" s="154" t="s">
        <v>725</v>
      </c>
      <c r="H9" s="155" t="s">
        <v>726</v>
      </c>
      <c r="I9" s="156">
        <v>30</v>
      </c>
      <c r="J9" s="156">
        <f>VLOOKUP(CONCATENATE("'",$H9),'Nasik Ledger'!$F$3:$AB$957,21,0)</f>
        <v>210</v>
      </c>
      <c r="K9" s="156">
        <f t="shared" si="0"/>
        <v>6300</v>
      </c>
      <c r="M9" s="154" t="s">
        <v>725</v>
      </c>
      <c r="N9" s="155" t="s">
        <v>726</v>
      </c>
      <c r="O9" s="156">
        <v>30</v>
      </c>
      <c r="P9" s="156">
        <f>VLOOKUP(CONCATENATE("'",$N9),'Mn Ledger'!$F$3:$AB$957,21,0)</f>
        <v>209.99999638728323</v>
      </c>
      <c r="Q9" s="156">
        <f t="shared" si="1"/>
        <v>6299.9998916184968</v>
      </c>
    </row>
    <row r="10" spans="1:20" ht="30" customHeight="1">
      <c r="A10" s="76" t="s">
        <v>248</v>
      </c>
      <c r="B10" s="73">
        <v>42</v>
      </c>
      <c r="C10" s="73">
        <v>45</v>
      </c>
      <c r="D10" s="73">
        <v>39</v>
      </c>
      <c r="E10" s="37"/>
      <c r="G10" s="154" t="s">
        <v>257</v>
      </c>
      <c r="H10" s="155"/>
      <c r="I10" s="156">
        <v>200</v>
      </c>
      <c r="J10" s="156">
        <v>10</v>
      </c>
      <c r="K10" s="156">
        <f t="shared" si="0"/>
        <v>2000</v>
      </c>
      <c r="M10" s="154" t="s">
        <v>257</v>
      </c>
      <c r="N10" s="155"/>
      <c r="O10" s="156">
        <v>200</v>
      </c>
      <c r="P10" s="156">
        <v>10</v>
      </c>
      <c r="Q10" s="156">
        <f t="shared" si="1"/>
        <v>2000</v>
      </c>
    </row>
    <row r="11" spans="1:20">
      <c r="G11" s="160" t="s">
        <v>317</v>
      </c>
      <c r="H11" s="160"/>
      <c r="I11" s="161">
        <v>200</v>
      </c>
      <c r="J11" s="161">
        <f>K11/I11</f>
        <v>79.266256088257336</v>
      </c>
      <c r="K11" s="161">
        <f>SUM(K3:K10)</f>
        <v>15853.251217651468</v>
      </c>
      <c r="M11" s="160" t="s">
        <v>317</v>
      </c>
      <c r="N11" s="160"/>
      <c r="O11" s="161">
        <v>200</v>
      </c>
      <c r="P11" s="161">
        <f>Q11/O11</f>
        <v>79.305587160967605</v>
      </c>
      <c r="Q11" s="161">
        <f>SUM(Q3:Q10)</f>
        <v>15861.11743219352</v>
      </c>
    </row>
    <row r="12" spans="1:20">
      <c r="A12" s="34" t="s">
        <v>727</v>
      </c>
      <c r="B12">
        <v>120</v>
      </c>
      <c r="C12" t="s">
        <v>728</v>
      </c>
      <c r="G12" s="162"/>
      <c r="H12" s="162"/>
      <c r="I12" s="163"/>
      <c r="J12" s="37"/>
      <c r="K12" s="37"/>
      <c r="M12" s="162"/>
      <c r="N12" s="162"/>
      <c r="O12" s="163"/>
      <c r="P12" s="37"/>
      <c r="Q12" s="37"/>
    </row>
    <row r="13" spans="1:20">
      <c r="G13" s="150" t="s">
        <v>729</v>
      </c>
      <c r="H13" s="150"/>
      <c r="I13" s="151"/>
      <c r="J13" s="37"/>
      <c r="K13" s="37"/>
      <c r="M13" s="150" t="s">
        <v>729</v>
      </c>
      <c r="N13" s="150"/>
      <c r="O13" s="151"/>
      <c r="P13" s="37"/>
      <c r="Q13" s="37"/>
    </row>
    <row r="14" spans="1:20">
      <c r="G14" s="154" t="s">
        <v>710</v>
      </c>
      <c r="H14" s="155" t="s">
        <v>711</v>
      </c>
      <c r="I14" s="156">
        <v>11.9</v>
      </c>
      <c r="J14" s="156">
        <f>VLOOKUP(CONCATENATE("'",$H14),'Nasik Ledger'!$F$3:$AB$957,21,0)</f>
        <v>163.62032928395971</v>
      </c>
      <c r="K14" s="156">
        <f t="shared" ref="K14:K22" si="2">J14*I14</f>
        <v>1947.0819184791205</v>
      </c>
      <c r="M14" s="154" t="s">
        <v>710</v>
      </c>
      <c r="N14" s="155" t="s">
        <v>711</v>
      </c>
      <c r="O14" s="156">
        <v>11.9</v>
      </c>
      <c r="P14" s="156">
        <f>VLOOKUP(CONCATENATE("'",$N14),'Mn Ledger'!$F$3:$AB$957,21,0)</f>
        <v>163.66812044948759</v>
      </c>
      <c r="Q14" s="156">
        <f t="shared" ref="Q14:Q22" si="3">P14*O14</f>
        <v>1947.6506333489024</v>
      </c>
    </row>
    <row r="15" spans="1:20">
      <c r="G15" s="154" t="s">
        <v>712</v>
      </c>
      <c r="H15" s="155" t="s">
        <v>713</v>
      </c>
      <c r="I15" s="156">
        <v>2.4500000000000002</v>
      </c>
      <c r="J15" s="156">
        <f>VLOOKUP(CONCATENATE("'",$H15),'Nasik Ledger'!$F$3:$AB$957,21,0)</f>
        <v>129.21988816530165</v>
      </c>
      <c r="K15" s="156">
        <f t="shared" si="2"/>
        <v>316.5887260049891</v>
      </c>
      <c r="M15" s="154" t="s">
        <v>712</v>
      </c>
      <c r="N15" s="155" t="s">
        <v>713</v>
      </c>
      <c r="O15" s="156">
        <v>2.4500000000000002</v>
      </c>
      <c r="P15" s="156">
        <f>VLOOKUP(CONCATENATE("'",$N15),'Mn Ledger'!$F$3:$AB$957,21,0)</f>
        <v>134.45535123451276</v>
      </c>
      <c r="Q15" s="156">
        <f t="shared" si="3"/>
        <v>329.41561052455631</v>
      </c>
    </row>
    <row r="16" spans="1:20">
      <c r="G16" s="154" t="s">
        <v>715</v>
      </c>
      <c r="H16" s="155" t="s">
        <v>716</v>
      </c>
      <c r="I16" s="156">
        <v>1.4</v>
      </c>
      <c r="J16" s="156">
        <f>VLOOKUP(CONCATENATE("'",$H16),'Nasik Ledger'!$F$3:$AB$957,21,0)</f>
        <v>420.34669258408428</v>
      </c>
      <c r="K16" s="156">
        <f t="shared" si="2"/>
        <v>588.48536961771799</v>
      </c>
      <c r="M16" s="154" t="s">
        <v>715</v>
      </c>
      <c r="N16" s="155" t="s">
        <v>716</v>
      </c>
      <c r="O16" s="156">
        <v>1.4</v>
      </c>
      <c r="P16" s="156">
        <f>VLOOKUP(CONCATENATE("'",$N16),'Mn Ledger'!$F$3:$AB$957,21,0)</f>
        <v>420.64601568259508</v>
      </c>
      <c r="Q16" s="156">
        <f t="shared" si="3"/>
        <v>588.9044219556331</v>
      </c>
    </row>
    <row r="17" spans="7:17">
      <c r="G17" s="154" t="s">
        <v>718</v>
      </c>
      <c r="H17" s="155" t="s">
        <v>719</v>
      </c>
      <c r="I17" s="156">
        <v>1.05</v>
      </c>
      <c r="J17" s="156">
        <f>VLOOKUP(CONCATENATE("'",$H17),'Nasik Ledger'!$F$3:$AB$957,21,0)</f>
        <v>497.22058536277996</v>
      </c>
      <c r="K17" s="156">
        <f t="shared" si="2"/>
        <v>522.08161463091892</v>
      </c>
      <c r="M17" s="154" t="s">
        <v>718</v>
      </c>
      <c r="N17" s="155" t="s">
        <v>719</v>
      </c>
      <c r="O17" s="156">
        <v>1.05</v>
      </c>
      <c r="P17" s="156">
        <f>VLOOKUP(CONCATENATE("'",$N17),'Mn Ledger'!$F$3:$AB$957,21,0)</f>
        <v>494.81074492099322</v>
      </c>
      <c r="Q17" s="156">
        <f t="shared" si="3"/>
        <v>519.55128216704293</v>
      </c>
    </row>
    <row r="18" spans="7:17">
      <c r="G18" s="154" t="s">
        <v>721</v>
      </c>
      <c r="H18" s="155" t="s">
        <v>722</v>
      </c>
      <c r="I18" s="156">
        <v>0.7</v>
      </c>
      <c r="J18" s="156">
        <f>VLOOKUP(CONCATENATE("'",$H18),'Nasik Ledger'!$F$3:$AB$957,21,0)</f>
        <v>126.95900834995936</v>
      </c>
      <c r="K18" s="156">
        <f t="shared" si="2"/>
        <v>88.871305844971545</v>
      </c>
      <c r="M18" s="154" t="s">
        <v>721</v>
      </c>
      <c r="N18" s="155" t="s">
        <v>722</v>
      </c>
      <c r="O18" s="156">
        <v>0.7</v>
      </c>
      <c r="P18" s="156">
        <f>VLOOKUP(CONCATENATE("'",$N18),'Mn Ledger'!$F$3:$AB$957,21,0)</f>
        <v>123.61997375328083</v>
      </c>
      <c r="Q18" s="156">
        <f t="shared" si="3"/>
        <v>86.533981627296583</v>
      </c>
    </row>
    <row r="19" spans="7:17">
      <c r="G19" s="159" t="s">
        <v>724</v>
      </c>
      <c r="H19" s="154"/>
      <c r="I19" s="156">
        <v>57.5</v>
      </c>
      <c r="J19" s="156">
        <f>J38</f>
        <v>7.3208557345242511</v>
      </c>
      <c r="K19" s="156">
        <f t="shared" si="2"/>
        <v>420.94920473514446</v>
      </c>
      <c r="M19" s="159" t="s">
        <v>724</v>
      </c>
      <c r="N19" s="154"/>
      <c r="O19" s="156">
        <v>57.5</v>
      </c>
      <c r="P19" s="156">
        <f>P38</f>
        <v>7.321533623396987</v>
      </c>
      <c r="Q19" s="156">
        <f t="shared" si="3"/>
        <v>420.98818334532677</v>
      </c>
    </row>
    <row r="20" spans="7:17">
      <c r="G20" s="154" t="s">
        <v>730</v>
      </c>
      <c r="H20" s="155" t="s">
        <v>726</v>
      </c>
      <c r="I20" s="156">
        <v>15</v>
      </c>
      <c r="J20" s="156">
        <f>VLOOKUP(CONCATENATE("'",$H20),'Nasik Ledger'!$F$3:$AB$957,21,0)</f>
        <v>210</v>
      </c>
      <c r="K20" s="156">
        <f t="shared" si="2"/>
        <v>3150</v>
      </c>
      <c r="M20" s="154" t="s">
        <v>730</v>
      </c>
      <c r="N20" s="155" t="s">
        <v>726</v>
      </c>
      <c r="O20" s="156">
        <v>15</v>
      </c>
      <c r="P20" s="156">
        <f>VLOOKUP(CONCATENATE("'",$N20),'Mn Ledger'!$F$3:$AB$957,21,0)</f>
        <v>209.99999638728323</v>
      </c>
      <c r="Q20" s="156">
        <f t="shared" si="3"/>
        <v>3149.9999458092484</v>
      </c>
    </row>
    <row r="21" spans="7:17">
      <c r="G21" s="154" t="s">
        <v>731</v>
      </c>
      <c r="H21" s="155" t="s">
        <v>732</v>
      </c>
      <c r="I21" s="156">
        <v>10</v>
      </c>
      <c r="J21" s="156">
        <v>210</v>
      </c>
      <c r="K21" s="156">
        <f t="shared" si="2"/>
        <v>2100</v>
      </c>
      <c r="M21" s="154" t="s">
        <v>731</v>
      </c>
      <c r="N21" s="155" t="s">
        <v>732</v>
      </c>
      <c r="O21" s="156">
        <v>10</v>
      </c>
      <c r="P21" s="156">
        <v>210</v>
      </c>
      <c r="Q21" s="156">
        <f t="shared" si="3"/>
        <v>2100</v>
      </c>
    </row>
    <row r="22" spans="7:17">
      <c r="G22" s="154" t="s">
        <v>257</v>
      </c>
      <c r="H22" s="155"/>
      <c r="I22" s="156">
        <v>100</v>
      </c>
      <c r="J22" s="156">
        <v>10</v>
      </c>
      <c r="K22" s="156">
        <f t="shared" si="2"/>
        <v>1000</v>
      </c>
      <c r="M22" s="154" t="s">
        <v>257</v>
      </c>
      <c r="N22" s="155"/>
      <c r="O22" s="156">
        <v>100</v>
      </c>
      <c r="P22" s="156">
        <v>10</v>
      </c>
      <c r="Q22" s="156">
        <f t="shared" si="3"/>
        <v>1000</v>
      </c>
    </row>
    <row r="23" spans="7:17">
      <c r="G23" s="160" t="s">
        <v>733</v>
      </c>
      <c r="H23" s="160"/>
      <c r="I23" s="161">
        <v>100</v>
      </c>
      <c r="J23" s="161">
        <f>K23/I23</f>
        <v>101.34058139312863</v>
      </c>
      <c r="K23" s="161">
        <f>SUM(K14:K22)</f>
        <v>10134.058139312863</v>
      </c>
      <c r="M23" s="160" t="s">
        <v>733</v>
      </c>
      <c r="N23" s="160"/>
      <c r="O23" s="161">
        <v>100</v>
      </c>
      <c r="P23" s="161">
        <f>Q23/O23</f>
        <v>101.43044058778007</v>
      </c>
      <c r="Q23" s="161">
        <f>SUM(Q14:Q22)</f>
        <v>10143.044058778007</v>
      </c>
    </row>
    <row r="24" spans="7:17">
      <c r="G24" s="162"/>
      <c r="H24" s="162"/>
      <c r="I24" s="163"/>
      <c r="J24" s="37"/>
      <c r="K24" s="37"/>
      <c r="M24" s="162"/>
      <c r="N24" s="162"/>
      <c r="O24" s="163"/>
      <c r="P24" s="37"/>
      <c r="Q24" s="37"/>
    </row>
    <row r="25" spans="7:17">
      <c r="G25" s="150" t="s">
        <v>734</v>
      </c>
      <c r="H25" s="150"/>
      <c r="I25" s="151"/>
      <c r="J25" s="37"/>
      <c r="K25" s="37"/>
      <c r="M25" s="150" t="s">
        <v>734</v>
      </c>
      <c r="N25" s="150"/>
      <c r="O25" s="151"/>
      <c r="P25" s="37"/>
      <c r="Q25" s="37"/>
    </row>
    <row r="26" spans="7:17">
      <c r="G26" s="154" t="s">
        <v>735</v>
      </c>
      <c r="H26" s="154"/>
      <c r="I26" s="156">
        <v>80</v>
      </c>
      <c r="J26" s="156">
        <f>J38</f>
        <v>7.3208557345242511</v>
      </c>
      <c r="K26" s="156">
        <f>J26*I26</f>
        <v>585.66845876194009</v>
      </c>
      <c r="M26" s="154" t="s">
        <v>735</v>
      </c>
      <c r="N26" s="154"/>
      <c r="O26" s="156">
        <v>80</v>
      </c>
      <c r="P26" s="156">
        <f>P38</f>
        <v>7.321533623396987</v>
      </c>
      <c r="Q26" s="156">
        <f>P26*O26</f>
        <v>585.72268987175892</v>
      </c>
    </row>
    <row r="27" spans="7:17">
      <c r="G27" s="154" t="s">
        <v>736</v>
      </c>
      <c r="H27" s="154"/>
      <c r="I27" s="156">
        <v>60</v>
      </c>
      <c r="J27" s="156">
        <v>0</v>
      </c>
      <c r="K27" s="156">
        <v>0</v>
      </c>
      <c r="M27" s="154" t="s">
        <v>736</v>
      </c>
      <c r="N27" s="154"/>
      <c r="O27" s="156">
        <v>60</v>
      </c>
      <c r="P27" s="156">
        <v>0</v>
      </c>
      <c r="Q27" s="156">
        <f>P27*O27</f>
        <v>0</v>
      </c>
    </row>
    <row r="28" spans="7:17">
      <c r="G28" s="154" t="s">
        <v>737</v>
      </c>
      <c r="H28" s="155" t="s">
        <v>713</v>
      </c>
      <c r="I28" s="156">
        <v>3</v>
      </c>
      <c r="J28" s="156">
        <f>VLOOKUP(CONCATENATE("'",$H28),'Nasik Ledger'!$F$3:$AB$957,21,0)</f>
        <v>129.21988816530165</v>
      </c>
      <c r="K28" s="156">
        <f>J28*I28</f>
        <v>387.65966449590496</v>
      </c>
      <c r="M28" s="154" t="s">
        <v>737</v>
      </c>
      <c r="N28" s="155" t="s">
        <v>713</v>
      </c>
      <c r="O28" s="156">
        <v>3</v>
      </c>
      <c r="P28" s="156">
        <f>VLOOKUP(CONCATENATE("'",$N28),'Mn Ledger'!$F$3:$AB$957,21,0)</f>
        <v>134.45535123451276</v>
      </c>
      <c r="Q28" s="156">
        <f>P28*O28</f>
        <v>403.36605370353828</v>
      </c>
    </row>
    <row r="29" spans="7:17">
      <c r="G29" s="154" t="s">
        <v>738</v>
      </c>
      <c r="H29" s="155" t="s">
        <v>722</v>
      </c>
      <c r="I29" s="156">
        <v>2</v>
      </c>
      <c r="J29" s="156">
        <f>VLOOKUP(CONCATENATE("'",$H29),'Nasik Ledger'!$F$3:$AB$957,21,0)</f>
        <v>126.95900834995936</v>
      </c>
      <c r="K29" s="156">
        <f>J29*I29</f>
        <v>253.91801669991872</v>
      </c>
      <c r="M29" s="154" t="s">
        <v>738</v>
      </c>
      <c r="N29" s="155" t="s">
        <v>722</v>
      </c>
      <c r="O29" s="156">
        <v>2</v>
      </c>
      <c r="P29" s="156">
        <f>VLOOKUP(CONCATENATE("'",$N29),'Mn Ledger'!$F$3:$AB$957,21,0)</f>
        <v>123.61997375328083</v>
      </c>
      <c r="Q29" s="156">
        <f>P29*O29</f>
        <v>247.23994750656166</v>
      </c>
    </row>
    <row r="30" spans="7:17">
      <c r="G30" s="154" t="s">
        <v>257</v>
      </c>
      <c r="H30" s="155"/>
      <c r="I30" s="156">
        <v>145</v>
      </c>
      <c r="J30" s="156">
        <v>5</v>
      </c>
      <c r="K30" s="156">
        <f>J30*I30</f>
        <v>725</v>
      </c>
      <c r="M30" s="154" t="s">
        <v>257</v>
      </c>
      <c r="N30" s="155"/>
      <c r="O30" s="156">
        <v>145</v>
      </c>
      <c r="P30" s="156">
        <v>5</v>
      </c>
      <c r="Q30" s="156">
        <f>P30*O30</f>
        <v>725</v>
      </c>
    </row>
    <row r="31" spans="7:17">
      <c r="G31" s="160" t="s">
        <v>733</v>
      </c>
      <c r="H31" s="160"/>
      <c r="I31" s="161">
        <v>145</v>
      </c>
      <c r="J31" s="161">
        <f>K31/I31</f>
        <v>13.463766482467335</v>
      </c>
      <c r="K31" s="161">
        <f>SUM(K26:K30)</f>
        <v>1952.2461399577637</v>
      </c>
      <c r="M31" s="160" t="s">
        <v>733</v>
      </c>
      <c r="N31" s="160"/>
      <c r="O31" s="161">
        <v>145</v>
      </c>
      <c r="P31" s="161">
        <f>Q31/O31</f>
        <v>13.526404766081786</v>
      </c>
      <c r="Q31" s="161">
        <f>SUM(Q26:Q30)</f>
        <v>1961.328691081859</v>
      </c>
    </row>
    <row r="32" spans="7:17">
      <c r="G32" s="162"/>
      <c r="H32" s="162"/>
      <c r="I32" s="163"/>
      <c r="J32" s="37"/>
      <c r="K32" s="37"/>
      <c r="M32" s="162"/>
      <c r="N32" s="162"/>
      <c r="O32" s="163"/>
      <c r="P32" s="37"/>
      <c r="Q32" s="37"/>
    </row>
    <row r="33" spans="7:17">
      <c r="G33" s="162"/>
      <c r="H33" s="162"/>
      <c r="I33" s="163"/>
      <c r="J33" s="37"/>
      <c r="K33" s="37"/>
      <c r="M33" s="162"/>
      <c r="N33" s="162"/>
      <c r="O33" s="163"/>
      <c r="P33" s="37"/>
      <c r="Q33" s="37"/>
    </row>
    <row r="34" spans="7:17">
      <c r="G34" s="150" t="s">
        <v>739</v>
      </c>
      <c r="H34" s="150"/>
      <c r="I34" s="151"/>
      <c r="J34" s="37"/>
      <c r="K34" s="37"/>
      <c r="M34" s="150" t="s">
        <v>739</v>
      </c>
      <c r="N34" s="150"/>
      <c r="O34" s="151"/>
      <c r="P34" s="37"/>
      <c r="Q34" s="37"/>
    </row>
    <row r="35" spans="7:17" ht="31.5" customHeight="1">
      <c r="G35" s="164" t="s">
        <v>740</v>
      </c>
      <c r="H35" s="164"/>
      <c r="I35" s="165">
        <v>139</v>
      </c>
      <c r="J35" s="156">
        <v>0</v>
      </c>
      <c r="K35" s="156">
        <v>0</v>
      </c>
      <c r="M35" s="164" t="s">
        <v>740</v>
      </c>
      <c r="N35" s="164"/>
      <c r="O35" s="165">
        <v>139</v>
      </c>
      <c r="P35" s="156">
        <v>0</v>
      </c>
      <c r="Q35" s="156">
        <v>0</v>
      </c>
    </row>
    <row r="36" spans="7:17">
      <c r="G36" s="150" t="s">
        <v>710</v>
      </c>
      <c r="H36" s="155" t="s">
        <v>711</v>
      </c>
      <c r="I36" s="165">
        <v>2</v>
      </c>
      <c r="J36" s="156">
        <f>VLOOKUP(CONCATENATE("'",$H36),'Nasik Ledger'!$F$3:$AB$957,21,0)</f>
        <v>163.62032928395971</v>
      </c>
      <c r="K36" s="156">
        <f>J36*I36</f>
        <v>327.24065856791941</v>
      </c>
      <c r="M36" s="150" t="s">
        <v>710</v>
      </c>
      <c r="N36" s="155" t="s">
        <v>711</v>
      </c>
      <c r="O36" s="165">
        <v>2</v>
      </c>
      <c r="P36" s="156">
        <f>VLOOKUP(CONCATENATE("'",$N36),'Mn Ledger'!$F$3:$AB$957,21,0)</f>
        <v>163.66812044948759</v>
      </c>
      <c r="Q36" s="156">
        <f>P36*O36</f>
        <v>327.33624089897518</v>
      </c>
    </row>
    <row r="37" spans="7:17">
      <c r="G37" s="150" t="s">
        <v>257</v>
      </c>
      <c r="H37" s="155"/>
      <c r="I37" s="165">
        <v>141</v>
      </c>
      <c r="J37" s="156">
        <v>5</v>
      </c>
      <c r="K37" s="156">
        <f>J37*I37</f>
        <v>705</v>
      </c>
      <c r="M37" s="150" t="s">
        <v>257</v>
      </c>
      <c r="N37" s="155"/>
      <c r="O37" s="165">
        <v>141</v>
      </c>
      <c r="P37" s="156">
        <v>5</v>
      </c>
      <c r="Q37" s="156">
        <f>P37*O37</f>
        <v>705</v>
      </c>
    </row>
    <row r="38" spans="7:17">
      <c r="G38" s="166" t="s">
        <v>733</v>
      </c>
      <c r="H38" s="166"/>
      <c r="I38" s="167">
        <v>141</v>
      </c>
      <c r="J38" s="161">
        <f>K38/I38</f>
        <v>7.3208557345242511</v>
      </c>
      <c r="K38" s="161">
        <f>SUM(K35:K37)</f>
        <v>1032.2406585679194</v>
      </c>
      <c r="M38" s="166" t="s">
        <v>733</v>
      </c>
      <c r="N38" s="166"/>
      <c r="O38" s="167">
        <v>141</v>
      </c>
      <c r="P38" s="161">
        <f>Q38/O38</f>
        <v>7.321533623396987</v>
      </c>
      <c r="Q38" s="161">
        <f>SUM(Q35:Q37)</f>
        <v>1032.3362408989751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"/>
  <sheetViews>
    <sheetView workbookViewId="0">
      <selection activeCell="I13" sqref="I13"/>
    </sheetView>
  </sheetViews>
  <sheetFormatPr defaultRowHeight="15"/>
  <cols>
    <col min="1" max="1" width="17" bestFit="1" customWidth="1"/>
  </cols>
  <sheetData>
    <row r="1" spans="1:3">
      <c r="A1" s="78" t="s">
        <v>227</v>
      </c>
      <c r="C1" t="s">
        <v>256</v>
      </c>
    </row>
    <row r="2" spans="1:3">
      <c r="A2" s="78" t="s">
        <v>229</v>
      </c>
      <c r="C2" t="s">
        <v>254</v>
      </c>
    </row>
    <row r="3" spans="1:3">
      <c r="A3" s="78" t="s">
        <v>230</v>
      </c>
      <c r="C3" t="s">
        <v>666</v>
      </c>
    </row>
    <row r="4" spans="1:3">
      <c r="A4" s="78" t="s">
        <v>232</v>
      </c>
      <c r="C4" t="s">
        <v>253</v>
      </c>
    </row>
    <row r="5" spans="1:3">
      <c r="A5" s="78" t="s">
        <v>233</v>
      </c>
      <c r="C5" t="s">
        <v>667</v>
      </c>
    </row>
    <row r="6" spans="1:3">
      <c r="A6" s="78" t="s">
        <v>234</v>
      </c>
      <c r="C6" t="s">
        <v>668</v>
      </c>
    </row>
    <row r="7" spans="1:3">
      <c r="A7" s="78" t="s">
        <v>235</v>
      </c>
      <c r="C7" t="s">
        <v>257</v>
      </c>
    </row>
    <row r="8" spans="1:3">
      <c r="A8" s="78" t="s">
        <v>236</v>
      </c>
    </row>
    <row r="9" spans="1:3">
      <c r="A9" s="78" t="s">
        <v>237</v>
      </c>
    </row>
    <row r="10" spans="1:3">
      <c r="A10" s="78" t="s">
        <v>741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5"/>
  <sheetViews>
    <sheetView topLeftCell="I1" workbookViewId="0">
      <selection activeCell="E4" sqref="E4"/>
    </sheetView>
  </sheetViews>
  <sheetFormatPr defaultRowHeight="15"/>
  <sheetData>
    <row r="1" spans="1:2">
      <c r="A1" s="37" t="s">
        <v>742</v>
      </c>
      <c r="B1" s="37" t="s">
        <v>175</v>
      </c>
    </row>
    <row r="2" spans="1:2">
      <c r="A2" s="37" t="s">
        <v>743</v>
      </c>
      <c r="B2" s="37">
        <v>82.46</v>
      </c>
    </row>
    <row r="3" spans="1:2">
      <c r="A3" s="37" t="s">
        <v>744</v>
      </c>
      <c r="B3" s="37">
        <v>91</v>
      </c>
    </row>
    <row r="4" spans="1:2">
      <c r="A4" s="37" t="s">
        <v>745</v>
      </c>
      <c r="B4" s="37">
        <v>81.22</v>
      </c>
    </row>
    <row r="5" spans="1:2">
      <c r="A5" s="37" t="s">
        <v>132</v>
      </c>
      <c r="B5" s="37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3"/>
  <sheetViews>
    <sheetView workbookViewId="0">
      <selection activeCell="F13" sqref="F13"/>
    </sheetView>
  </sheetViews>
  <sheetFormatPr defaultRowHeight="15"/>
  <cols>
    <col min="1" max="1" width="18.7109375" bestFit="1" customWidth="1"/>
    <col min="2" max="4" width="14" customWidth="1"/>
    <col min="5" max="5" width="32.7109375" bestFit="1" customWidth="1"/>
    <col min="9" max="10" width="14.5703125" bestFit="1" customWidth="1"/>
  </cols>
  <sheetData>
    <row r="1" spans="1:10">
      <c r="A1" s="37"/>
      <c r="B1" s="37" t="s">
        <v>158</v>
      </c>
      <c r="C1" s="37" t="s">
        <v>12</v>
      </c>
      <c r="D1" s="37" t="s">
        <v>12</v>
      </c>
      <c r="E1" s="37" t="s">
        <v>44</v>
      </c>
      <c r="H1" s="37"/>
      <c r="I1" s="143" t="s">
        <v>746</v>
      </c>
      <c r="J1" s="37"/>
    </row>
    <row r="2" spans="1:10">
      <c r="A2" s="37"/>
      <c r="B2" s="37"/>
      <c r="C2" s="37" t="s">
        <v>36</v>
      </c>
      <c r="D2" s="37" t="s">
        <v>568</v>
      </c>
      <c r="E2" s="37"/>
      <c r="H2" s="37"/>
      <c r="I2" s="143"/>
      <c r="J2" s="37"/>
    </row>
    <row r="3" spans="1:10">
      <c r="A3" s="37" t="s">
        <v>257</v>
      </c>
      <c r="B3" s="73">
        <v>389</v>
      </c>
      <c r="C3" s="73">
        <v>1621.88</v>
      </c>
      <c r="D3" s="73">
        <v>1696.12</v>
      </c>
      <c r="E3" s="37" t="s">
        <v>747</v>
      </c>
      <c r="H3" s="37" t="s">
        <v>12</v>
      </c>
      <c r="I3" s="37">
        <v>27</v>
      </c>
      <c r="J3" s="37" t="s">
        <v>748</v>
      </c>
    </row>
    <row r="4" spans="1:10">
      <c r="A4" s="37" t="s">
        <v>256</v>
      </c>
      <c r="B4" s="73">
        <v>537</v>
      </c>
      <c r="C4" s="73">
        <v>488</v>
      </c>
      <c r="D4" s="73">
        <v>488</v>
      </c>
      <c r="E4" s="37" t="s">
        <v>747</v>
      </c>
      <c r="H4" s="37" t="s">
        <v>158</v>
      </c>
      <c r="I4" s="37">
        <v>23</v>
      </c>
      <c r="J4" s="37" t="s">
        <v>748</v>
      </c>
    </row>
    <row r="5" spans="1:10">
      <c r="A5" s="37" t="s">
        <v>104</v>
      </c>
      <c r="B5" s="73">
        <v>0</v>
      </c>
      <c r="C5" s="73">
        <v>0</v>
      </c>
      <c r="D5" s="73">
        <v>0</v>
      </c>
      <c r="E5" s="37" t="s">
        <v>749</v>
      </c>
    </row>
    <row r="6" spans="1:10">
      <c r="A6" s="37" t="s">
        <v>253</v>
      </c>
      <c r="B6" s="73">
        <v>319</v>
      </c>
      <c r="C6" s="73">
        <v>645.02</v>
      </c>
      <c r="D6" s="73">
        <v>706.98</v>
      </c>
      <c r="E6" s="37" t="s">
        <v>747</v>
      </c>
    </row>
    <row r="7" spans="1:10">
      <c r="A7" s="37" t="s">
        <v>254</v>
      </c>
      <c r="B7" s="73">
        <v>24</v>
      </c>
      <c r="C7" s="73">
        <v>26</v>
      </c>
      <c r="D7" s="73">
        <v>26</v>
      </c>
      <c r="E7" s="37" t="s">
        <v>750</v>
      </c>
    </row>
    <row r="8" spans="1:10">
      <c r="A8" s="37" t="s">
        <v>255</v>
      </c>
      <c r="B8" s="73"/>
      <c r="C8" s="73"/>
      <c r="D8" s="73"/>
      <c r="E8" s="37" t="s">
        <v>747</v>
      </c>
    </row>
    <row r="9" spans="1:10">
      <c r="A9" s="37" t="s">
        <v>751</v>
      </c>
      <c r="B9" s="168">
        <v>0.03</v>
      </c>
      <c r="C9" s="168">
        <v>0.03</v>
      </c>
      <c r="D9" s="168">
        <v>0.03</v>
      </c>
      <c r="E9" s="37" t="s">
        <v>408</v>
      </c>
    </row>
    <row r="10" spans="1:10">
      <c r="A10" s="37" t="s">
        <v>752</v>
      </c>
      <c r="B10" s="169">
        <v>0</v>
      </c>
      <c r="C10" s="170">
        <f>B10</f>
        <v>0</v>
      </c>
      <c r="D10" s="170">
        <f>B10</f>
        <v>0</v>
      </c>
      <c r="E10" s="37" t="s">
        <v>753</v>
      </c>
    </row>
    <row r="11" spans="1:10">
      <c r="A11" s="143" t="s">
        <v>754</v>
      </c>
      <c r="B11" s="168">
        <v>0</v>
      </c>
      <c r="C11" s="168">
        <v>0</v>
      </c>
      <c r="D11" s="168">
        <v>0</v>
      </c>
      <c r="E11" s="37" t="s">
        <v>408</v>
      </c>
    </row>
    <row r="12" spans="1:10">
      <c r="A12" s="16"/>
      <c r="B12" s="17"/>
      <c r="C12" s="17"/>
      <c r="D12" s="17"/>
    </row>
    <row r="13" spans="1:10">
      <c r="A13" s="16"/>
      <c r="B13" s="17"/>
      <c r="C13" s="17"/>
      <c r="D13" s="17"/>
    </row>
    <row r="14" spans="1:10">
      <c r="A14" s="16"/>
      <c r="B14" s="17"/>
      <c r="C14" s="17"/>
      <c r="D14" s="17"/>
    </row>
    <row r="15" spans="1:10">
      <c r="A15" s="16"/>
      <c r="B15" s="17"/>
      <c r="C15" s="17"/>
      <c r="D15" s="17"/>
    </row>
    <row r="16" spans="1:10">
      <c r="C16" s="5"/>
      <c r="D16" s="5"/>
    </row>
    <row r="28" spans="1:3">
      <c r="A28" s="117" t="s">
        <v>755</v>
      </c>
      <c r="B28" s="117" t="s">
        <v>756</v>
      </c>
      <c r="C28" s="117" t="s">
        <v>757</v>
      </c>
    </row>
    <row r="29" spans="1:3">
      <c r="A29" s="37" t="s">
        <v>256</v>
      </c>
      <c r="B29" s="73">
        <f>9956434+6500000</f>
        <v>16456434</v>
      </c>
      <c r="C29" s="171">
        <f>B29/$B$35</f>
        <v>123.56349957201424</v>
      </c>
    </row>
    <row r="30" spans="1:3">
      <c r="A30" s="37" t="s">
        <v>254</v>
      </c>
      <c r="B30" s="73">
        <v>3539178</v>
      </c>
      <c r="C30" s="171">
        <f>B30/$B$35</f>
        <v>26.573996486011623</v>
      </c>
    </row>
    <row r="31" spans="1:3">
      <c r="A31" s="37" t="s">
        <v>253</v>
      </c>
      <c r="B31" s="73">
        <v>6075345</v>
      </c>
      <c r="C31" s="171">
        <f>B31/$B$35</f>
        <v>45.616862639095373</v>
      </c>
    </row>
    <row r="32" spans="1:3">
      <c r="A32" s="37"/>
      <c r="B32" s="73"/>
      <c r="C32" s="171"/>
    </row>
    <row r="33" spans="1:3">
      <c r="A33" s="37"/>
      <c r="B33" s="73"/>
      <c r="C33" s="171"/>
    </row>
    <row r="34" spans="1:3">
      <c r="A34" s="37"/>
      <c r="B34" s="73"/>
      <c r="C34" s="37"/>
    </row>
    <row r="35" spans="1:3">
      <c r="A35" s="172" t="s">
        <v>758</v>
      </c>
      <c r="B35" s="172">
        <f>21*302*21</f>
        <v>133182</v>
      </c>
      <c r="C35" s="37"/>
    </row>
    <row r="37" spans="1:3">
      <c r="A37" s="37" t="s">
        <v>287</v>
      </c>
      <c r="B37" s="37" t="s">
        <v>288</v>
      </c>
    </row>
    <row r="38" spans="1:3">
      <c r="A38" s="37" t="s">
        <v>567</v>
      </c>
      <c r="B38" s="37">
        <v>1000</v>
      </c>
    </row>
    <row r="39" spans="1:3">
      <c r="A39" s="37" t="s">
        <v>293</v>
      </c>
      <c r="B39" s="37">
        <v>650</v>
      </c>
    </row>
    <row r="40" spans="1:3">
      <c r="A40" s="37" t="s">
        <v>632</v>
      </c>
      <c r="B40" s="37">
        <v>600</v>
      </c>
    </row>
    <row r="41" spans="1:3">
      <c r="A41" s="37" t="s">
        <v>644</v>
      </c>
      <c r="B41" s="37">
        <v>180</v>
      </c>
    </row>
    <row r="42" spans="1:3">
      <c r="A42" s="37" t="s">
        <v>651</v>
      </c>
      <c r="B42" s="37">
        <v>180</v>
      </c>
    </row>
    <row r="43" spans="1:3">
      <c r="A43" s="37" t="s">
        <v>659</v>
      </c>
      <c r="B43" s="37">
        <v>480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Z2481"/>
  <sheetViews>
    <sheetView topLeftCell="N75" workbookViewId="0">
      <selection activeCell="L33" sqref="L33"/>
    </sheetView>
  </sheetViews>
  <sheetFormatPr defaultRowHeight="15"/>
  <cols>
    <col min="1" max="1" width="12" bestFit="1" customWidth="1"/>
    <col min="2" max="3" width="10.42578125" bestFit="1" customWidth="1"/>
    <col min="4" max="4" width="10.140625" bestFit="1" customWidth="1"/>
    <col min="5" max="5" width="9" bestFit="1" customWidth="1"/>
    <col min="6" max="6" width="13.140625" bestFit="1" customWidth="1"/>
    <col min="7" max="7" width="35.140625" bestFit="1" customWidth="1"/>
    <col min="8" max="8" width="5.42578125" bestFit="1" customWidth="1"/>
    <col min="9" max="9" width="6.7109375" bestFit="1" customWidth="1"/>
    <col min="10" max="11" width="13.85546875" bestFit="1" customWidth="1"/>
    <col min="12" max="12" width="9" bestFit="1" customWidth="1"/>
    <col min="13" max="13" width="12" bestFit="1" customWidth="1"/>
    <col min="14" max="14" width="11.7109375" bestFit="1" customWidth="1"/>
    <col min="15" max="15" width="12.7109375" bestFit="1" customWidth="1"/>
    <col min="16" max="16" width="11" bestFit="1" customWidth="1"/>
    <col min="17" max="17" width="12" bestFit="1" customWidth="1"/>
    <col min="18" max="18" width="7.7109375" bestFit="1" customWidth="1"/>
    <col min="19" max="19" width="11.7109375" bestFit="1" customWidth="1"/>
    <col min="20" max="21" width="10" bestFit="1" customWidth="1"/>
    <col min="22" max="22" width="10.42578125" bestFit="1" customWidth="1"/>
    <col min="23" max="23" width="12" bestFit="1" customWidth="1"/>
    <col min="24" max="25" width="12.5703125" bestFit="1" customWidth="1"/>
    <col min="26" max="26" width="11.5703125" bestFit="1" customWidth="1"/>
  </cols>
  <sheetData>
    <row r="1" spans="1:26">
      <c r="A1" s="2"/>
      <c r="B1" s="2"/>
      <c r="C1" s="2"/>
      <c r="D1" s="2"/>
      <c r="E1" s="2"/>
      <c r="F1" s="2"/>
      <c r="G1" s="7"/>
      <c r="H1" s="2"/>
      <c r="I1" s="2" t="s">
        <v>759</v>
      </c>
      <c r="J1" s="7" t="s">
        <v>760</v>
      </c>
      <c r="K1" s="7" t="s">
        <v>760</v>
      </c>
      <c r="L1" s="7" t="s">
        <v>761</v>
      </c>
      <c r="M1" s="7" t="s">
        <v>761</v>
      </c>
      <c r="N1" s="8" t="s">
        <v>762</v>
      </c>
      <c r="O1" s="9" t="s">
        <v>762</v>
      </c>
      <c r="P1" s="8" t="s">
        <v>763</v>
      </c>
      <c r="Q1" s="9" t="s">
        <v>763</v>
      </c>
      <c r="R1" s="7" t="s">
        <v>764</v>
      </c>
      <c r="S1" s="7" t="s">
        <v>764</v>
      </c>
      <c r="T1" s="7" t="s">
        <v>765</v>
      </c>
      <c r="U1" s="7" t="s">
        <v>765</v>
      </c>
      <c r="V1" s="7" t="s">
        <v>766</v>
      </c>
      <c r="W1" s="7" t="s">
        <v>766</v>
      </c>
      <c r="X1" s="7" t="s">
        <v>767</v>
      </c>
      <c r="Y1" s="7" t="s">
        <v>767</v>
      </c>
    </row>
    <row r="2" spans="1:26" hidden="1">
      <c r="A2" s="10" t="s">
        <v>768</v>
      </c>
      <c r="B2" s="11" t="s">
        <v>769</v>
      </c>
      <c r="C2" s="11" t="s">
        <v>770</v>
      </c>
      <c r="D2" s="11" t="s">
        <v>769</v>
      </c>
      <c r="E2" s="11" t="s">
        <v>770</v>
      </c>
      <c r="F2" s="11" t="s">
        <v>6</v>
      </c>
      <c r="G2" s="11" t="s">
        <v>771</v>
      </c>
      <c r="H2" s="11" t="s">
        <v>44</v>
      </c>
      <c r="I2" s="11" t="s">
        <v>173</v>
      </c>
      <c r="J2" s="11" t="s">
        <v>176</v>
      </c>
      <c r="K2" s="11" t="s">
        <v>289</v>
      </c>
      <c r="L2" s="11" t="s">
        <v>176</v>
      </c>
      <c r="M2" s="11" t="s">
        <v>289</v>
      </c>
      <c r="N2" s="11" t="s">
        <v>176</v>
      </c>
      <c r="O2" s="11" t="s">
        <v>289</v>
      </c>
      <c r="P2" s="11" t="s">
        <v>176</v>
      </c>
      <c r="Q2" s="11" t="s">
        <v>289</v>
      </c>
      <c r="R2" s="11" t="s">
        <v>176</v>
      </c>
      <c r="S2" s="11" t="s">
        <v>289</v>
      </c>
      <c r="T2" s="11" t="s">
        <v>176</v>
      </c>
      <c r="U2" s="11" t="s">
        <v>289</v>
      </c>
      <c r="V2" s="11" t="s">
        <v>176</v>
      </c>
      <c r="W2" s="11" t="s">
        <v>289</v>
      </c>
      <c r="X2" s="11" t="s">
        <v>176</v>
      </c>
      <c r="Y2" s="11" t="s">
        <v>289</v>
      </c>
      <c r="Z2" t="s">
        <v>175</v>
      </c>
    </row>
    <row r="3" spans="1:26" hidden="1">
      <c r="A3" t="s">
        <v>706</v>
      </c>
      <c r="B3" s="6">
        <v>44287</v>
      </c>
      <c r="C3" s="6">
        <v>44651</v>
      </c>
      <c r="D3">
        <v>20210401</v>
      </c>
      <c r="E3">
        <v>20220331</v>
      </c>
      <c r="F3" t="s">
        <v>772</v>
      </c>
      <c r="G3" t="s">
        <v>773</v>
      </c>
      <c r="H3" t="s">
        <v>590</v>
      </c>
      <c r="I3" t="s">
        <v>774</v>
      </c>
      <c r="P3">
        <v>1</v>
      </c>
      <c r="R3">
        <v>-1</v>
      </c>
      <c r="Z3" s="3">
        <f t="shared" ref="Z3:Z66" si="0">IFERROR((O3+Q3)/(N3+P3),Y3/X3)</f>
        <v>0</v>
      </c>
    </row>
    <row r="4" spans="1:26" hidden="1">
      <c r="A4" t="s">
        <v>706</v>
      </c>
      <c r="B4" s="6">
        <v>44287</v>
      </c>
      <c r="C4" s="6">
        <v>44651</v>
      </c>
      <c r="D4">
        <v>20210401</v>
      </c>
      <c r="E4">
        <v>20220331</v>
      </c>
      <c r="F4" t="s">
        <v>775</v>
      </c>
      <c r="G4" t="s">
        <v>776</v>
      </c>
      <c r="H4" t="s">
        <v>590</v>
      </c>
      <c r="I4" t="s">
        <v>774</v>
      </c>
      <c r="P4">
        <v>1</v>
      </c>
      <c r="Q4">
        <v>111000</v>
      </c>
      <c r="R4">
        <v>-1</v>
      </c>
      <c r="S4">
        <v>-111000</v>
      </c>
      <c r="Z4" s="3">
        <f t="shared" si="0"/>
        <v>111000</v>
      </c>
    </row>
    <row r="5" spans="1:26" hidden="1">
      <c r="A5" t="s">
        <v>706</v>
      </c>
      <c r="B5" s="6">
        <v>44287</v>
      </c>
      <c r="C5" s="6">
        <v>44651</v>
      </c>
      <c r="D5">
        <v>20210401</v>
      </c>
      <c r="E5">
        <v>20220331</v>
      </c>
      <c r="F5" t="s">
        <v>777</v>
      </c>
      <c r="G5" t="s">
        <v>778</v>
      </c>
      <c r="H5" t="s">
        <v>590</v>
      </c>
      <c r="I5" t="s">
        <v>774</v>
      </c>
      <c r="P5">
        <v>1</v>
      </c>
      <c r="R5">
        <v>-1</v>
      </c>
      <c r="Z5" s="3">
        <f t="shared" si="0"/>
        <v>0</v>
      </c>
    </row>
    <row r="6" spans="1:26" hidden="1">
      <c r="A6" t="s">
        <v>706</v>
      </c>
      <c r="B6" s="6">
        <v>44287</v>
      </c>
      <c r="C6" s="6">
        <v>44651</v>
      </c>
      <c r="D6">
        <v>20210401</v>
      </c>
      <c r="E6">
        <v>20220331</v>
      </c>
      <c r="F6" t="s">
        <v>779</v>
      </c>
      <c r="G6" t="s">
        <v>780</v>
      </c>
      <c r="H6" t="s">
        <v>590</v>
      </c>
      <c r="I6" t="s">
        <v>774</v>
      </c>
      <c r="L6">
        <v>1</v>
      </c>
      <c r="M6">
        <v>110000</v>
      </c>
      <c r="N6">
        <v>-1</v>
      </c>
      <c r="O6">
        <v>-110000</v>
      </c>
      <c r="P6">
        <v>1</v>
      </c>
      <c r="Q6">
        <v>110000</v>
      </c>
      <c r="R6">
        <v>-1</v>
      </c>
      <c r="S6">
        <v>-110000</v>
      </c>
      <c r="Z6" s="3" t="e">
        <f t="shared" si="0"/>
        <v>#DIV/0!</v>
      </c>
    </row>
    <row r="7" spans="1:26" hidden="1">
      <c r="A7" t="s">
        <v>706</v>
      </c>
      <c r="B7" s="6">
        <v>44287</v>
      </c>
      <c r="C7" s="6">
        <v>44651</v>
      </c>
      <c r="D7">
        <v>20210401</v>
      </c>
      <c r="E7">
        <v>20220331</v>
      </c>
      <c r="F7" t="s">
        <v>781</v>
      </c>
      <c r="G7" t="s">
        <v>782</v>
      </c>
      <c r="H7" t="s">
        <v>590</v>
      </c>
      <c r="I7" t="s">
        <v>774</v>
      </c>
      <c r="P7">
        <v>1</v>
      </c>
      <c r="R7">
        <v>-1</v>
      </c>
      <c r="Z7" s="3">
        <f t="shared" si="0"/>
        <v>0</v>
      </c>
    </row>
    <row r="8" spans="1:26" hidden="1">
      <c r="A8" t="s">
        <v>706</v>
      </c>
      <c r="B8" s="6">
        <v>44287</v>
      </c>
      <c r="C8" s="6">
        <v>44651</v>
      </c>
      <c r="D8">
        <v>20210401</v>
      </c>
      <c r="E8">
        <v>20220331</v>
      </c>
      <c r="F8" t="s">
        <v>783</v>
      </c>
      <c r="G8" t="s">
        <v>784</v>
      </c>
      <c r="H8" t="s">
        <v>590</v>
      </c>
      <c r="I8" t="s">
        <v>774</v>
      </c>
      <c r="L8">
        <v>1</v>
      </c>
      <c r="M8">
        <v>220000</v>
      </c>
      <c r="N8">
        <v>-1</v>
      </c>
      <c r="O8">
        <v>-220000</v>
      </c>
      <c r="Z8" s="3">
        <f t="shared" si="0"/>
        <v>220000</v>
      </c>
    </row>
    <row r="9" spans="1:26" hidden="1">
      <c r="A9" t="s">
        <v>706</v>
      </c>
      <c r="B9" s="6">
        <v>44287</v>
      </c>
      <c r="C9" s="6">
        <v>44651</v>
      </c>
      <c r="D9">
        <v>20210401</v>
      </c>
      <c r="E9">
        <v>20220331</v>
      </c>
      <c r="F9" t="s">
        <v>785</v>
      </c>
      <c r="G9" t="s">
        <v>786</v>
      </c>
      <c r="H9" t="s">
        <v>590</v>
      </c>
      <c r="I9" t="s">
        <v>774</v>
      </c>
      <c r="P9">
        <v>1</v>
      </c>
      <c r="R9">
        <v>-1</v>
      </c>
      <c r="Z9" s="3">
        <f t="shared" si="0"/>
        <v>0</v>
      </c>
    </row>
    <row r="10" spans="1:26" hidden="1">
      <c r="A10" t="s">
        <v>706</v>
      </c>
      <c r="B10" s="6">
        <v>44287</v>
      </c>
      <c r="C10" s="6">
        <v>44651</v>
      </c>
      <c r="D10">
        <v>20210401</v>
      </c>
      <c r="E10">
        <v>20220331</v>
      </c>
      <c r="F10" t="s">
        <v>787</v>
      </c>
      <c r="G10" t="s">
        <v>788</v>
      </c>
      <c r="H10" t="s">
        <v>590</v>
      </c>
      <c r="I10" t="s">
        <v>774</v>
      </c>
      <c r="P10">
        <v>1</v>
      </c>
      <c r="Q10">
        <v>95450</v>
      </c>
      <c r="R10">
        <v>-1</v>
      </c>
      <c r="S10">
        <v>-95450</v>
      </c>
      <c r="Z10" s="3">
        <f t="shared" si="0"/>
        <v>95450</v>
      </c>
    </row>
    <row r="11" spans="1:26" hidden="1">
      <c r="A11" t="s">
        <v>706</v>
      </c>
      <c r="B11" s="6">
        <v>44287</v>
      </c>
      <c r="C11" s="6">
        <v>44651</v>
      </c>
      <c r="D11">
        <v>20210401</v>
      </c>
      <c r="E11">
        <v>20220331</v>
      </c>
      <c r="F11" t="s">
        <v>789</v>
      </c>
      <c r="G11" t="s">
        <v>790</v>
      </c>
      <c r="H11" t="s">
        <v>590</v>
      </c>
      <c r="I11" t="s">
        <v>774</v>
      </c>
      <c r="P11">
        <v>1</v>
      </c>
      <c r="Q11">
        <v>100729</v>
      </c>
      <c r="R11">
        <v>-1</v>
      </c>
      <c r="S11">
        <v>-100729</v>
      </c>
      <c r="Z11" s="3">
        <f t="shared" si="0"/>
        <v>100729</v>
      </c>
    </row>
    <row r="12" spans="1:26" hidden="1">
      <c r="A12" t="s">
        <v>706</v>
      </c>
      <c r="B12" s="6">
        <v>44287</v>
      </c>
      <c r="C12" s="6">
        <v>44651</v>
      </c>
      <c r="D12">
        <v>20210401</v>
      </c>
      <c r="E12">
        <v>20220331</v>
      </c>
      <c r="F12" t="s">
        <v>791</v>
      </c>
      <c r="G12" t="s">
        <v>792</v>
      </c>
      <c r="H12" t="s">
        <v>590</v>
      </c>
      <c r="I12" t="s">
        <v>774</v>
      </c>
      <c r="P12">
        <v>1</v>
      </c>
      <c r="Q12">
        <v>101971</v>
      </c>
      <c r="R12">
        <v>-1</v>
      </c>
      <c r="S12">
        <v>-101971</v>
      </c>
      <c r="Z12" s="3">
        <f t="shared" si="0"/>
        <v>101971</v>
      </c>
    </row>
    <row r="13" spans="1:26" hidden="1">
      <c r="A13" t="s">
        <v>706</v>
      </c>
      <c r="B13" s="6">
        <v>44287</v>
      </c>
      <c r="C13" s="6">
        <v>44651</v>
      </c>
      <c r="D13">
        <v>20210401</v>
      </c>
      <c r="E13">
        <v>20220331</v>
      </c>
      <c r="F13" t="s">
        <v>793</v>
      </c>
      <c r="G13" t="s">
        <v>794</v>
      </c>
      <c r="H13" t="s">
        <v>590</v>
      </c>
      <c r="I13" t="s">
        <v>774</v>
      </c>
      <c r="P13">
        <v>1</v>
      </c>
      <c r="Q13">
        <v>92541</v>
      </c>
      <c r="R13">
        <v>-1</v>
      </c>
      <c r="S13">
        <v>-92541</v>
      </c>
      <c r="Z13" s="3">
        <f t="shared" si="0"/>
        <v>92541</v>
      </c>
    </row>
    <row r="14" spans="1:26" hidden="1">
      <c r="A14" t="s">
        <v>706</v>
      </c>
      <c r="B14" s="6">
        <v>44287</v>
      </c>
      <c r="C14" s="6">
        <v>44651</v>
      </c>
      <c r="D14">
        <v>20210401</v>
      </c>
      <c r="E14">
        <v>20220331</v>
      </c>
      <c r="F14" t="s">
        <v>795</v>
      </c>
      <c r="G14" t="s">
        <v>796</v>
      </c>
      <c r="H14" t="s">
        <v>590</v>
      </c>
      <c r="I14" t="s">
        <v>774</v>
      </c>
      <c r="P14">
        <v>1</v>
      </c>
      <c r="Q14">
        <v>110000</v>
      </c>
      <c r="R14">
        <v>-1</v>
      </c>
      <c r="S14">
        <v>-110000</v>
      </c>
      <c r="Z14" s="3">
        <f t="shared" si="0"/>
        <v>110000</v>
      </c>
    </row>
    <row r="15" spans="1:26" hidden="1">
      <c r="A15" t="s">
        <v>706</v>
      </c>
      <c r="B15" s="6">
        <v>44287</v>
      </c>
      <c r="C15" s="6">
        <v>44651</v>
      </c>
      <c r="D15">
        <v>20210401</v>
      </c>
      <c r="E15">
        <v>20220331</v>
      </c>
      <c r="F15" t="s">
        <v>797</v>
      </c>
      <c r="G15" t="s">
        <v>798</v>
      </c>
      <c r="H15" t="s">
        <v>590</v>
      </c>
      <c r="I15" t="s">
        <v>774</v>
      </c>
      <c r="P15">
        <v>1</v>
      </c>
      <c r="Q15">
        <v>42000</v>
      </c>
      <c r="R15">
        <v>-1</v>
      </c>
      <c r="S15">
        <v>-42000</v>
      </c>
      <c r="Z15" s="3">
        <f t="shared" si="0"/>
        <v>42000</v>
      </c>
    </row>
    <row r="16" spans="1:26" hidden="1">
      <c r="A16" t="s">
        <v>706</v>
      </c>
      <c r="B16" s="6">
        <v>44287</v>
      </c>
      <c r="C16" s="6">
        <v>44651</v>
      </c>
      <c r="D16">
        <v>20210401</v>
      </c>
      <c r="E16">
        <v>20220331</v>
      </c>
      <c r="F16" t="s">
        <v>799</v>
      </c>
      <c r="G16" t="s">
        <v>800</v>
      </c>
      <c r="H16" t="s">
        <v>590</v>
      </c>
      <c r="I16" t="s">
        <v>774</v>
      </c>
      <c r="P16">
        <v>1</v>
      </c>
      <c r="Q16">
        <v>65000</v>
      </c>
      <c r="R16">
        <v>-1</v>
      </c>
      <c r="S16">
        <v>-65000</v>
      </c>
      <c r="Z16" s="3">
        <f t="shared" si="0"/>
        <v>65000</v>
      </c>
    </row>
    <row r="17" spans="1:26" hidden="1">
      <c r="A17" t="s">
        <v>706</v>
      </c>
      <c r="B17" s="6">
        <v>44287</v>
      </c>
      <c r="C17" s="6">
        <v>44651</v>
      </c>
      <c r="D17">
        <v>20210401</v>
      </c>
      <c r="E17">
        <v>20220331</v>
      </c>
      <c r="F17" t="s">
        <v>801</v>
      </c>
      <c r="G17" t="s">
        <v>802</v>
      </c>
      <c r="H17" t="s">
        <v>590</v>
      </c>
      <c r="I17" t="s">
        <v>774</v>
      </c>
      <c r="P17">
        <v>1</v>
      </c>
      <c r="Q17">
        <v>78000</v>
      </c>
      <c r="R17">
        <v>-1</v>
      </c>
      <c r="S17">
        <v>-78000</v>
      </c>
      <c r="Z17" s="3">
        <f t="shared" si="0"/>
        <v>78000</v>
      </c>
    </row>
    <row r="18" spans="1:26" hidden="1">
      <c r="A18" t="s">
        <v>706</v>
      </c>
      <c r="B18" s="6">
        <v>44287</v>
      </c>
      <c r="C18" s="6">
        <v>44651</v>
      </c>
      <c r="D18">
        <v>20210401</v>
      </c>
      <c r="E18">
        <v>20220331</v>
      </c>
      <c r="F18" t="s">
        <v>803</v>
      </c>
      <c r="G18" t="s">
        <v>804</v>
      </c>
      <c r="H18" t="s">
        <v>590</v>
      </c>
      <c r="I18" t="s">
        <v>805</v>
      </c>
      <c r="K18">
        <v>0.01</v>
      </c>
      <c r="L18">
        <v>41139</v>
      </c>
      <c r="M18">
        <v>1439865</v>
      </c>
      <c r="N18">
        <v>-41139</v>
      </c>
      <c r="O18">
        <v>-1439865</v>
      </c>
      <c r="Y18">
        <v>0.01</v>
      </c>
      <c r="Z18" s="3">
        <f t="shared" si="0"/>
        <v>35</v>
      </c>
    </row>
    <row r="19" spans="1:26" hidden="1">
      <c r="A19" t="s">
        <v>706</v>
      </c>
      <c r="B19" s="6">
        <v>44287</v>
      </c>
      <c r="C19" s="6">
        <v>44651</v>
      </c>
      <c r="D19">
        <v>20210401</v>
      </c>
      <c r="E19">
        <v>20220331</v>
      </c>
      <c r="F19" t="s">
        <v>806</v>
      </c>
      <c r="G19" t="s">
        <v>807</v>
      </c>
      <c r="H19" t="s">
        <v>590</v>
      </c>
      <c r="I19" t="s">
        <v>774</v>
      </c>
      <c r="P19">
        <v>1</v>
      </c>
      <c r="Q19">
        <v>77000</v>
      </c>
      <c r="R19">
        <v>-1</v>
      </c>
      <c r="S19">
        <v>-77000</v>
      </c>
      <c r="Z19" s="3">
        <f t="shared" si="0"/>
        <v>77000</v>
      </c>
    </row>
    <row r="20" spans="1:26" hidden="1">
      <c r="A20" t="s">
        <v>706</v>
      </c>
      <c r="B20" s="6">
        <v>44287</v>
      </c>
      <c r="C20" s="6">
        <v>44651</v>
      </c>
      <c r="D20">
        <v>20210401</v>
      </c>
      <c r="E20">
        <v>20220331</v>
      </c>
      <c r="F20" t="s">
        <v>808</v>
      </c>
      <c r="G20" t="s">
        <v>809</v>
      </c>
      <c r="H20" t="s">
        <v>590</v>
      </c>
      <c r="I20" t="s">
        <v>774</v>
      </c>
      <c r="P20">
        <v>1</v>
      </c>
      <c r="R20">
        <v>-1</v>
      </c>
      <c r="Z20" s="3">
        <f t="shared" si="0"/>
        <v>0</v>
      </c>
    </row>
    <row r="21" spans="1:26" hidden="1">
      <c r="A21" t="s">
        <v>706</v>
      </c>
      <c r="B21" s="6">
        <v>44287</v>
      </c>
      <c r="C21" s="6">
        <v>44651</v>
      </c>
      <c r="D21">
        <v>20210401</v>
      </c>
      <c r="E21">
        <v>20220331</v>
      </c>
      <c r="F21" t="s">
        <v>810</v>
      </c>
      <c r="G21" t="s">
        <v>811</v>
      </c>
      <c r="H21" t="s">
        <v>590</v>
      </c>
      <c r="I21" t="s">
        <v>774</v>
      </c>
      <c r="P21">
        <v>1</v>
      </c>
      <c r="R21">
        <v>-1</v>
      </c>
      <c r="Z21" s="3">
        <f t="shared" si="0"/>
        <v>0</v>
      </c>
    </row>
    <row r="22" spans="1:26" hidden="1">
      <c r="A22" t="s">
        <v>706</v>
      </c>
      <c r="B22" s="6">
        <v>44287</v>
      </c>
      <c r="C22" s="6">
        <v>44651</v>
      </c>
      <c r="D22">
        <v>20210401</v>
      </c>
      <c r="E22">
        <v>20220331</v>
      </c>
      <c r="F22" t="s">
        <v>812</v>
      </c>
      <c r="G22" t="s">
        <v>813</v>
      </c>
      <c r="H22" t="s">
        <v>590</v>
      </c>
      <c r="I22" t="s">
        <v>774</v>
      </c>
      <c r="P22">
        <v>1</v>
      </c>
      <c r="R22">
        <v>-1</v>
      </c>
      <c r="Z22" s="3">
        <f t="shared" si="0"/>
        <v>0</v>
      </c>
    </row>
    <row r="23" spans="1:26" hidden="1">
      <c r="A23" t="s">
        <v>706</v>
      </c>
      <c r="B23" s="6">
        <v>44287</v>
      </c>
      <c r="C23" s="6">
        <v>44651</v>
      </c>
      <c r="D23">
        <v>20210401</v>
      </c>
      <c r="E23">
        <v>20220331</v>
      </c>
      <c r="F23" t="s">
        <v>814</v>
      </c>
      <c r="G23" t="s">
        <v>815</v>
      </c>
      <c r="H23" t="s">
        <v>590</v>
      </c>
      <c r="I23" t="s">
        <v>774</v>
      </c>
      <c r="P23">
        <v>1</v>
      </c>
      <c r="R23">
        <v>-1</v>
      </c>
      <c r="Z23" s="3">
        <f t="shared" si="0"/>
        <v>0</v>
      </c>
    </row>
    <row r="24" spans="1:26" hidden="1">
      <c r="A24" t="s">
        <v>706</v>
      </c>
      <c r="B24" s="6">
        <v>44287</v>
      </c>
      <c r="C24" s="6">
        <v>44651</v>
      </c>
      <c r="D24">
        <v>20210401</v>
      </c>
      <c r="E24">
        <v>20220331</v>
      </c>
      <c r="F24" t="s">
        <v>816</v>
      </c>
      <c r="G24" t="s">
        <v>817</v>
      </c>
      <c r="H24" t="s">
        <v>590</v>
      </c>
      <c r="I24" t="s">
        <v>774</v>
      </c>
      <c r="P24">
        <v>1</v>
      </c>
      <c r="R24">
        <v>-1</v>
      </c>
      <c r="Z24" s="3">
        <f t="shared" si="0"/>
        <v>0</v>
      </c>
    </row>
    <row r="25" spans="1:26" hidden="1">
      <c r="A25" t="s">
        <v>706</v>
      </c>
      <c r="B25" s="6">
        <v>44287</v>
      </c>
      <c r="C25" s="6">
        <v>44651</v>
      </c>
      <c r="D25">
        <v>20210401</v>
      </c>
      <c r="E25">
        <v>20220331</v>
      </c>
      <c r="F25" t="s">
        <v>818</v>
      </c>
      <c r="G25" t="s">
        <v>819</v>
      </c>
      <c r="H25" t="s">
        <v>590</v>
      </c>
      <c r="I25" t="s">
        <v>774</v>
      </c>
      <c r="P25">
        <v>1</v>
      </c>
      <c r="R25">
        <v>-1</v>
      </c>
      <c r="Z25" s="3">
        <f t="shared" si="0"/>
        <v>0</v>
      </c>
    </row>
    <row r="26" spans="1:26" hidden="1">
      <c r="A26" t="s">
        <v>706</v>
      </c>
      <c r="B26" s="6">
        <v>44287</v>
      </c>
      <c r="C26" s="6">
        <v>44651</v>
      </c>
      <c r="D26">
        <v>20210401</v>
      </c>
      <c r="E26">
        <v>20220331</v>
      </c>
      <c r="F26" t="s">
        <v>820</v>
      </c>
      <c r="G26" t="s">
        <v>821</v>
      </c>
      <c r="H26" t="s">
        <v>590</v>
      </c>
      <c r="I26" t="s">
        <v>774</v>
      </c>
      <c r="P26">
        <v>1</v>
      </c>
      <c r="R26">
        <v>-1</v>
      </c>
      <c r="Z26" s="3">
        <f t="shared" si="0"/>
        <v>0</v>
      </c>
    </row>
    <row r="27" spans="1:26" hidden="1">
      <c r="A27" t="s">
        <v>706</v>
      </c>
      <c r="B27" s="6">
        <v>44287</v>
      </c>
      <c r="C27" s="6">
        <v>44651</v>
      </c>
      <c r="D27">
        <v>20210401</v>
      </c>
      <c r="E27">
        <v>20220331</v>
      </c>
      <c r="F27" t="s">
        <v>822</v>
      </c>
      <c r="G27" t="s">
        <v>823</v>
      </c>
      <c r="H27" t="s">
        <v>590</v>
      </c>
      <c r="I27" t="s">
        <v>774</v>
      </c>
      <c r="P27">
        <v>1</v>
      </c>
      <c r="R27">
        <v>-1</v>
      </c>
      <c r="Z27" s="3">
        <f t="shared" si="0"/>
        <v>0</v>
      </c>
    </row>
    <row r="28" spans="1:26" hidden="1">
      <c r="A28" t="s">
        <v>706</v>
      </c>
      <c r="B28" s="6">
        <v>44287</v>
      </c>
      <c r="C28" s="6">
        <v>44651</v>
      </c>
      <c r="D28">
        <v>20210401</v>
      </c>
      <c r="E28">
        <v>20220331</v>
      </c>
      <c r="F28" t="s">
        <v>824</v>
      </c>
      <c r="G28" t="s">
        <v>825</v>
      </c>
      <c r="H28" t="s">
        <v>590</v>
      </c>
      <c r="I28" t="s">
        <v>774</v>
      </c>
      <c r="L28">
        <v>1</v>
      </c>
      <c r="M28">
        <v>115000</v>
      </c>
      <c r="N28">
        <v>-1</v>
      </c>
      <c r="O28">
        <v>-115000</v>
      </c>
      <c r="Z28" s="3">
        <f t="shared" si="0"/>
        <v>115000</v>
      </c>
    </row>
    <row r="29" spans="1:26" hidden="1">
      <c r="A29" t="s">
        <v>706</v>
      </c>
      <c r="B29" s="6">
        <v>44287</v>
      </c>
      <c r="C29" s="6">
        <v>44651</v>
      </c>
      <c r="D29">
        <v>20210401</v>
      </c>
      <c r="E29">
        <v>20220331</v>
      </c>
      <c r="F29" t="s">
        <v>826</v>
      </c>
      <c r="G29" t="s">
        <v>827</v>
      </c>
      <c r="H29" t="s">
        <v>590</v>
      </c>
      <c r="I29" t="s">
        <v>828</v>
      </c>
      <c r="L29">
        <v>158</v>
      </c>
      <c r="M29">
        <v>17854</v>
      </c>
      <c r="N29">
        <v>-158</v>
      </c>
      <c r="O29">
        <v>-17854</v>
      </c>
      <c r="Z29" s="3">
        <f t="shared" si="0"/>
        <v>113</v>
      </c>
    </row>
    <row r="30" spans="1:26" hidden="1">
      <c r="A30" t="s">
        <v>706</v>
      </c>
      <c r="B30" s="6">
        <v>44287</v>
      </c>
      <c r="C30" s="6">
        <v>44651</v>
      </c>
      <c r="D30">
        <v>20210401</v>
      </c>
      <c r="E30">
        <v>20220331</v>
      </c>
      <c r="F30" t="s">
        <v>829</v>
      </c>
      <c r="G30" t="s">
        <v>830</v>
      </c>
      <c r="H30" t="s">
        <v>590</v>
      </c>
      <c r="I30" t="s">
        <v>828</v>
      </c>
      <c r="L30">
        <v>29</v>
      </c>
      <c r="M30">
        <v>5046</v>
      </c>
      <c r="N30">
        <v>-29</v>
      </c>
      <c r="O30">
        <v>-5046</v>
      </c>
      <c r="Z30" s="3">
        <f t="shared" si="0"/>
        <v>174</v>
      </c>
    </row>
    <row r="31" spans="1:26" hidden="1">
      <c r="A31" t="s">
        <v>706</v>
      </c>
      <c r="B31" s="6">
        <v>44287</v>
      </c>
      <c r="C31" s="6">
        <v>44651</v>
      </c>
      <c r="D31">
        <v>20210401</v>
      </c>
      <c r="E31">
        <v>20220331</v>
      </c>
      <c r="F31" t="s">
        <v>831</v>
      </c>
      <c r="G31" t="s">
        <v>832</v>
      </c>
      <c r="H31" t="s">
        <v>590</v>
      </c>
      <c r="I31" t="s">
        <v>774</v>
      </c>
      <c r="P31">
        <v>1</v>
      </c>
      <c r="Q31">
        <v>28000</v>
      </c>
      <c r="R31">
        <v>-1</v>
      </c>
      <c r="S31">
        <v>-28000</v>
      </c>
      <c r="Z31" s="3">
        <f t="shared" si="0"/>
        <v>28000</v>
      </c>
    </row>
    <row r="32" spans="1:26" hidden="1">
      <c r="A32" t="s">
        <v>706</v>
      </c>
      <c r="B32" s="6">
        <v>44287</v>
      </c>
      <c r="C32" s="6">
        <v>44651</v>
      </c>
      <c r="D32">
        <v>20210401</v>
      </c>
      <c r="E32">
        <v>20220331</v>
      </c>
      <c r="F32" t="s">
        <v>833</v>
      </c>
      <c r="G32" t="s">
        <v>834</v>
      </c>
      <c r="H32" t="s">
        <v>590</v>
      </c>
      <c r="I32" t="s">
        <v>774</v>
      </c>
      <c r="L32">
        <v>1</v>
      </c>
      <c r="M32">
        <v>158000</v>
      </c>
      <c r="N32">
        <v>-1</v>
      </c>
      <c r="O32">
        <v>-158000</v>
      </c>
      <c r="P32">
        <v>1</v>
      </c>
      <c r="Q32">
        <v>158000</v>
      </c>
      <c r="R32">
        <v>-1</v>
      </c>
      <c r="S32">
        <v>-158000</v>
      </c>
      <c r="Z32" s="3" t="e">
        <f t="shared" si="0"/>
        <v>#DIV/0!</v>
      </c>
    </row>
    <row r="33" spans="1:26">
      <c r="A33" t="s">
        <v>706</v>
      </c>
      <c r="B33" s="6">
        <v>44287</v>
      </c>
      <c r="C33" s="6">
        <v>44651</v>
      </c>
      <c r="D33">
        <v>20210401</v>
      </c>
      <c r="E33">
        <v>20220331</v>
      </c>
      <c r="F33" t="s">
        <v>835</v>
      </c>
      <c r="G33" t="s">
        <v>836</v>
      </c>
      <c r="H33" t="s">
        <v>613</v>
      </c>
      <c r="I33" t="s">
        <v>837</v>
      </c>
      <c r="J33">
        <v>219.8</v>
      </c>
      <c r="K33">
        <v>25253.32</v>
      </c>
      <c r="L33">
        <v>1437.1</v>
      </c>
      <c r="M33">
        <v>312009.08</v>
      </c>
      <c r="N33">
        <v>-1596.17</v>
      </c>
      <c r="O33">
        <v>-322769.96000000002</v>
      </c>
      <c r="P33">
        <v>2.38</v>
      </c>
      <c r="Q33">
        <v>582.5</v>
      </c>
      <c r="R33">
        <v>-60</v>
      </c>
      <c r="S33">
        <v>-14244.04</v>
      </c>
      <c r="X33">
        <v>3.11</v>
      </c>
      <c r="Y33">
        <v>830.9</v>
      </c>
      <c r="Z33" s="3">
        <f t="shared" si="0"/>
        <v>202.15176403415759</v>
      </c>
    </row>
    <row r="34" spans="1:26">
      <c r="A34" t="s">
        <v>706</v>
      </c>
      <c r="B34" s="6">
        <v>44287</v>
      </c>
      <c r="C34" s="6">
        <v>44651</v>
      </c>
      <c r="D34">
        <v>20210401</v>
      </c>
      <c r="E34">
        <v>20220331</v>
      </c>
      <c r="F34" t="s">
        <v>838</v>
      </c>
      <c r="G34" t="s">
        <v>839</v>
      </c>
      <c r="H34" t="s">
        <v>613</v>
      </c>
      <c r="I34" t="s">
        <v>837</v>
      </c>
      <c r="J34">
        <v>1.0900000000000001</v>
      </c>
      <c r="K34">
        <v>1692.23</v>
      </c>
      <c r="X34">
        <v>1.0900000000000001</v>
      </c>
      <c r="Y34">
        <v>1692.23</v>
      </c>
      <c r="Z34" s="3">
        <f t="shared" si="0"/>
        <v>1552.5045871559632</v>
      </c>
    </row>
    <row r="35" spans="1:26">
      <c r="A35" t="s">
        <v>706</v>
      </c>
      <c r="B35" s="6">
        <v>44287</v>
      </c>
      <c r="C35" s="6">
        <v>44651</v>
      </c>
      <c r="D35">
        <v>20210401</v>
      </c>
      <c r="E35">
        <v>20220331</v>
      </c>
      <c r="F35" t="s">
        <v>840</v>
      </c>
      <c r="G35" t="s">
        <v>841</v>
      </c>
      <c r="H35" t="s">
        <v>613</v>
      </c>
      <c r="I35" t="s">
        <v>837</v>
      </c>
      <c r="L35">
        <v>3700</v>
      </c>
      <c r="M35">
        <v>2681150</v>
      </c>
      <c r="N35">
        <v>-3666.2</v>
      </c>
      <c r="O35">
        <v>-2635669.91</v>
      </c>
      <c r="P35">
        <v>49.42</v>
      </c>
      <c r="Q35">
        <v>28891.55</v>
      </c>
      <c r="X35">
        <v>83.22</v>
      </c>
      <c r="Y35">
        <v>74371.64</v>
      </c>
      <c r="Z35" s="3">
        <f t="shared" si="0"/>
        <v>720.74562456107378</v>
      </c>
    </row>
    <row r="36" spans="1:26">
      <c r="A36" t="s">
        <v>706</v>
      </c>
      <c r="B36" s="6">
        <v>44287</v>
      </c>
      <c r="C36" s="6">
        <v>44651</v>
      </c>
      <c r="D36">
        <v>20210401</v>
      </c>
      <c r="E36">
        <v>20220331</v>
      </c>
      <c r="F36" t="s">
        <v>842</v>
      </c>
      <c r="G36" t="s">
        <v>843</v>
      </c>
      <c r="H36" t="s">
        <v>613</v>
      </c>
      <c r="I36" t="s">
        <v>837</v>
      </c>
      <c r="J36">
        <v>6.6</v>
      </c>
      <c r="K36">
        <v>18857.009999999998</v>
      </c>
      <c r="L36">
        <v>80</v>
      </c>
      <c r="M36">
        <v>382200</v>
      </c>
      <c r="N36">
        <v>-36.85</v>
      </c>
      <c r="O36">
        <v>-146031.07</v>
      </c>
      <c r="P36">
        <v>3.2</v>
      </c>
      <c r="Q36">
        <v>11242.91</v>
      </c>
      <c r="X36">
        <v>52.95</v>
      </c>
      <c r="Y36">
        <v>266268.84999999998</v>
      </c>
      <c r="Z36" s="3">
        <f t="shared" si="0"/>
        <v>4005.5916790490346</v>
      </c>
    </row>
    <row r="37" spans="1:26">
      <c r="A37" t="s">
        <v>706</v>
      </c>
      <c r="B37" s="6">
        <v>44287</v>
      </c>
      <c r="C37" s="6">
        <v>44651</v>
      </c>
      <c r="D37">
        <v>20210401</v>
      </c>
      <c r="E37">
        <v>20220331</v>
      </c>
      <c r="F37" t="s">
        <v>844</v>
      </c>
      <c r="G37" t="s">
        <v>845</v>
      </c>
      <c r="H37" t="s">
        <v>613</v>
      </c>
      <c r="I37" t="s">
        <v>846</v>
      </c>
      <c r="J37">
        <v>220</v>
      </c>
      <c r="K37">
        <v>66213.399999999994</v>
      </c>
      <c r="X37">
        <v>220</v>
      </c>
      <c r="Y37">
        <v>66213.399999999994</v>
      </c>
      <c r="Z37" s="3">
        <f t="shared" si="0"/>
        <v>300.96999999999997</v>
      </c>
    </row>
    <row r="38" spans="1:26">
      <c r="A38" t="s">
        <v>706</v>
      </c>
      <c r="B38" s="6">
        <v>44287</v>
      </c>
      <c r="C38" s="6">
        <v>44651</v>
      </c>
      <c r="D38">
        <v>20210401</v>
      </c>
      <c r="E38">
        <v>20220331</v>
      </c>
      <c r="F38" t="s">
        <v>847</v>
      </c>
      <c r="G38" t="s">
        <v>848</v>
      </c>
      <c r="H38" t="s">
        <v>613</v>
      </c>
      <c r="I38" t="s">
        <v>837</v>
      </c>
      <c r="J38">
        <v>139.88</v>
      </c>
      <c r="K38">
        <v>88124.77</v>
      </c>
      <c r="L38">
        <v>1145.5999999999999</v>
      </c>
      <c r="M38">
        <v>830917.16</v>
      </c>
      <c r="N38">
        <v>-1272.25</v>
      </c>
      <c r="O38">
        <v>-907571.67</v>
      </c>
      <c r="P38">
        <v>26.5</v>
      </c>
      <c r="Q38">
        <v>19118.580000000002</v>
      </c>
      <c r="X38">
        <v>39.729999999999997</v>
      </c>
      <c r="Y38">
        <v>30588.84</v>
      </c>
      <c r="Z38" s="3">
        <f t="shared" si="0"/>
        <v>713.1873088500904</v>
      </c>
    </row>
    <row r="39" spans="1:26">
      <c r="A39" t="s">
        <v>706</v>
      </c>
      <c r="B39" s="6">
        <v>44287</v>
      </c>
      <c r="C39" s="6">
        <v>44651</v>
      </c>
      <c r="D39">
        <v>20210401</v>
      </c>
      <c r="E39">
        <v>20220331</v>
      </c>
      <c r="F39" t="s">
        <v>849</v>
      </c>
      <c r="G39" t="s">
        <v>850</v>
      </c>
      <c r="H39" t="s">
        <v>613</v>
      </c>
      <c r="I39" t="s">
        <v>837</v>
      </c>
      <c r="J39">
        <v>65.48</v>
      </c>
      <c r="K39">
        <v>8376.49</v>
      </c>
      <c r="L39">
        <v>7920</v>
      </c>
      <c r="M39">
        <v>2137751</v>
      </c>
      <c r="N39">
        <v>-6976.6059999999998</v>
      </c>
      <c r="O39">
        <v>-1830116.04</v>
      </c>
      <c r="P39">
        <v>10.026</v>
      </c>
      <c r="Q39">
        <v>3325.95</v>
      </c>
      <c r="R39">
        <v>-201</v>
      </c>
      <c r="S39">
        <v>-46597.64</v>
      </c>
      <c r="X39">
        <v>817.9</v>
      </c>
      <c r="Y39">
        <v>272739.76</v>
      </c>
      <c r="Z39" s="3">
        <f t="shared" si="0"/>
        <v>262.22193529680277</v>
      </c>
    </row>
    <row r="40" spans="1:26">
      <c r="A40" t="s">
        <v>706</v>
      </c>
      <c r="B40" s="6">
        <v>44287</v>
      </c>
      <c r="C40" s="6">
        <v>44651</v>
      </c>
      <c r="D40">
        <v>20210401</v>
      </c>
      <c r="E40">
        <v>20220331</v>
      </c>
      <c r="F40" t="s">
        <v>851</v>
      </c>
      <c r="G40" t="s">
        <v>852</v>
      </c>
      <c r="H40" t="s">
        <v>613</v>
      </c>
      <c r="I40" t="s">
        <v>837</v>
      </c>
      <c r="J40">
        <v>793.92</v>
      </c>
      <c r="K40">
        <v>165873.47</v>
      </c>
      <c r="L40">
        <v>5578.6080000000002</v>
      </c>
      <c r="M40">
        <v>2328028.58</v>
      </c>
      <c r="N40">
        <v>-5724.1390000000001</v>
      </c>
      <c r="O40">
        <v>-2189016.6800000002</v>
      </c>
      <c r="P40">
        <v>42.944000000000003</v>
      </c>
      <c r="Q40">
        <v>18349.55</v>
      </c>
      <c r="V40">
        <v>-300</v>
      </c>
      <c r="W40">
        <v>-110668.73</v>
      </c>
      <c r="X40">
        <v>391.33300000000003</v>
      </c>
      <c r="Y40">
        <v>212566.19</v>
      </c>
      <c r="Z40" s="3">
        <f t="shared" si="0"/>
        <v>382.07932133996462</v>
      </c>
    </row>
    <row r="41" spans="1:26">
      <c r="A41" t="s">
        <v>706</v>
      </c>
      <c r="B41" s="6">
        <v>44287</v>
      </c>
      <c r="C41" s="6">
        <v>44651</v>
      </c>
      <c r="D41">
        <v>20210401</v>
      </c>
      <c r="E41">
        <v>20220331</v>
      </c>
      <c r="F41" t="s">
        <v>853</v>
      </c>
      <c r="G41" t="s">
        <v>854</v>
      </c>
      <c r="H41" t="s">
        <v>613</v>
      </c>
      <c r="I41" t="s">
        <v>837</v>
      </c>
      <c r="J41">
        <v>11.74</v>
      </c>
      <c r="K41">
        <v>27002</v>
      </c>
      <c r="L41">
        <v>150</v>
      </c>
      <c r="M41">
        <v>513750</v>
      </c>
      <c r="N41">
        <v>-16.670000000000002</v>
      </c>
      <c r="O41">
        <v>-43985.11</v>
      </c>
      <c r="X41">
        <v>145.07</v>
      </c>
      <c r="Y41">
        <v>496766.89</v>
      </c>
      <c r="Z41" s="3">
        <f t="shared" si="0"/>
        <v>2638.578884223155</v>
      </c>
    </row>
    <row r="42" spans="1:26">
      <c r="A42" t="s">
        <v>706</v>
      </c>
      <c r="B42" s="6">
        <v>44287</v>
      </c>
      <c r="C42" s="6">
        <v>44651</v>
      </c>
      <c r="D42">
        <v>20210401</v>
      </c>
      <c r="E42">
        <v>20220331</v>
      </c>
      <c r="F42" t="s">
        <v>855</v>
      </c>
      <c r="G42" t="s">
        <v>856</v>
      </c>
      <c r="H42" t="s">
        <v>613</v>
      </c>
      <c r="I42" t="s">
        <v>837</v>
      </c>
      <c r="J42">
        <v>986.43499999999995</v>
      </c>
      <c r="K42">
        <v>1304406.54</v>
      </c>
      <c r="L42">
        <v>4761.6000000000004</v>
      </c>
      <c r="M42">
        <v>7422886.5199999996</v>
      </c>
      <c r="N42">
        <v>-4384.42</v>
      </c>
      <c r="O42">
        <v>-6391705.1799999997</v>
      </c>
      <c r="P42">
        <v>73.614999999999995</v>
      </c>
      <c r="Q42">
        <v>123680.38</v>
      </c>
      <c r="R42">
        <v>-130</v>
      </c>
      <c r="S42">
        <v>-169164.65</v>
      </c>
      <c r="V42">
        <v>-990</v>
      </c>
      <c r="W42">
        <v>-1431050.74</v>
      </c>
      <c r="X42">
        <v>317.23</v>
      </c>
      <c r="Y42">
        <v>859052.87</v>
      </c>
      <c r="Z42" s="3">
        <f t="shared" si="0"/>
        <v>1454.02652172854</v>
      </c>
    </row>
    <row r="43" spans="1:26">
      <c r="A43" t="s">
        <v>706</v>
      </c>
      <c r="B43" s="6">
        <v>44287</v>
      </c>
      <c r="C43" s="6">
        <v>44651</v>
      </c>
      <c r="D43">
        <v>20210401</v>
      </c>
      <c r="E43">
        <v>20220331</v>
      </c>
      <c r="F43" t="s">
        <v>857</v>
      </c>
      <c r="G43" t="s">
        <v>858</v>
      </c>
      <c r="H43" t="s">
        <v>613</v>
      </c>
      <c r="I43" t="s">
        <v>837</v>
      </c>
      <c r="L43">
        <v>2850</v>
      </c>
      <c r="M43">
        <v>4601874.74</v>
      </c>
      <c r="N43">
        <v>-2580.9670000000001</v>
      </c>
      <c r="O43">
        <v>-4164262.21</v>
      </c>
      <c r="P43">
        <v>6.2</v>
      </c>
      <c r="Q43">
        <v>9889.91</v>
      </c>
      <c r="V43">
        <v>-160</v>
      </c>
      <c r="W43">
        <v>-259557.9</v>
      </c>
      <c r="X43">
        <v>115.233</v>
      </c>
      <c r="Y43">
        <v>187944.54</v>
      </c>
      <c r="Z43" s="3">
        <f t="shared" si="0"/>
        <v>1613.4944637708963</v>
      </c>
    </row>
    <row r="44" spans="1:26">
      <c r="A44" t="s">
        <v>706</v>
      </c>
      <c r="B44" s="6">
        <v>44287</v>
      </c>
      <c r="C44" s="6">
        <v>44651</v>
      </c>
      <c r="D44">
        <v>20210401</v>
      </c>
      <c r="E44">
        <v>20220331</v>
      </c>
      <c r="F44" t="s">
        <v>859</v>
      </c>
      <c r="G44" t="s">
        <v>860</v>
      </c>
      <c r="H44" t="s">
        <v>613</v>
      </c>
      <c r="I44" t="s">
        <v>837</v>
      </c>
      <c r="L44">
        <v>900</v>
      </c>
      <c r="M44">
        <v>1472000</v>
      </c>
      <c r="N44">
        <v>-811.45</v>
      </c>
      <c r="O44">
        <v>-1323769.75</v>
      </c>
      <c r="P44">
        <v>1.45</v>
      </c>
      <c r="Q44">
        <v>2414.34</v>
      </c>
      <c r="R44">
        <v>-90</v>
      </c>
      <c r="S44">
        <v>-146053.38</v>
      </c>
      <c r="W44">
        <v>-4591.28</v>
      </c>
      <c r="Y44">
        <v>-7.0000000000000007E-2</v>
      </c>
      <c r="Z44" s="3">
        <f t="shared" si="0"/>
        <v>1631.3029753086419</v>
      </c>
    </row>
    <row r="45" spans="1:26">
      <c r="A45" t="s">
        <v>706</v>
      </c>
      <c r="B45" s="6">
        <v>44287</v>
      </c>
      <c r="C45" s="6">
        <v>44651</v>
      </c>
      <c r="D45">
        <v>20210401</v>
      </c>
      <c r="E45">
        <v>20220331</v>
      </c>
      <c r="F45" t="s">
        <v>861</v>
      </c>
      <c r="G45" t="s">
        <v>862</v>
      </c>
      <c r="H45" t="s">
        <v>613</v>
      </c>
      <c r="I45" t="s">
        <v>837</v>
      </c>
      <c r="J45">
        <v>1.56</v>
      </c>
      <c r="K45">
        <v>1002.56</v>
      </c>
      <c r="X45">
        <v>1.56</v>
      </c>
      <c r="Y45">
        <v>1002.56</v>
      </c>
      <c r="Z45" s="3">
        <f t="shared" si="0"/>
        <v>642.66666666666663</v>
      </c>
    </row>
    <row r="46" spans="1:26">
      <c r="A46" t="s">
        <v>706</v>
      </c>
      <c r="B46" s="6">
        <v>44287</v>
      </c>
      <c r="C46" s="6">
        <v>44651</v>
      </c>
      <c r="D46">
        <v>20210401</v>
      </c>
      <c r="E46">
        <v>20220331</v>
      </c>
      <c r="F46" t="s">
        <v>863</v>
      </c>
      <c r="G46" t="s">
        <v>864</v>
      </c>
      <c r="H46" t="s">
        <v>613</v>
      </c>
      <c r="I46" t="s">
        <v>837</v>
      </c>
      <c r="J46">
        <v>1.37</v>
      </c>
      <c r="K46">
        <v>1851.02</v>
      </c>
      <c r="X46">
        <v>1.37</v>
      </c>
      <c r="Y46">
        <v>1851.02</v>
      </c>
      <c r="Z46" s="3">
        <f t="shared" si="0"/>
        <v>1351.1094890510947</v>
      </c>
    </row>
    <row r="47" spans="1:26">
      <c r="A47" t="s">
        <v>706</v>
      </c>
      <c r="B47" s="6">
        <v>44287</v>
      </c>
      <c r="C47" s="6">
        <v>44651</v>
      </c>
      <c r="D47">
        <v>20210401</v>
      </c>
      <c r="E47">
        <v>20220331</v>
      </c>
      <c r="F47" t="s">
        <v>865</v>
      </c>
      <c r="G47" t="s">
        <v>866</v>
      </c>
      <c r="H47" t="s">
        <v>613</v>
      </c>
      <c r="I47" t="s">
        <v>837</v>
      </c>
      <c r="J47">
        <v>8.7200000000000006</v>
      </c>
      <c r="K47">
        <v>19036.080000000002</v>
      </c>
      <c r="L47">
        <v>49</v>
      </c>
      <c r="M47">
        <v>129600</v>
      </c>
      <c r="N47">
        <v>-12.4</v>
      </c>
      <c r="O47">
        <v>-27867.34</v>
      </c>
      <c r="P47">
        <v>0.99</v>
      </c>
      <c r="Q47">
        <v>2537.88</v>
      </c>
      <c r="X47">
        <v>46.31</v>
      </c>
      <c r="Y47">
        <v>123306.62</v>
      </c>
      <c r="Z47" s="3">
        <f t="shared" si="0"/>
        <v>2219.9351446099913</v>
      </c>
    </row>
    <row r="48" spans="1:26">
      <c r="A48" t="s">
        <v>706</v>
      </c>
      <c r="B48" s="6">
        <v>44287</v>
      </c>
      <c r="C48" s="6">
        <v>44651</v>
      </c>
      <c r="D48">
        <v>20210401</v>
      </c>
      <c r="E48">
        <v>20220331</v>
      </c>
      <c r="F48" t="s">
        <v>867</v>
      </c>
      <c r="G48" t="s">
        <v>868</v>
      </c>
      <c r="H48" t="s">
        <v>613</v>
      </c>
      <c r="I48" t="s">
        <v>837</v>
      </c>
      <c r="J48">
        <v>10.8</v>
      </c>
      <c r="K48">
        <v>2618.7800000000002</v>
      </c>
      <c r="X48">
        <v>10.8</v>
      </c>
      <c r="Y48">
        <v>2618.7800000000002</v>
      </c>
      <c r="Z48" s="3">
        <f t="shared" si="0"/>
        <v>242.47962962962964</v>
      </c>
    </row>
    <row r="49" spans="1:26">
      <c r="A49" t="s">
        <v>706</v>
      </c>
      <c r="B49" s="6">
        <v>44287</v>
      </c>
      <c r="C49" s="6">
        <v>44651</v>
      </c>
      <c r="D49">
        <v>20210401</v>
      </c>
      <c r="E49">
        <v>20220331</v>
      </c>
      <c r="F49" t="s">
        <v>869</v>
      </c>
      <c r="G49" t="s">
        <v>870</v>
      </c>
      <c r="H49" t="s">
        <v>613</v>
      </c>
      <c r="I49" t="s">
        <v>837</v>
      </c>
      <c r="J49">
        <v>6149.2</v>
      </c>
      <c r="K49">
        <v>350504.4</v>
      </c>
      <c r="L49">
        <v>29700</v>
      </c>
      <c r="M49">
        <v>2011000</v>
      </c>
      <c r="N49">
        <v>-36077.31</v>
      </c>
      <c r="O49">
        <v>-2376523.73</v>
      </c>
      <c r="P49">
        <v>329.4</v>
      </c>
      <c r="Q49">
        <v>22108.560000000001</v>
      </c>
      <c r="X49">
        <v>101.29</v>
      </c>
      <c r="Y49">
        <v>7089.23</v>
      </c>
      <c r="Z49" s="3">
        <f t="shared" si="0"/>
        <v>65.861617364483692</v>
      </c>
    </row>
    <row r="50" spans="1:26">
      <c r="A50" t="s">
        <v>706</v>
      </c>
      <c r="B50" s="6">
        <v>44287</v>
      </c>
      <c r="C50" s="6">
        <v>44651</v>
      </c>
      <c r="D50">
        <v>20210401</v>
      </c>
      <c r="E50">
        <v>20220331</v>
      </c>
      <c r="F50" t="s">
        <v>871</v>
      </c>
      <c r="G50" t="s">
        <v>872</v>
      </c>
      <c r="H50" t="s">
        <v>613</v>
      </c>
      <c r="I50" t="s">
        <v>837</v>
      </c>
      <c r="L50">
        <v>668.8</v>
      </c>
      <c r="M50">
        <v>48822.400000000001</v>
      </c>
      <c r="N50">
        <v>-672.08</v>
      </c>
      <c r="O50">
        <v>-49061.84</v>
      </c>
      <c r="P50">
        <v>3.28</v>
      </c>
      <c r="Q50">
        <v>239.44</v>
      </c>
      <c r="Z50" s="3">
        <f t="shared" si="0"/>
        <v>72.999999999999986</v>
      </c>
    </row>
    <row r="51" spans="1:26" hidden="1">
      <c r="A51" t="s">
        <v>706</v>
      </c>
      <c r="B51" s="6">
        <v>44287</v>
      </c>
      <c r="C51" s="6">
        <v>44651</v>
      </c>
      <c r="D51">
        <v>20210401</v>
      </c>
      <c r="E51">
        <v>20220331</v>
      </c>
      <c r="F51" t="s">
        <v>873</v>
      </c>
      <c r="G51" t="s">
        <v>874</v>
      </c>
      <c r="H51" t="s">
        <v>613</v>
      </c>
      <c r="I51" t="s">
        <v>875</v>
      </c>
      <c r="J51">
        <v>58</v>
      </c>
      <c r="K51">
        <v>18883.54</v>
      </c>
      <c r="N51">
        <v>-58</v>
      </c>
      <c r="O51">
        <v>-18883.54</v>
      </c>
      <c r="Z51" s="3">
        <f t="shared" si="0"/>
        <v>325.57827586206901</v>
      </c>
    </row>
    <row r="52" spans="1:26">
      <c r="A52" t="s">
        <v>706</v>
      </c>
      <c r="B52" s="6">
        <v>44287</v>
      </c>
      <c r="C52" s="6">
        <v>44651</v>
      </c>
      <c r="D52">
        <v>20210401</v>
      </c>
      <c r="E52">
        <v>20220331</v>
      </c>
      <c r="F52" t="s">
        <v>876</v>
      </c>
      <c r="G52" t="s">
        <v>877</v>
      </c>
      <c r="H52" t="s">
        <v>613</v>
      </c>
      <c r="I52" t="s">
        <v>878</v>
      </c>
      <c r="K52">
        <v>0.26</v>
      </c>
      <c r="L52">
        <v>105635.75</v>
      </c>
      <c r="M52">
        <v>95.95</v>
      </c>
      <c r="N52">
        <v>-93610.725999999995</v>
      </c>
      <c r="O52">
        <v>-127.62</v>
      </c>
      <c r="P52">
        <v>215.21899999999999</v>
      </c>
      <c r="Q52">
        <v>-0.28000000000000003</v>
      </c>
      <c r="X52">
        <v>12240.243</v>
      </c>
      <c r="Y52">
        <v>-31.69</v>
      </c>
      <c r="Z52" s="3">
        <f t="shared" si="0"/>
        <v>1.3694448920331898E-3</v>
      </c>
    </row>
    <row r="53" spans="1:26">
      <c r="A53" t="s">
        <v>706</v>
      </c>
      <c r="B53" s="6">
        <v>44287</v>
      </c>
      <c r="C53" s="6">
        <v>44651</v>
      </c>
      <c r="D53">
        <v>20210401</v>
      </c>
      <c r="E53">
        <v>20220331</v>
      </c>
      <c r="F53" t="s">
        <v>879</v>
      </c>
      <c r="G53" t="s">
        <v>880</v>
      </c>
      <c r="H53" t="s">
        <v>613</v>
      </c>
      <c r="I53" t="s">
        <v>878</v>
      </c>
      <c r="J53">
        <v>414.71</v>
      </c>
      <c r="K53">
        <v>463967.3</v>
      </c>
      <c r="X53">
        <v>414.71</v>
      </c>
      <c r="Y53">
        <v>463967.3</v>
      </c>
      <c r="Z53" s="3">
        <f t="shared" si="0"/>
        <v>1118.7752887559982</v>
      </c>
    </row>
    <row r="54" spans="1:26">
      <c r="A54" t="s">
        <v>706</v>
      </c>
      <c r="B54" s="6">
        <v>44287</v>
      </c>
      <c r="C54" s="6">
        <v>44651</v>
      </c>
      <c r="D54">
        <v>20210401</v>
      </c>
      <c r="E54">
        <v>20220331</v>
      </c>
      <c r="F54" t="s">
        <v>881</v>
      </c>
      <c r="G54" t="s">
        <v>882</v>
      </c>
      <c r="H54" t="s">
        <v>613</v>
      </c>
      <c r="I54" t="s">
        <v>837</v>
      </c>
      <c r="J54">
        <v>250.88</v>
      </c>
      <c r="K54">
        <v>15052.8</v>
      </c>
      <c r="L54">
        <v>3610</v>
      </c>
      <c r="M54">
        <v>268480</v>
      </c>
      <c r="N54">
        <v>-4163.7539999999999</v>
      </c>
      <c r="O54">
        <v>-306070.36</v>
      </c>
      <c r="P54">
        <v>341.50599999999997</v>
      </c>
      <c r="Q54">
        <v>26109.59</v>
      </c>
      <c r="X54">
        <v>38.631999999999998</v>
      </c>
      <c r="Y54">
        <v>3572.03</v>
      </c>
      <c r="Z54" s="3">
        <f t="shared" si="0"/>
        <v>73.24505631241091</v>
      </c>
    </row>
    <row r="55" spans="1:26">
      <c r="A55" t="s">
        <v>706</v>
      </c>
      <c r="B55" s="6">
        <v>44287</v>
      </c>
      <c r="C55" s="6">
        <v>44651</v>
      </c>
      <c r="D55">
        <v>20210401</v>
      </c>
      <c r="E55">
        <v>20220331</v>
      </c>
      <c r="F55" t="s">
        <v>883</v>
      </c>
      <c r="G55" t="s">
        <v>850</v>
      </c>
      <c r="H55" t="s">
        <v>613</v>
      </c>
      <c r="I55" t="s">
        <v>837</v>
      </c>
      <c r="L55">
        <v>500</v>
      </c>
      <c r="M55">
        <v>155500</v>
      </c>
      <c r="X55">
        <v>500</v>
      </c>
      <c r="Y55">
        <v>155500</v>
      </c>
      <c r="Z55" s="3">
        <f t="shared" si="0"/>
        <v>311</v>
      </c>
    </row>
    <row r="56" spans="1:26">
      <c r="A56" t="s">
        <v>706</v>
      </c>
      <c r="B56" s="6">
        <v>44287</v>
      </c>
      <c r="C56" s="6">
        <v>44651</v>
      </c>
      <c r="D56">
        <v>20210401</v>
      </c>
      <c r="E56">
        <v>20220331</v>
      </c>
      <c r="F56" t="s">
        <v>884</v>
      </c>
      <c r="G56" t="s">
        <v>885</v>
      </c>
      <c r="H56" t="s">
        <v>613</v>
      </c>
      <c r="I56" t="s">
        <v>837</v>
      </c>
      <c r="J56">
        <v>39</v>
      </c>
      <c r="K56">
        <v>7799.61</v>
      </c>
      <c r="X56">
        <v>39</v>
      </c>
      <c r="Y56">
        <v>7799.61</v>
      </c>
      <c r="Z56" s="3">
        <f t="shared" si="0"/>
        <v>199.98999999999998</v>
      </c>
    </row>
    <row r="57" spans="1:26">
      <c r="A57" t="s">
        <v>706</v>
      </c>
      <c r="B57" s="6">
        <v>44287</v>
      </c>
      <c r="C57" s="6">
        <v>44651</v>
      </c>
      <c r="D57">
        <v>20210401</v>
      </c>
      <c r="E57">
        <v>20220331</v>
      </c>
      <c r="F57" t="s">
        <v>886</v>
      </c>
      <c r="G57" t="s">
        <v>887</v>
      </c>
      <c r="H57" t="s">
        <v>613</v>
      </c>
      <c r="I57" t="s">
        <v>837</v>
      </c>
      <c r="J57">
        <v>1692.26</v>
      </c>
      <c r="K57">
        <v>360899.42</v>
      </c>
      <c r="L57">
        <v>11859.2</v>
      </c>
      <c r="M57">
        <v>3874565.01</v>
      </c>
      <c r="N57">
        <v>-12733.31</v>
      </c>
      <c r="O57">
        <v>-3930264.42</v>
      </c>
      <c r="P57">
        <v>113.65</v>
      </c>
      <c r="Q57">
        <v>37929.32</v>
      </c>
      <c r="X57">
        <v>931.8</v>
      </c>
      <c r="Y57">
        <v>343129.33</v>
      </c>
      <c r="Z57" s="3">
        <f t="shared" si="0"/>
        <v>308.43422881440546</v>
      </c>
    </row>
    <row r="58" spans="1:26">
      <c r="A58" t="s">
        <v>706</v>
      </c>
      <c r="B58" s="6">
        <v>44287</v>
      </c>
      <c r="C58" s="6">
        <v>44651</v>
      </c>
      <c r="D58">
        <v>20210401</v>
      </c>
      <c r="E58">
        <v>20220331</v>
      </c>
      <c r="F58" t="s">
        <v>888</v>
      </c>
      <c r="G58" t="s">
        <v>889</v>
      </c>
      <c r="H58" t="s">
        <v>613</v>
      </c>
      <c r="I58" t="s">
        <v>837</v>
      </c>
      <c r="J58">
        <v>915.6</v>
      </c>
      <c r="K58">
        <v>160200.75</v>
      </c>
      <c r="L58">
        <v>37697.4</v>
      </c>
      <c r="M58">
        <v>10309942.01</v>
      </c>
      <c r="N58">
        <v>-34416.730000000003</v>
      </c>
      <c r="O58">
        <v>-9294464.9199999999</v>
      </c>
      <c r="P58">
        <v>276.97699999999998</v>
      </c>
      <c r="Q58">
        <v>78139.08</v>
      </c>
      <c r="R58">
        <v>-3422</v>
      </c>
      <c r="S58">
        <v>-894138.57</v>
      </c>
      <c r="X58">
        <v>1051.2470000000001</v>
      </c>
      <c r="Y58">
        <v>359678.35</v>
      </c>
      <c r="Z58" s="3">
        <f t="shared" si="0"/>
        <v>269.9587732811072</v>
      </c>
    </row>
    <row r="59" spans="1:26">
      <c r="A59" t="s">
        <v>706</v>
      </c>
      <c r="B59" s="6">
        <v>44287</v>
      </c>
      <c r="C59" s="6">
        <v>44651</v>
      </c>
      <c r="D59">
        <v>20210401</v>
      </c>
      <c r="E59">
        <v>20220331</v>
      </c>
      <c r="F59" t="s">
        <v>890</v>
      </c>
      <c r="G59" t="s">
        <v>891</v>
      </c>
      <c r="H59" t="s">
        <v>613</v>
      </c>
      <c r="I59" t="s">
        <v>837</v>
      </c>
      <c r="J59">
        <v>3.72</v>
      </c>
      <c r="K59">
        <v>120.97</v>
      </c>
      <c r="L59">
        <v>160</v>
      </c>
      <c r="M59">
        <v>4600</v>
      </c>
      <c r="N59">
        <v>-121.123</v>
      </c>
      <c r="O59">
        <v>-3517.35</v>
      </c>
      <c r="P59">
        <v>0.48</v>
      </c>
      <c r="Q59">
        <v>14.66</v>
      </c>
      <c r="R59">
        <v>-6</v>
      </c>
      <c r="S59">
        <v>-180.08</v>
      </c>
      <c r="X59">
        <v>37.076999999999998</v>
      </c>
      <c r="Y59">
        <v>1038.2</v>
      </c>
      <c r="Z59" s="3">
        <f t="shared" si="0"/>
        <v>29.033512097676617</v>
      </c>
    </row>
    <row r="60" spans="1:26">
      <c r="A60" t="s">
        <v>706</v>
      </c>
      <c r="B60" s="6">
        <v>44287</v>
      </c>
      <c r="C60" s="6">
        <v>44651</v>
      </c>
      <c r="D60">
        <v>20210401</v>
      </c>
      <c r="E60">
        <v>20220331</v>
      </c>
      <c r="F60" t="s">
        <v>892</v>
      </c>
      <c r="G60" t="s">
        <v>893</v>
      </c>
      <c r="H60" t="s">
        <v>613</v>
      </c>
      <c r="I60" t="s">
        <v>837</v>
      </c>
      <c r="L60">
        <v>19.5</v>
      </c>
      <c r="M60">
        <v>1888.77</v>
      </c>
      <c r="X60">
        <v>19.5</v>
      </c>
      <c r="Y60">
        <v>1888.77</v>
      </c>
      <c r="Z60" s="3">
        <f t="shared" si="0"/>
        <v>96.86</v>
      </c>
    </row>
    <row r="61" spans="1:26">
      <c r="A61" t="s">
        <v>706</v>
      </c>
      <c r="B61" s="6">
        <v>44287</v>
      </c>
      <c r="C61" s="6">
        <v>44651</v>
      </c>
      <c r="D61">
        <v>20210401</v>
      </c>
      <c r="E61">
        <v>20220331</v>
      </c>
      <c r="F61" t="s">
        <v>894</v>
      </c>
      <c r="G61" t="s">
        <v>895</v>
      </c>
      <c r="H61" t="s">
        <v>613</v>
      </c>
      <c r="I61" t="s">
        <v>837</v>
      </c>
      <c r="J61">
        <v>252</v>
      </c>
      <c r="K61">
        <v>320335.98</v>
      </c>
      <c r="L61">
        <v>2916</v>
      </c>
      <c r="M61">
        <v>6008082.5</v>
      </c>
      <c r="N61">
        <v>-3007.9029999999998</v>
      </c>
      <c r="O61">
        <v>-5962724.1299999999</v>
      </c>
      <c r="P61">
        <v>50.604999999999997</v>
      </c>
      <c r="Q61">
        <v>103388.52</v>
      </c>
      <c r="R61">
        <v>-64</v>
      </c>
      <c r="S61">
        <v>-133768.53</v>
      </c>
      <c r="X61">
        <v>146.702</v>
      </c>
      <c r="Y61">
        <v>335314.34000000003</v>
      </c>
      <c r="Z61" s="3">
        <f t="shared" si="0"/>
        <v>1981.3138919378434</v>
      </c>
    </row>
    <row r="62" spans="1:26">
      <c r="A62" t="s">
        <v>706</v>
      </c>
      <c r="B62" s="6">
        <v>44287</v>
      </c>
      <c r="C62" s="6">
        <v>44651</v>
      </c>
      <c r="D62">
        <v>20210401</v>
      </c>
      <c r="E62">
        <v>20220331</v>
      </c>
      <c r="F62" t="s">
        <v>896</v>
      </c>
      <c r="G62" t="s">
        <v>897</v>
      </c>
      <c r="H62" t="s">
        <v>613</v>
      </c>
      <c r="I62" t="s">
        <v>837</v>
      </c>
      <c r="L62">
        <v>150</v>
      </c>
      <c r="M62">
        <v>15700</v>
      </c>
      <c r="N62">
        <v>-100.245</v>
      </c>
      <c r="O62">
        <v>-10476.65</v>
      </c>
      <c r="P62">
        <v>5.4450000000000003</v>
      </c>
      <c r="Q62">
        <v>572.66999999999996</v>
      </c>
      <c r="X62">
        <v>55.2</v>
      </c>
      <c r="Y62">
        <v>5796.02</v>
      </c>
      <c r="Z62" s="3">
        <f t="shared" si="0"/>
        <v>104.47236286919829</v>
      </c>
    </row>
    <row r="63" spans="1:26">
      <c r="A63" t="s">
        <v>706</v>
      </c>
      <c r="B63" s="6">
        <v>44287</v>
      </c>
      <c r="C63" s="6">
        <v>44651</v>
      </c>
      <c r="D63">
        <v>20210401</v>
      </c>
      <c r="E63">
        <v>20220331</v>
      </c>
      <c r="F63" t="s">
        <v>898</v>
      </c>
      <c r="G63" t="s">
        <v>899</v>
      </c>
      <c r="H63" t="s">
        <v>613</v>
      </c>
      <c r="I63" t="s">
        <v>837</v>
      </c>
      <c r="J63">
        <v>60.48</v>
      </c>
      <c r="K63">
        <v>128528.98</v>
      </c>
      <c r="L63">
        <v>204</v>
      </c>
      <c r="M63">
        <v>528398.48</v>
      </c>
      <c r="N63">
        <v>-250.48500000000001</v>
      </c>
      <c r="O63">
        <v>-620093.16</v>
      </c>
      <c r="P63">
        <v>1.4550000000000001</v>
      </c>
      <c r="Q63">
        <v>3317.87</v>
      </c>
      <c r="X63">
        <v>15.45</v>
      </c>
      <c r="Y63">
        <v>40152.17</v>
      </c>
      <c r="Z63" s="3">
        <f t="shared" si="0"/>
        <v>2476.7107978958361</v>
      </c>
    </row>
    <row r="64" spans="1:26">
      <c r="A64" t="s">
        <v>706</v>
      </c>
      <c r="B64" s="6">
        <v>44287</v>
      </c>
      <c r="C64" s="6">
        <v>44651</v>
      </c>
      <c r="D64">
        <v>20210401</v>
      </c>
      <c r="E64">
        <v>20220331</v>
      </c>
      <c r="F64" t="s">
        <v>900</v>
      </c>
      <c r="G64" t="s">
        <v>901</v>
      </c>
      <c r="H64" t="s">
        <v>613</v>
      </c>
      <c r="I64" t="s">
        <v>837</v>
      </c>
      <c r="J64">
        <v>439.9</v>
      </c>
      <c r="K64">
        <v>58803.6</v>
      </c>
      <c r="L64">
        <v>667</v>
      </c>
      <c r="M64">
        <v>225110</v>
      </c>
      <c r="N64">
        <v>-864.47500000000002</v>
      </c>
      <c r="O64">
        <v>-197386.42</v>
      </c>
      <c r="P64">
        <v>23.93</v>
      </c>
      <c r="Q64">
        <v>4715.05</v>
      </c>
      <c r="X64">
        <v>266.35500000000002</v>
      </c>
      <c r="Y64">
        <v>91242.23</v>
      </c>
      <c r="Z64" s="3">
        <f t="shared" si="0"/>
        <v>229.2219571825423</v>
      </c>
    </row>
    <row r="65" spans="1:26">
      <c r="A65" t="s">
        <v>706</v>
      </c>
      <c r="B65" s="6">
        <v>44287</v>
      </c>
      <c r="C65" s="6">
        <v>44651</v>
      </c>
      <c r="D65">
        <v>20210401</v>
      </c>
      <c r="E65">
        <v>20220331</v>
      </c>
      <c r="F65" t="s">
        <v>902</v>
      </c>
      <c r="G65" t="s">
        <v>903</v>
      </c>
      <c r="H65" t="s">
        <v>613</v>
      </c>
      <c r="I65" t="s">
        <v>837</v>
      </c>
      <c r="J65">
        <v>647.16</v>
      </c>
      <c r="K65">
        <v>70253.820000000007</v>
      </c>
      <c r="L65">
        <v>9028.5</v>
      </c>
      <c r="M65">
        <v>1568969.18</v>
      </c>
      <c r="N65">
        <v>-8448.7199999999993</v>
      </c>
      <c r="O65">
        <v>-1408335.1</v>
      </c>
      <c r="P65">
        <v>75.962999999999994</v>
      </c>
      <c r="Q65">
        <v>11829.92</v>
      </c>
      <c r="R65">
        <v>-550</v>
      </c>
      <c r="S65">
        <v>-85809.17</v>
      </c>
      <c r="X65">
        <v>752.90300000000002</v>
      </c>
      <c r="Y65">
        <v>156908.65</v>
      </c>
      <c r="Z65" s="3">
        <f t="shared" si="0"/>
        <v>166.79155742845521</v>
      </c>
    </row>
    <row r="66" spans="1:26">
      <c r="A66" t="s">
        <v>706</v>
      </c>
      <c r="B66" s="6">
        <v>44287</v>
      </c>
      <c r="C66" s="6">
        <v>44651</v>
      </c>
      <c r="D66">
        <v>20210401</v>
      </c>
      <c r="E66">
        <v>20220331</v>
      </c>
      <c r="F66" t="s">
        <v>904</v>
      </c>
      <c r="G66" t="s">
        <v>905</v>
      </c>
      <c r="H66" t="s">
        <v>613</v>
      </c>
      <c r="I66" t="s">
        <v>837</v>
      </c>
      <c r="J66">
        <v>47.33</v>
      </c>
      <c r="K66">
        <v>4024.23</v>
      </c>
      <c r="X66">
        <v>47.33</v>
      </c>
      <c r="Y66">
        <v>4024.23</v>
      </c>
      <c r="Z66" s="3">
        <f t="shared" si="0"/>
        <v>85.024931333192484</v>
      </c>
    </row>
    <row r="67" spans="1:26">
      <c r="A67" t="s">
        <v>706</v>
      </c>
      <c r="B67" s="6">
        <v>44287</v>
      </c>
      <c r="C67" s="6">
        <v>44651</v>
      </c>
      <c r="D67">
        <v>20210401</v>
      </c>
      <c r="E67">
        <v>20220331</v>
      </c>
      <c r="F67" t="s">
        <v>906</v>
      </c>
      <c r="G67" t="s">
        <v>907</v>
      </c>
      <c r="H67" t="s">
        <v>613</v>
      </c>
      <c r="I67" t="s">
        <v>837</v>
      </c>
      <c r="J67">
        <v>44</v>
      </c>
      <c r="K67">
        <v>3748.36</v>
      </c>
      <c r="X67">
        <v>44</v>
      </c>
      <c r="Y67">
        <v>3748.36</v>
      </c>
      <c r="Z67" s="3">
        <f t="shared" ref="Z67:Z130" si="1">IFERROR((O67+Q67)/(N67+P67),Y67/X67)</f>
        <v>85.19</v>
      </c>
    </row>
    <row r="68" spans="1:26">
      <c r="A68" t="s">
        <v>706</v>
      </c>
      <c r="B68" s="6">
        <v>44287</v>
      </c>
      <c r="C68" s="6">
        <v>44651</v>
      </c>
      <c r="D68">
        <v>20210401</v>
      </c>
      <c r="E68">
        <v>20220331</v>
      </c>
      <c r="F68" t="s">
        <v>908</v>
      </c>
      <c r="G68" t="s">
        <v>909</v>
      </c>
      <c r="H68" t="s">
        <v>613</v>
      </c>
      <c r="I68" t="s">
        <v>837</v>
      </c>
      <c r="J68">
        <v>120.68</v>
      </c>
      <c r="K68">
        <v>5930.23</v>
      </c>
      <c r="X68">
        <v>120.68</v>
      </c>
      <c r="Y68">
        <v>5930.23</v>
      </c>
      <c r="Z68" s="3">
        <f t="shared" si="1"/>
        <v>49.140122638382493</v>
      </c>
    </row>
    <row r="69" spans="1:26">
      <c r="A69" t="s">
        <v>706</v>
      </c>
      <c r="B69" s="6">
        <v>44287</v>
      </c>
      <c r="C69" s="6">
        <v>44651</v>
      </c>
      <c r="D69">
        <v>20210401</v>
      </c>
      <c r="E69">
        <v>20220331</v>
      </c>
      <c r="F69" t="s">
        <v>910</v>
      </c>
      <c r="G69" t="s">
        <v>911</v>
      </c>
      <c r="H69" t="s">
        <v>613</v>
      </c>
      <c r="I69" t="s">
        <v>837</v>
      </c>
      <c r="J69">
        <v>40.26</v>
      </c>
      <c r="K69">
        <v>79278.289999999994</v>
      </c>
      <c r="N69">
        <v>-0.78</v>
      </c>
      <c r="O69">
        <v>-1535.91</v>
      </c>
      <c r="P69">
        <v>0.12</v>
      </c>
      <c r="Q69">
        <v>236.29</v>
      </c>
      <c r="X69">
        <v>39.6</v>
      </c>
      <c r="Y69">
        <v>77978.67</v>
      </c>
      <c r="Z69" s="3">
        <f t="shared" si="1"/>
        <v>1969.1212121212122</v>
      </c>
    </row>
    <row r="70" spans="1:26">
      <c r="A70" t="s">
        <v>706</v>
      </c>
      <c r="B70" s="6">
        <v>44287</v>
      </c>
      <c r="C70" s="6">
        <v>44651</v>
      </c>
      <c r="D70">
        <v>20210401</v>
      </c>
      <c r="E70">
        <v>20220331</v>
      </c>
      <c r="F70" t="s">
        <v>912</v>
      </c>
      <c r="G70" t="s">
        <v>913</v>
      </c>
      <c r="H70" t="s">
        <v>613</v>
      </c>
      <c r="I70" t="s">
        <v>837</v>
      </c>
      <c r="J70">
        <v>45</v>
      </c>
      <c r="K70">
        <v>17558.46</v>
      </c>
      <c r="N70">
        <v>-20.079999999999998</v>
      </c>
      <c r="O70">
        <v>-7835.01</v>
      </c>
      <c r="X70">
        <v>24.92</v>
      </c>
      <c r="Y70">
        <v>9723.4500000000007</v>
      </c>
      <c r="Z70" s="3">
        <f t="shared" si="1"/>
        <v>390.18974103585663</v>
      </c>
    </row>
    <row r="71" spans="1:26">
      <c r="A71" t="s">
        <v>706</v>
      </c>
      <c r="B71" s="6">
        <v>44287</v>
      </c>
      <c r="C71" s="6">
        <v>44651</v>
      </c>
      <c r="D71">
        <v>20210401</v>
      </c>
      <c r="E71">
        <v>20220331</v>
      </c>
      <c r="F71" t="s">
        <v>914</v>
      </c>
      <c r="G71" t="s">
        <v>915</v>
      </c>
      <c r="H71" t="s">
        <v>613</v>
      </c>
      <c r="I71" t="s">
        <v>837</v>
      </c>
      <c r="L71">
        <v>100</v>
      </c>
      <c r="M71">
        <v>37500</v>
      </c>
      <c r="N71">
        <v>-50</v>
      </c>
      <c r="O71">
        <v>-18750</v>
      </c>
      <c r="X71">
        <v>50</v>
      </c>
      <c r="Y71">
        <v>18750</v>
      </c>
      <c r="Z71" s="3">
        <f t="shared" si="1"/>
        <v>375</v>
      </c>
    </row>
    <row r="72" spans="1:26">
      <c r="A72" t="s">
        <v>706</v>
      </c>
      <c r="B72" s="6">
        <v>44287</v>
      </c>
      <c r="C72" s="6">
        <v>44651</v>
      </c>
      <c r="D72">
        <v>20210401</v>
      </c>
      <c r="E72">
        <v>20220331</v>
      </c>
      <c r="F72" t="s">
        <v>916</v>
      </c>
      <c r="G72" t="s">
        <v>917</v>
      </c>
      <c r="H72" t="s">
        <v>613</v>
      </c>
      <c r="I72" t="s">
        <v>837</v>
      </c>
      <c r="J72">
        <v>9.0399999999999991</v>
      </c>
      <c r="K72">
        <v>524.32000000000005</v>
      </c>
      <c r="X72">
        <v>9.0399999999999991</v>
      </c>
      <c r="Y72">
        <v>524.32000000000005</v>
      </c>
      <c r="Z72" s="3">
        <f t="shared" si="1"/>
        <v>58.000000000000014</v>
      </c>
    </row>
    <row r="73" spans="1:26">
      <c r="A73" t="s">
        <v>706</v>
      </c>
      <c r="B73" s="6">
        <v>44287</v>
      </c>
      <c r="C73" s="6">
        <v>44651</v>
      </c>
      <c r="D73">
        <v>20210401</v>
      </c>
      <c r="E73">
        <v>20220331</v>
      </c>
      <c r="F73" t="s">
        <v>918</v>
      </c>
      <c r="G73" t="s">
        <v>919</v>
      </c>
      <c r="H73" t="s">
        <v>613</v>
      </c>
      <c r="I73" t="s">
        <v>846</v>
      </c>
      <c r="J73">
        <v>80</v>
      </c>
      <c r="K73">
        <v>19095.48</v>
      </c>
      <c r="P73">
        <v>1.2</v>
      </c>
      <c r="Q73">
        <v>286.44</v>
      </c>
      <c r="X73">
        <v>81.2</v>
      </c>
      <c r="Y73">
        <v>19381.919999999998</v>
      </c>
      <c r="Z73" s="3">
        <f t="shared" si="1"/>
        <v>238.70000000000002</v>
      </c>
    </row>
    <row r="74" spans="1:26">
      <c r="A74" t="s">
        <v>706</v>
      </c>
      <c r="B74" s="6">
        <v>44287</v>
      </c>
      <c r="C74" s="6">
        <v>44651</v>
      </c>
      <c r="D74">
        <v>20210401</v>
      </c>
      <c r="E74">
        <v>20220331</v>
      </c>
      <c r="F74" t="s">
        <v>920</v>
      </c>
      <c r="G74" t="s">
        <v>921</v>
      </c>
      <c r="H74" t="s">
        <v>613</v>
      </c>
      <c r="I74" t="s">
        <v>837</v>
      </c>
      <c r="L74">
        <v>186049.8</v>
      </c>
      <c r="M74">
        <v>48408149</v>
      </c>
      <c r="N74">
        <v>-186176.67</v>
      </c>
      <c r="O74">
        <v>-48300441.189999998</v>
      </c>
      <c r="P74">
        <v>2368.6999999999998</v>
      </c>
      <c r="Q74">
        <v>587308.4</v>
      </c>
      <c r="R74">
        <v>-236</v>
      </c>
      <c r="S74">
        <v>-51442.080000000002</v>
      </c>
      <c r="X74">
        <v>2005.83</v>
      </c>
      <c r="Y74">
        <v>643574.13</v>
      </c>
      <c r="Z74" s="3">
        <f t="shared" si="1"/>
        <v>259.58141417915664</v>
      </c>
    </row>
    <row r="75" spans="1:26">
      <c r="A75" t="s">
        <v>706</v>
      </c>
      <c r="B75" s="6">
        <v>44287</v>
      </c>
      <c r="C75" s="6">
        <v>44651</v>
      </c>
      <c r="D75">
        <v>20210401</v>
      </c>
      <c r="E75">
        <v>20220331</v>
      </c>
      <c r="F75" t="s">
        <v>922</v>
      </c>
      <c r="G75" t="s">
        <v>923</v>
      </c>
      <c r="H75" t="s">
        <v>613</v>
      </c>
      <c r="I75" t="s">
        <v>846</v>
      </c>
      <c r="J75">
        <v>840.4</v>
      </c>
      <c r="K75">
        <v>55171.31</v>
      </c>
      <c r="N75">
        <v>-28616.6</v>
      </c>
      <c r="O75">
        <v>-1957769.86</v>
      </c>
      <c r="P75">
        <v>42702.235000000001</v>
      </c>
      <c r="Q75">
        <v>3009662.71</v>
      </c>
      <c r="R75">
        <v>-9065</v>
      </c>
      <c r="S75">
        <v>-672351.05</v>
      </c>
      <c r="X75">
        <v>5861.0349999999999</v>
      </c>
      <c r="Y75">
        <v>434713.11</v>
      </c>
      <c r="Z75" s="3">
        <f t="shared" si="1"/>
        <v>74.678411729396629</v>
      </c>
    </row>
    <row r="76" spans="1:26">
      <c r="A76" t="s">
        <v>706</v>
      </c>
      <c r="B76" s="6">
        <v>44287</v>
      </c>
      <c r="C76" s="6">
        <v>44651</v>
      </c>
      <c r="D76">
        <v>20210401</v>
      </c>
      <c r="E76">
        <v>20220331</v>
      </c>
      <c r="F76" t="s">
        <v>924</v>
      </c>
      <c r="G76" t="s">
        <v>925</v>
      </c>
      <c r="H76" t="s">
        <v>613</v>
      </c>
      <c r="I76" t="s">
        <v>846</v>
      </c>
      <c r="J76">
        <v>6952</v>
      </c>
      <c r="K76">
        <v>214725.52</v>
      </c>
      <c r="N76">
        <v>-141728.01</v>
      </c>
      <c r="O76">
        <v>-4633126.33</v>
      </c>
      <c r="P76">
        <v>163561.01</v>
      </c>
      <c r="Q76">
        <v>5542741.1900000004</v>
      </c>
      <c r="R76">
        <v>-28785</v>
      </c>
      <c r="S76">
        <v>-1124342.1000000001</v>
      </c>
      <c r="Y76">
        <v>-1.72</v>
      </c>
      <c r="Z76" s="3">
        <f t="shared" si="1"/>
        <v>41.662385379929482</v>
      </c>
    </row>
    <row r="77" spans="1:26">
      <c r="A77" t="s">
        <v>706</v>
      </c>
      <c r="B77" s="6">
        <v>44287</v>
      </c>
      <c r="C77" s="6">
        <v>44651</v>
      </c>
      <c r="D77">
        <v>20210401</v>
      </c>
      <c r="E77">
        <v>20220331</v>
      </c>
      <c r="F77" t="s">
        <v>926</v>
      </c>
      <c r="G77" t="s">
        <v>927</v>
      </c>
      <c r="H77" t="s">
        <v>613</v>
      </c>
      <c r="I77" t="s">
        <v>846</v>
      </c>
      <c r="J77">
        <v>1956.2</v>
      </c>
      <c r="K77">
        <v>7138.89</v>
      </c>
      <c r="N77">
        <v>-260815.92</v>
      </c>
      <c r="O77">
        <v>-2885665.3</v>
      </c>
      <c r="P77">
        <v>291457.19799999997</v>
      </c>
      <c r="Q77">
        <v>4140457.75</v>
      </c>
      <c r="R77">
        <v>-30910</v>
      </c>
      <c r="S77">
        <v>-1183311.51</v>
      </c>
      <c r="X77">
        <v>1687.4780000000001</v>
      </c>
      <c r="Y77">
        <v>78619.83</v>
      </c>
      <c r="Z77" s="3">
        <f t="shared" si="1"/>
        <v>40.951048125342609</v>
      </c>
    </row>
    <row r="78" spans="1:26">
      <c r="A78" t="s">
        <v>706</v>
      </c>
      <c r="B78" s="6">
        <v>44287</v>
      </c>
      <c r="C78" s="6">
        <v>44651</v>
      </c>
      <c r="D78">
        <v>20210401</v>
      </c>
      <c r="E78">
        <v>20220331</v>
      </c>
      <c r="F78" t="s">
        <v>928</v>
      </c>
      <c r="G78" t="s">
        <v>929</v>
      </c>
      <c r="H78" t="s">
        <v>613</v>
      </c>
      <c r="I78" t="s">
        <v>837</v>
      </c>
      <c r="J78">
        <v>6751.1</v>
      </c>
      <c r="K78">
        <v>285267.03000000003</v>
      </c>
      <c r="L78">
        <v>88385</v>
      </c>
      <c r="M78">
        <v>5346380.5</v>
      </c>
      <c r="N78">
        <v>-95531.95</v>
      </c>
      <c r="O78">
        <v>-5650133.6200000001</v>
      </c>
      <c r="P78">
        <v>581.9</v>
      </c>
      <c r="Q78">
        <v>33227.35</v>
      </c>
      <c r="X78">
        <v>186.05</v>
      </c>
      <c r="Y78">
        <v>14741.26</v>
      </c>
      <c r="Z78" s="3">
        <f t="shared" si="1"/>
        <v>59.156432987660359</v>
      </c>
    </row>
    <row r="79" spans="1:26">
      <c r="A79" t="s">
        <v>706</v>
      </c>
      <c r="B79" s="6">
        <v>44287</v>
      </c>
      <c r="C79" s="6">
        <v>44651</v>
      </c>
      <c r="D79">
        <v>20210401</v>
      </c>
      <c r="E79">
        <v>20220331</v>
      </c>
      <c r="F79" t="s">
        <v>930</v>
      </c>
      <c r="G79" t="s">
        <v>931</v>
      </c>
      <c r="H79" t="s">
        <v>613</v>
      </c>
      <c r="I79" t="s">
        <v>837</v>
      </c>
      <c r="J79">
        <v>10414</v>
      </c>
      <c r="K79">
        <v>1760362.62</v>
      </c>
      <c r="L79">
        <v>54612.45</v>
      </c>
      <c r="M79">
        <v>13683612.76</v>
      </c>
      <c r="N79">
        <v>-64868.12</v>
      </c>
      <c r="O79">
        <v>-15442205.41</v>
      </c>
      <c r="P79">
        <v>1000.66</v>
      </c>
      <c r="Q79">
        <v>233032.01</v>
      </c>
      <c r="R79">
        <v>-1135</v>
      </c>
      <c r="S79">
        <v>-248833.91</v>
      </c>
      <c r="X79">
        <v>23.99</v>
      </c>
      <c r="Y79">
        <v>-14031.93</v>
      </c>
      <c r="Z79" s="3">
        <f t="shared" si="1"/>
        <v>238.13650018334846</v>
      </c>
    </row>
    <row r="80" spans="1:26">
      <c r="A80" t="s">
        <v>706</v>
      </c>
      <c r="B80" s="6">
        <v>44287</v>
      </c>
      <c r="C80" s="6">
        <v>44651</v>
      </c>
      <c r="D80">
        <v>20210401</v>
      </c>
      <c r="E80">
        <v>20220331</v>
      </c>
      <c r="F80" t="s">
        <v>932</v>
      </c>
      <c r="G80" t="s">
        <v>933</v>
      </c>
      <c r="H80" t="s">
        <v>613</v>
      </c>
      <c r="I80" t="s">
        <v>846</v>
      </c>
      <c r="J80">
        <v>3469.2</v>
      </c>
      <c r="K80">
        <v>137996.15</v>
      </c>
      <c r="N80">
        <v>-29804.466</v>
      </c>
      <c r="O80">
        <v>-1285263.6399999999</v>
      </c>
      <c r="P80">
        <v>36714.828000000001</v>
      </c>
      <c r="Q80">
        <v>1613091.54</v>
      </c>
      <c r="R80">
        <v>-7318</v>
      </c>
      <c r="S80">
        <v>-322598.77</v>
      </c>
      <c r="X80">
        <v>3061.5619999999999</v>
      </c>
      <c r="Y80">
        <v>143225.28</v>
      </c>
      <c r="Z80" s="3">
        <f t="shared" si="1"/>
        <v>47.44004727972284</v>
      </c>
    </row>
    <row r="81" spans="1:26">
      <c r="A81" t="s">
        <v>706</v>
      </c>
      <c r="B81" s="6">
        <v>44287</v>
      </c>
      <c r="C81" s="6">
        <v>44651</v>
      </c>
      <c r="D81">
        <v>20210401</v>
      </c>
      <c r="E81">
        <v>20220331</v>
      </c>
      <c r="F81" t="s">
        <v>934</v>
      </c>
      <c r="G81" t="s">
        <v>935</v>
      </c>
      <c r="H81" t="s">
        <v>613</v>
      </c>
      <c r="I81" t="s">
        <v>846</v>
      </c>
      <c r="P81">
        <v>1.2</v>
      </c>
      <c r="Q81">
        <v>24</v>
      </c>
      <c r="X81">
        <v>1.2</v>
      </c>
      <c r="Y81">
        <v>24</v>
      </c>
      <c r="Z81" s="3">
        <f t="shared" si="1"/>
        <v>20</v>
      </c>
    </row>
    <row r="82" spans="1:26">
      <c r="A82" t="s">
        <v>706</v>
      </c>
      <c r="B82" s="6">
        <v>44287</v>
      </c>
      <c r="C82" s="6">
        <v>44651</v>
      </c>
      <c r="D82">
        <v>20210401</v>
      </c>
      <c r="E82">
        <v>20220331</v>
      </c>
      <c r="F82" t="s">
        <v>936</v>
      </c>
      <c r="G82" t="s">
        <v>937</v>
      </c>
      <c r="H82" t="s">
        <v>613</v>
      </c>
      <c r="I82" t="s">
        <v>846</v>
      </c>
      <c r="N82">
        <v>-152</v>
      </c>
      <c r="O82">
        <v>-14591.3</v>
      </c>
      <c r="P82">
        <v>1442.8</v>
      </c>
      <c r="Q82">
        <v>138502.16</v>
      </c>
      <c r="X82">
        <v>1290.8</v>
      </c>
      <c r="Y82">
        <v>123910.86</v>
      </c>
      <c r="Z82" s="3">
        <f t="shared" si="1"/>
        <v>95.995398202665015</v>
      </c>
    </row>
    <row r="83" spans="1:26">
      <c r="A83" t="s">
        <v>706</v>
      </c>
      <c r="B83" s="6">
        <v>44287</v>
      </c>
      <c r="C83" s="6">
        <v>44651</v>
      </c>
      <c r="D83">
        <v>20210401</v>
      </c>
      <c r="E83">
        <v>20220331</v>
      </c>
      <c r="F83" t="s">
        <v>938</v>
      </c>
      <c r="G83" t="s">
        <v>939</v>
      </c>
      <c r="H83" t="s">
        <v>613</v>
      </c>
      <c r="I83" t="s">
        <v>846</v>
      </c>
      <c r="K83">
        <v>0.12</v>
      </c>
      <c r="Y83">
        <v>0.12</v>
      </c>
      <c r="Z83" s="3" t="e">
        <f t="shared" si="1"/>
        <v>#DIV/0!</v>
      </c>
    </row>
    <row r="84" spans="1:26">
      <c r="A84" t="s">
        <v>706</v>
      </c>
      <c r="B84" s="6">
        <v>44287</v>
      </c>
      <c r="C84" s="6">
        <v>44651</v>
      </c>
      <c r="D84">
        <v>20210401</v>
      </c>
      <c r="E84">
        <v>20220331</v>
      </c>
      <c r="F84" t="s">
        <v>940</v>
      </c>
      <c r="G84" t="s">
        <v>941</v>
      </c>
      <c r="H84" t="s">
        <v>613</v>
      </c>
      <c r="I84" t="s">
        <v>837</v>
      </c>
      <c r="J84">
        <v>2312.1999999999998</v>
      </c>
      <c r="K84">
        <v>99424.6</v>
      </c>
      <c r="N84">
        <v>-2312</v>
      </c>
      <c r="O84">
        <v>-99416</v>
      </c>
      <c r="X84">
        <v>0.2</v>
      </c>
      <c r="Y84">
        <v>8.6</v>
      </c>
      <c r="Z84" s="3">
        <f t="shared" si="1"/>
        <v>43</v>
      </c>
    </row>
    <row r="85" spans="1:26">
      <c r="A85" t="s">
        <v>706</v>
      </c>
      <c r="B85" s="6">
        <v>44287</v>
      </c>
      <c r="C85" s="6">
        <v>44651</v>
      </c>
      <c r="D85">
        <v>20210401</v>
      </c>
      <c r="E85">
        <v>20220331</v>
      </c>
      <c r="F85" t="s">
        <v>942</v>
      </c>
      <c r="G85" t="s">
        <v>943</v>
      </c>
      <c r="H85" t="s">
        <v>613</v>
      </c>
      <c r="I85" t="s">
        <v>846</v>
      </c>
      <c r="J85">
        <v>354.2</v>
      </c>
      <c r="K85">
        <v>12312.92</v>
      </c>
      <c r="N85">
        <v>-2204.6</v>
      </c>
      <c r="O85">
        <v>-76637.34</v>
      </c>
      <c r="P85">
        <v>3066.8</v>
      </c>
      <c r="Q85">
        <v>112871.11</v>
      </c>
      <c r="X85">
        <v>1216.4000000000001</v>
      </c>
      <c r="Y85">
        <v>48546.69</v>
      </c>
      <c r="Z85" s="3">
        <f t="shared" si="1"/>
        <v>42.024785432614237</v>
      </c>
    </row>
    <row r="86" spans="1:26">
      <c r="A86" t="s">
        <v>706</v>
      </c>
      <c r="B86" s="6">
        <v>44287</v>
      </c>
      <c r="C86" s="6">
        <v>44651</v>
      </c>
      <c r="D86">
        <v>20210401</v>
      </c>
      <c r="E86">
        <v>20220331</v>
      </c>
      <c r="F86" t="s">
        <v>944</v>
      </c>
      <c r="G86" t="s">
        <v>945</v>
      </c>
      <c r="H86" t="s">
        <v>613</v>
      </c>
      <c r="I86" t="s">
        <v>846</v>
      </c>
      <c r="J86">
        <v>1186</v>
      </c>
      <c r="K86">
        <v>83779.34</v>
      </c>
      <c r="N86">
        <v>-8977.6</v>
      </c>
      <c r="O86">
        <v>-634180.39</v>
      </c>
      <c r="P86">
        <v>11599.7</v>
      </c>
      <c r="Q86">
        <v>819406.22</v>
      </c>
      <c r="R86">
        <v>-1900</v>
      </c>
      <c r="S86">
        <v>-134216.57</v>
      </c>
      <c r="X86">
        <v>1908.1</v>
      </c>
      <c r="Y86">
        <v>134788.6</v>
      </c>
      <c r="Z86" s="3">
        <f t="shared" si="1"/>
        <v>70.640261622363724</v>
      </c>
    </row>
    <row r="87" spans="1:26">
      <c r="A87" t="s">
        <v>706</v>
      </c>
      <c r="B87" s="6">
        <v>44287</v>
      </c>
      <c r="C87" s="6">
        <v>44651</v>
      </c>
      <c r="D87">
        <v>20210401</v>
      </c>
      <c r="E87">
        <v>20220331</v>
      </c>
      <c r="F87" t="s">
        <v>946</v>
      </c>
      <c r="G87" t="s">
        <v>947</v>
      </c>
      <c r="H87" t="s">
        <v>613</v>
      </c>
      <c r="I87" t="s">
        <v>846</v>
      </c>
      <c r="P87">
        <v>0.2</v>
      </c>
      <c r="Q87">
        <v>28.7</v>
      </c>
      <c r="X87">
        <v>0.2</v>
      </c>
      <c r="Y87">
        <v>28.7</v>
      </c>
      <c r="Z87" s="3">
        <f t="shared" si="1"/>
        <v>143.5</v>
      </c>
    </row>
    <row r="88" spans="1:26">
      <c r="A88" t="s">
        <v>706</v>
      </c>
      <c r="B88" s="6">
        <v>44287</v>
      </c>
      <c r="C88" s="6">
        <v>44651</v>
      </c>
      <c r="D88">
        <v>20210401</v>
      </c>
      <c r="E88">
        <v>20220331</v>
      </c>
      <c r="F88" t="s">
        <v>948</v>
      </c>
      <c r="G88" t="s">
        <v>949</v>
      </c>
      <c r="H88" t="s">
        <v>613</v>
      </c>
      <c r="I88" t="s">
        <v>846</v>
      </c>
      <c r="J88">
        <v>93</v>
      </c>
      <c r="K88">
        <v>19272.5</v>
      </c>
      <c r="P88">
        <v>10.214</v>
      </c>
      <c r="Q88">
        <v>2116.66</v>
      </c>
      <c r="X88">
        <v>103.214</v>
      </c>
      <c r="Y88">
        <v>21389.16</v>
      </c>
      <c r="Z88" s="3">
        <f t="shared" si="1"/>
        <v>207.23125122381043</v>
      </c>
    </row>
    <row r="89" spans="1:26">
      <c r="A89" t="s">
        <v>706</v>
      </c>
      <c r="B89" s="6">
        <v>44287</v>
      </c>
      <c r="C89" s="6">
        <v>44651</v>
      </c>
      <c r="D89">
        <v>20210401</v>
      </c>
      <c r="E89">
        <v>20220331</v>
      </c>
      <c r="F89" t="s">
        <v>950</v>
      </c>
      <c r="G89" t="s">
        <v>951</v>
      </c>
      <c r="H89" t="s">
        <v>613</v>
      </c>
      <c r="I89" t="s">
        <v>846</v>
      </c>
      <c r="J89">
        <v>8007.2</v>
      </c>
      <c r="K89">
        <v>1475416.39</v>
      </c>
      <c r="N89">
        <v>-513818.92599999998</v>
      </c>
      <c r="O89">
        <v>-94150896.810000002</v>
      </c>
      <c r="P89">
        <v>527275.875</v>
      </c>
      <c r="Q89">
        <v>96616580.459999993</v>
      </c>
      <c r="V89">
        <v>-15373.47</v>
      </c>
      <c r="W89">
        <v>-2833076.86</v>
      </c>
      <c r="X89">
        <v>6090.6790000000001</v>
      </c>
      <c r="Y89">
        <v>1108023.18</v>
      </c>
      <c r="Z89" s="3">
        <f t="shared" si="1"/>
        <v>183.22753916953889</v>
      </c>
    </row>
    <row r="90" spans="1:26">
      <c r="A90" t="s">
        <v>706</v>
      </c>
      <c r="B90" s="6">
        <v>44287</v>
      </c>
      <c r="C90" s="6">
        <v>44651</v>
      </c>
      <c r="D90">
        <v>20210401</v>
      </c>
      <c r="E90">
        <v>20220331</v>
      </c>
      <c r="F90" t="s">
        <v>952</v>
      </c>
      <c r="G90" t="s">
        <v>953</v>
      </c>
      <c r="H90" t="s">
        <v>613</v>
      </c>
      <c r="I90" t="s">
        <v>837</v>
      </c>
      <c r="J90">
        <v>3494.4</v>
      </c>
      <c r="K90">
        <v>421133.8</v>
      </c>
      <c r="L90">
        <v>189225</v>
      </c>
      <c r="M90">
        <v>33496059.960000001</v>
      </c>
      <c r="N90">
        <v>-178556.65</v>
      </c>
      <c r="O90">
        <v>-31532846.399999999</v>
      </c>
      <c r="P90">
        <v>630.4</v>
      </c>
      <c r="Q90">
        <v>108414.48</v>
      </c>
      <c r="R90">
        <v>-14192</v>
      </c>
      <c r="S90">
        <v>-2407905.4</v>
      </c>
      <c r="X90">
        <v>601.15</v>
      </c>
      <c r="Y90">
        <v>84856.44</v>
      </c>
      <c r="Z90" s="3">
        <f t="shared" si="1"/>
        <v>176.6149284886294</v>
      </c>
    </row>
    <row r="91" spans="1:26">
      <c r="A91" t="s">
        <v>706</v>
      </c>
      <c r="B91" s="6">
        <v>44287</v>
      </c>
      <c r="C91" s="6">
        <v>44651</v>
      </c>
      <c r="D91">
        <v>20210401</v>
      </c>
      <c r="E91">
        <v>20220331</v>
      </c>
      <c r="F91" t="s">
        <v>954</v>
      </c>
      <c r="G91" t="s">
        <v>955</v>
      </c>
      <c r="H91" t="s">
        <v>613</v>
      </c>
      <c r="I91" t="s">
        <v>846</v>
      </c>
      <c r="J91">
        <v>755</v>
      </c>
      <c r="K91">
        <v>99308.13</v>
      </c>
      <c r="N91">
        <v>-284252.766</v>
      </c>
      <c r="O91">
        <v>-36907132.859999999</v>
      </c>
      <c r="P91">
        <v>296402.93300000002</v>
      </c>
      <c r="Q91">
        <v>38443442.189999998</v>
      </c>
      <c r="X91">
        <v>12905.166999999999</v>
      </c>
      <c r="Y91">
        <v>1635617.46</v>
      </c>
      <c r="Z91" s="3">
        <f t="shared" si="1"/>
        <v>126.44347439833511</v>
      </c>
    </row>
    <row r="92" spans="1:26">
      <c r="A92" t="s">
        <v>706</v>
      </c>
      <c r="B92" s="6">
        <v>44287</v>
      </c>
      <c r="C92" s="6">
        <v>44651</v>
      </c>
      <c r="D92">
        <v>20210401</v>
      </c>
      <c r="E92">
        <v>20220331</v>
      </c>
      <c r="F92" t="s">
        <v>956</v>
      </c>
      <c r="G92" t="s">
        <v>957</v>
      </c>
      <c r="H92" t="s">
        <v>613</v>
      </c>
      <c r="I92" t="s">
        <v>846</v>
      </c>
      <c r="J92">
        <v>13771.1</v>
      </c>
      <c r="K92">
        <v>2091045.98</v>
      </c>
      <c r="N92">
        <v>-158490.19</v>
      </c>
      <c r="O92">
        <v>-24295857.07</v>
      </c>
      <c r="P92">
        <v>169375.99100000001</v>
      </c>
      <c r="Q92">
        <v>25983402.120000001</v>
      </c>
      <c r="R92">
        <v>-210</v>
      </c>
      <c r="S92">
        <v>-31887.43</v>
      </c>
      <c r="V92">
        <v>-14744</v>
      </c>
      <c r="W92">
        <v>-2238801.21</v>
      </c>
      <c r="X92">
        <v>9702.9009999999998</v>
      </c>
      <c r="Y92">
        <v>1507902.39</v>
      </c>
      <c r="Z92" s="3">
        <f t="shared" si="1"/>
        <v>155.02258859958948</v>
      </c>
    </row>
    <row r="93" spans="1:26">
      <c r="A93" t="s">
        <v>706</v>
      </c>
      <c r="B93" s="6">
        <v>44287</v>
      </c>
      <c r="C93" s="6">
        <v>44651</v>
      </c>
      <c r="D93">
        <v>20210401</v>
      </c>
      <c r="E93">
        <v>20220331</v>
      </c>
      <c r="F93" t="s">
        <v>958</v>
      </c>
      <c r="G93" t="s">
        <v>959</v>
      </c>
      <c r="H93" t="s">
        <v>613</v>
      </c>
      <c r="I93" t="s">
        <v>846</v>
      </c>
      <c r="J93">
        <v>1806.2</v>
      </c>
      <c r="K93">
        <v>324074.77</v>
      </c>
      <c r="N93">
        <v>-14754.34</v>
      </c>
      <c r="O93">
        <v>-2614475.8199999998</v>
      </c>
      <c r="P93">
        <v>15457.1</v>
      </c>
      <c r="Q93">
        <v>2730880.03</v>
      </c>
      <c r="X93">
        <v>2508.96</v>
      </c>
      <c r="Y93">
        <v>440478.98</v>
      </c>
      <c r="Z93" s="3">
        <f t="shared" si="1"/>
        <v>165.63863908019798</v>
      </c>
    </row>
    <row r="94" spans="1:26">
      <c r="A94" t="s">
        <v>706</v>
      </c>
      <c r="B94" s="6">
        <v>44287</v>
      </c>
      <c r="C94" s="6">
        <v>44651</v>
      </c>
      <c r="D94">
        <v>20210401</v>
      </c>
      <c r="E94">
        <v>20220331</v>
      </c>
      <c r="F94" t="s">
        <v>960</v>
      </c>
      <c r="G94" t="s">
        <v>961</v>
      </c>
      <c r="H94" t="s">
        <v>613</v>
      </c>
      <c r="I94" t="s">
        <v>846</v>
      </c>
      <c r="K94">
        <v>9.7899999999999991</v>
      </c>
      <c r="Y94">
        <v>9.7899999999999991</v>
      </c>
      <c r="Z94" s="3" t="e">
        <f t="shared" si="1"/>
        <v>#DIV/0!</v>
      </c>
    </row>
    <row r="95" spans="1:26">
      <c r="A95" t="s">
        <v>706</v>
      </c>
      <c r="B95" s="6">
        <v>44287</v>
      </c>
      <c r="C95" s="6">
        <v>44651</v>
      </c>
      <c r="D95">
        <v>20210401</v>
      </c>
      <c r="E95">
        <v>20220331</v>
      </c>
      <c r="F95" t="s">
        <v>962</v>
      </c>
      <c r="G95" t="s">
        <v>963</v>
      </c>
      <c r="H95" t="s">
        <v>613</v>
      </c>
      <c r="I95" t="s">
        <v>846</v>
      </c>
      <c r="N95">
        <v>-4011.4</v>
      </c>
      <c r="O95">
        <v>-145647.45000000001</v>
      </c>
      <c r="P95">
        <v>8409.89</v>
      </c>
      <c r="Q95">
        <v>310326.88</v>
      </c>
      <c r="R95">
        <v>-3594</v>
      </c>
      <c r="S95">
        <v>-134559.35999999999</v>
      </c>
      <c r="X95">
        <v>804.49</v>
      </c>
      <c r="Y95">
        <v>30120.07</v>
      </c>
      <c r="Z95" s="3">
        <f t="shared" si="1"/>
        <v>37.439991906313303</v>
      </c>
    </row>
    <row r="96" spans="1:26">
      <c r="A96" t="s">
        <v>706</v>
      </c>
      <c r="B96" s="6">
        <v>44287</v>
      </c>
      <c r="C96" s="6">
        <v>44651</v>
      </c>
      <c r="D96">
        <v>20210401</v>
      </c>
      <c r="E96">
        <v>20220331</v>
      </c>
      <c r="F96" t="s">
        <v>964</v>
      </c>
      <c r="G96" t="s">
        <v>965</v>
      </c>
      <c r="H96" t="s">
        <v>613</v>
      </c>
      <c r="I96" t="s">
        <v>846</v>
      </c>
      <c r="K96">
        <v>0.17</v>
      </c>
      <c r="Y96">
        <v>0.17</v>
      </c>
      <c r="Z96" s="3" t="e">
        <f t="shared" si="1"/>
        <v>#DIV/0!</v>
      </c>
    </row>
    <row r="97" spans="1:26">
      <c r="A97" t="s">
        <v>706</v>
      </c>
      <c r="B97" s="6">
        <v>44287</v>
      </c>
      <c r="C97" s="6">
        <v>44651</v>
      </c>
      <c r="D97">
        <v>20210401</v>
      </c>
      <c r="E97">
        <v>20220331</v>
      </c>
      <c r="F97" t="s">
        <v>966</v>
      </c>
      <c r="G97" t="s">
        <v>967</v>
      </c>
      <c r="H97" t="s">
        <v>613</v>
      </c>
      <c r="I97" t="s">
        <v>846</v>
      </c>
      <c r="J97">
        <v>2868.8</v>
      </c>
      <c r="K97">
        <v>81444.320000000007</v>
      </c>
      <c r="N97">
        <v>-56429.09</v>
      </c>
      <c r="O97">
        <v>-1790577.89</v>
      </c>
      <c r="P97">
        <v>69900.801000000007</v>
      </c>
      <c r="Q97">
        <v>2259784.9300000002</v>
      </c>
      <c r="R97">
        <v>-16010</v>
      </c>
      <c r="S97">
        <v>-538242.97</v>
      </c>
      <c r="X97">
        <v>330.51100000000002</v>
      </c>
      <c r="Y97">
        <v>12408.39</v>
      </c>
      <c r="Z97" s="3">
        <f t="shared" si="1"/>
        <v>34.829060688727651</v>
      </c>
    </row>
    <row r="98" spans="1:26">
      <c r="A98" t="s">
        <v>706</v>
      </c>
      <c r="B98" s="6">
        <v>44287</v>
      </c>
      <c r="C98" s="6">
        <v>44651</v>
      </c>
      <c r="D98">
        <v>20210401</v>
      </c>
      <c r="E98">
        <v>20220331</v>
      </c>
      <c r="F98" t="s">
        <v>968</v>
      </c>
      <c r="G98" t="s">
        <v>969</v>
      </c>
      <c r="H98" t="s">
        <v>613</v>
      </c>
      <c r="I98" t="s">
        <v>846</v>
      </c>
      <c r="J98">
        <v>112</v>
      </c>
      <c r="K98">
        <v>4080.38</v>
      </c>
      <c r="N98">
        <v>-2506.58</v>
      </c>
      <c r="O98">
        <v>-91360.49</v>
      </c>
      <c r="P98">
        <v>4936.7939999999999</v>
      </c>
      <c r="Q98">
        <v>181873.28</v>
      </c>
      <c r="R98">
        <v>-2463</v>
      </c>
      <c r="S98">
        <v>-91367.99</v>
      </c>
      <c r="X98">
        <v>79.213999999999999</v>
      </c>
      <c r="Y98">
        <v>3225.18</v>
      </c>
      <c r="Z98" s="3">
        <f t="shared" si="1"/>
        <v>37.244781735271047</v>
      </c>
    </row>
    <row r="99" spans="1:26">
      <c r="A99" t="s">
        <v>706</v>
      </c>
      <c r="B99" s="6">
        <v>44287</v>
      </c>
      <c r="C99" s="6">
        <v>44651</v>
      </c>
      <c r="D99">
        <v>20210401</v>
      </c>
      <c r="E99">
        <v>20220331</v>
      </c>
      <c r="F99" t="s">
        <v>970</v>
      </c>
      <c r="G99" t="s">
        <v>971</v>
      </c>
      <c r="H99" t="s">
        <v>613</v>
      </c>
      <c r="I99" t="s">
        <v>846</v>
      </c>
      <c r="N99">
        <v>-11</v>
      </c>
      <c r="O99">
        <v>-315.77</v>
      </c>
      <c r="P99">
        <v>11.2</v>
      </c>
      <c r="Q99">
        <v>321.51</v>
      </c>
      <c r="X99">
        <v>0.2</v>
      </c>
      <c r="Y99">
        <v>5.74</v>
      </c>
      <c r="Z99" s="3">
        <f t="shared" si="1"/>
        <v>28.700000000000149</v>
      </c>
    </row>
    <row r="100" spans="1:26">
      <c r="A100" t="s">
        <v>706</v>
      </c>
      <c r="B100" s="6">
        <v>44287</v>
      </c>
      <c r="C100" s="6">
        <v>44651</v>
      </c>
      <c r="D100">
        <v>20210401</v>
      </c>
      <c r="E100">
        <v>20220331</v>
      </c>
      <c r="F100" t="s">
        <v>972</v>
      </c>
      <c r="G100" t="s">
        <v>973</v>
      </c>
      <c r="H100" t="s">
        <v>613</v>
      </c>
      <c r="I100" t="s">
        <v>846</v>
      </c>
      <c r="J100">
        <v>581.58000000000004</v>
      </c>
      <c r="K100">
        <v>53282.11</v>
      </c>
      <c r="N100">
        <v>-581.64</v>
      </c>
      <c r="O100">
        <v>-37482.86</v>
      </c>
      <c r="P100">
        <v>581.70000000000005</v>
      </c>
      <c r="Q100">
        <v>52083.85</v>
      </c>
      <c r="X100">
        <v>581.64</v>
      </c>
      <c r="Y100">
        <v>67883.100000000006</v>
      </c>
      <c r="Z100" s="3">
        <f t="shared" si="1"/>
        <v>243349.83333309353</v>
      </c>
    </row>
    <row r="101" spans="1:26">
      <c r="A101" t="s">
        <v>706</v>
      </c>
      <c r="B101" s="6">
        <v>44287</v>
      </c>
      <c r="C101" s="6">
        <v>44651</v>
      </c>
      <c r="D101">
        <v>20210401</v>
      </c>
      <c r="E101">
        <v>20220331</v>
      </c>
      <c r="F101" t="s">
        <v>974</v>
      </c>
      <c r="G101" t="s">
        <v>975</v>
      </c>
      <c r="H101" t="s">
        <v>613</v>
      </c>
      <c r="I101" t="s">
        <v>846</v>
      </c>
      <c r="K101">
        <v>0.01</v>
      </c>
      <c r="Y101">
        <v>0.01</v>
      </c>
      <c r="Z101" s="3" t="e">
        <f t="shared" si="1"/>
        <v>#DIV/0!</v>
      </c>
    </row>
    <row r="102" spans="1:26">
      <c r="A102" t="s">
        <v>706</v>
      </c>
      <c r="B102" s="6">
        <v>44287</v>
      </c>
      <c r="C102" s="6">
        <v>44651</v>
      </c>
      <c r="D102">
        <v>20210401</v>
      </c>
      <c r="E102">
        <v>20220331</v>
      </c>
      <c r="F102" t="s">
        <v>976</v>
      </c>
      <c r="G102" t="s">
        <v>977</v>
      </c>
      <c r="H102" t="s">
        <v>613</v>
      </c>
      <c r="I102" t="s">
        <v>846</v>
      </c>
      <c r="P102">
        <v>3.4</v>
      </c>
      <c r="X102">
        <v>3.4</v>
      </c>
      <c r="Z102" s="3">
        <f t="shared" si="1"/>
        <v>0</v>
      </c>
    </row>
    <row r="103" spans="1:26">
      <c r="A103" t="s">
        <v>706</v>
      </c>
      <c r="B103" s="6">
        <v>44287</v>
      </c>
      <c r="C103" s="6">
        <v>44651</v>
      </c>
      <c r="D103">
        <v>20210401</v>
      </c>
      <c r="E103">
        <v>20220331</v>
      </c>
      <c r="F103" t="s">
        <v>978</v>
      </c>
      <c r="G103" t="s">
        <v>979</v>
      </c>
      <c r="H103" t="s">
        <v>613</v>
      </c>
      <c r="I103" t="s">
        <v>846</v>
      </c>
      <c r="J103">
        <v>334.8</v>
      </c>
      <c r="K103">
        <v>51702.79</v>
      </c>
      <c r="N103">
        <v>-893.5</v>
      </c>
      <c r="O103">
        <v>-137754.41</v>
      </c>
      <c r="P103">
        <v>1393.6</v>
      </c>
      <c r="Q103">
        <v>232102.26</v>
      </c>
      <c r="X103">
        <v>834.9</v>
      </c>
      <c r="Y103">
        <v>146050.64000000001</v>
      </c>
      <c r="Z103" s="3">
        <f t="shared" si="1"/>
        <v>188.65796840631879</v>
      </c>
    </row>
    <row r="104" spans="1:26">
      <c r="A104" t="s">
        <v>706</v>
      </c>
      <c r="B104" s="6">
        <v>44287</v>
      </c>
      <c r="C104" s="6">
        <v>44651</v>
      </c>
      <c r="D104">
        <v>20210401</v>
      </c>
      <c r="E104">
        <v>20220331</v>
      </c>
      <c r="F104" t="s">
        <v>980</v>
      </c>
      <c r="G104" t="s">
        <v>981</v>
      </c>
      <c r="H104" t="s">
        <v>613</v>
      </c>
      <c r="I104" t="s">
        <v>846</v>
      </c>
      <c r="J104">
        <v>629.29999999999995</v>
      </c>
      <c r="K104">
        <v>25018.98</v>
      </c>
      <c r="N104">
        <v>-78161.134999999995</v>
      </c>
      <c r="O104">
        <v>-3197266.92</v>
      </c>
      <c r="P104">
        <v>97997.33</v>
      </c>
      <c r="Q104">
        <v>4010054.22</v>
      </c>
      <c r="R104">
        <v>-19910</v>
      </c>
      <c r="S104">
        <v>-816669.64</v>
      </c>
      <c r="X104">
        <v>555.495</v>
      </c>
      <c r="Y104">
        <v>21136.639999999999</v>
      </c>
      <c r="Z104" s="3">
        <f t="shared" si="1"/>
        <v>40.974960167511966</v>
      </c>
    </row>
    <row r="105" spans="1:26">
      <c r="A105" t="s">
        <v>706</v>
      </c>
      <c r="B105" s="6">
        <v>44287</v>
      </c>
      <c r="C105" s="6">
        <v>44651</v>
      </c>
      <c r="D105">
        <v>20210401</v>
      </c>
      <c r="E105">
        <v>20220331</v>
      </c>
      <c r="F105" t="s">
        <v>982</v>
      </c>
      <c r="G105" t="s">
        <v>983</v>
      </c>
      <c r="H105" t="s">
        <v>613</v>
      </c>
      <c r="I105" t="s">
        <v>846</v>
      </c>
      <c r="J105">
        <v>94.6</v>
      </c>
      <c r="K105">
        <v>3193.71</v>
      </c>
      <c r="N105">
        <v>-3845.09</v>
      </c>
      <c r="O105">
        <v>-129957.63</v>
      </c>
      <c r="P105">
        <v>3750.58</v>
      </c>
      <c r="Q105">
        <v>126767.37</v>
      </c>
      <c r="X105">
        <v>0.09</v>
      </c>
      <c r="Y105">
        <v>3.45</v>
      </c>
      <c r="Z105" s="3">
        <f t="shared" si="1"/>
        <v>33.755793037773799</v>
      </c>
    </row>
    <row r="106" spans="1:26">
      <c r="A106" t="s">
        <v>706</v>
      </c>
      <c r="B106" s="6">
        <v>44287</v>
      </c>
      <c r="C106" s="6">
        <v>44651</v>
      </c>
      <c r="D106">
        <v>20210401</v>
      </c>
      <c r="E106">
        <v>20220331</v>
      </c>
      <c r="F106" t="s">
        <v>984</v>
      </c>
      <c r="G106" t="s">
        <v>985</v>
      </c>
      <c r="H106" t="s">
        <v>613</v>
      </c>
      <c r="I106" t="s">
        <v>846</v>
      </c>
      <c r="K106">
        <v>0.01</v>
      </c>
      <c r="Y106">
        <v>0.01</v>
      </c>
      <c r="Z106" s="3" t="e">
        <f t="shared" si="1"/>
        <v>#DIV/0!</v>
      </c>
    </row>
    <row r="107" spans="1:26">
      <c r="A107" t="s">
        <v>706</v>
      </c>
      <c r="B107" s="6">
        <v>44287</v>
      </c>
      <c r="C107" s="6">
        <v>44651</v>
      </c>
      <c r="D107">
        <v>20210401</v>
      </c>
      <c r="E107">
        <v>20220331</v>
      </c>
      <c r="F107" t="s">
        <v>986</v>
      </c>
      <c r="G107" t="s">
        <v>987</v>
      </c>
      <c r="H107" t="s">
        <v>613</v>
      </c>
      <c r="I107" t="s">
        <v>846</v>
      </c>
      <c r="J107">
        <v>175</v>
      </c>
      <c r="K107">
        <v>239888.92</v>
      </c>
      <c r="N107">
        <v>-175.65</v>
      </c>
      <c r="O107">
        <v>-240779.93</v>
      </c>
      <c r="P107">
        <v>176.3</v>
      </c>
      <c r="Q107">
        <v>212015.29</v>
      </c>
      <c r="X107">
        <v>175.65</v>
      </c>
      <c r="Y107">
        <v>211124.28</v>
      </c>
      <c r="Z107" s="3">
        <f t="shared" si="1"/>
        <v>-44253.292307691896</v>
      </c>
    </row>
    <row r="108" spans="1:26">
      <c r="A108" t="s">
        <v>706</v>
      </c>
      <c r="B108" s="6">
        <v>44287</v>
      </c>
      <c r="C108" s="6">
        <v>44651</v>
      </c>
      <c r="D108">
        <v>20210401</v>
      </c>
      <c r="E108">
        <v>20220331</v>
      </c>
      <c r="F108" t="s">
        <v>988</v>
      </c>
      <c r="G108" t="s">
        <v>989</v>
      </c>
      <c r="H108" t="s">
        <v>613</v>
      </c>
      <c r="I108" t="s">
        <v>846</v>
      </c>
      <c r="J108">
        <v>542.5</v>
      </c>
      <c r="K108">
        <v>16077.25</v>
      </c>
      <c r="N108">
        <v>-18717.82</v>
      </c>
      <c r="O108">
        <v>-555148.32999999996</v>
      </c>
      <c r="P108">
        <v>23758.258000000002</v>
      </c>
      <c r="Q108">
        <v>721683.23</v>
      </c>
      <c r="R108">
        <v>-5571</v>
      </c>
      <c r="S108">
        <v>-182173.96</v>
      </c>
      <c r="X108">
        <v>11.938000000000001</v>
      </c>
      <c r="Y108">
        <v>438.19</v>
      </c>
      <c r="Z108" s="3">
        <f t="shared" si="1"/>
        <v>33.039767575754318</v>
      </c>
    </row>
    <row r="109" spans="1:26">
      <c r="A109" t="s">
        <v>706</v>
      </c>
      <c r="B109" s="6">
        <v>44287</v>
      </c>
      <c r="C109" s="6">
        <v>44651</v>
      </c>
      <c r="D109">
        <v>20210401</v>
      </c>
      <c r="E109">
        <v>20220331</v>
      </c>
      <c r="F109" t="s">
        <v>990</v>
      </c>
      <c r="G109" t="s">
        <v>991</v>
      </c>
      <c r="H109" t="s">
        <v>613</v>
      </c>
      <c r="I109" t="s">
        <v>846</v>
      </c>
      <c r="J109">
        <v>115</v>
      </c>
      <c r="K109">
        <v>18712.14</v>
      </c>
      <c r="N109">
        <v>-115</v>
      </c>
      <c r="O109">
        <v>-18712.02</v>
      </c>
      <c r="Y109">
        <v>0.12</v>
      </c>
      <c r="Z109" s="3">
        <f t="shared" si="1"/>
        <v>162.71321739130434</v>
      </c>
    </row>
    <row r="110" spans="1:26">
      <c r="A110" t="s">
        <v>706</v>
      </c>
      <c r="B110" s="6">
        <v>44287</v>
      </c>
      <c r="C110" s="6">
        <v>44651</v>
      </c>
      <c r="D110">
        <v>20210401</v>
      </c>
      <c r="E110">
        <v>20220331</v>
      </c>
      <c r="F110" t="s">
        <v>992</v>
      </c>
      <c r="G110" t="s">
        <v>993</v>
      </c>
      <c r="I110" t="s">
        <v>837</v>
      </c>
      <c r="J110">
        <v>15475</v>
      </c>
      <c r="K110">
        <v>519852.85</v>
      </c>
      <c r="L110">
        <v>401970</v>
      </c>
      <c r="M110">
        <v>19436699.52</v>
      </c>
      <c r="N110">
        <v>-412047.33100000001</v>
      </c>
      <c r="O110">
        <v>-19800117.170000002</v>
      </c>
      <c r="P110">
        <v>3818.38</v>
      </c>
      <c r="Q110">
        <v>192745.52</v>
      </c>
      <c r="R110">
        <v>-6000</v>
      </c>
      <c r="S110">
        <v>-287165.40000000002</v>
      </c>
      <c r="X110">
        <v>3216.049</v>
      </c>
      <c r="Y110">
        <v>62015.32</v>
      </c>
      <c r="Z110" s="3">
        <f t="shared" si="1"/>
        <v>48.030331023729872</v>
      </c>
    </row>
    <row r="111" spans="1:26">
      <c r="A111" t="s">
        <v>706</v>
      </c>
      <c r="B111" s="6">
        <v>44287</v>
      </c>
      <c r="C111" s="6">
        <v>44651</v>
      </c>
      <c r="D111">
        <v>20210401</v>
      </c>
      <c r="E111">
        <v>20220331</v>
      </c>
      <c r="F111" t="s">
        <v>994</v>
      </c>
      <c r="G111" t="s">
        <v>995</v>
      </c>
      <c r="H111" t="s">
        <v>613</v>
      </c>
      <c r="I111" t="s">
        <v>846</v>
      </c>
      <c r="K111">
        <v>0.03</v>
      </c>
      <c r="P111">
        <v>317.89999999999998</v>
      </c>
      <c r="Q111">
        <v>87819.75</v>
      </c>
      <c r="X111">
        <v>317.89999999999998</v>
      </c>
      <c r="Y111">
        <v>87819.78</v>
      </c>
      <c r="Z111" s="3">
        <f t="shared" si="1"/>
        <v>276.24960679458951</v>
      </c>
    </row>
    <row r="112" spans="1:26">
      <c r="A112" t="s">
        <v>706</v>
      </c>
      <c r="B112" s="6">
        <v>44287</v>
      </c>
      <c r="C112" s="6">
        <v>44651</v>
      </c>
      <c r="D112">
        <v>20210401</v>
      </c>
      <c r="E112">
        <v>20220331</v>
      </c>
      <c r="F112" t="s">
        <v>996</v>
      </c>
      <c r="G112" t="s">
        <v>997</v>
      </c>
      <c r="H112" t="s">
        <v>613</v>
      </c>
      <c r="I112" t="s">
        <v>846</v>
      </c>
      <c r="J112">
        <v>1160.8</v>
      </c>
      <c r="K112">
        <v>74403.77</v>
      </c>
      <c r="N112">
        <v>-2472.7800000000002</v>
      </c>
      <c r="O112">
        <v>-159589.09</v>
      </c>
      <c r="P112">
        <v>2946.67</v>
      </c>
      <c r="Q112">
        <v>195543.36</v>
      </c>
      <c r="X112">
        <v>1634.69</v>
      </c>
      <c r="Y112">
        <v>110358.04</v>
      </c>
      <c r="Z112" s="3">
        <f t="shared" si="1"/>
        <v>75.870497372808032</v>
      </c>
    </row>
    <row r="113" spans="1:26">
      <c r="A113" t="s">
        <v>706</v>
      </c>
      <c r="B113" s="6">
        <v>44287</v>
      </c>
      <c r="C113" s="6">
        <v>44651</v>
      </c>
      <c r="D113">
        <v>20210401</v>
      </c>
      <c r="E113">
        <v>20220331</v>
      </c>
      <c r="F113" t="s">
        <v>998</v>
      </c>
      <c r="G113" t="s">
        <v>999</v>
      </c>
      <c r="H113" t="s">
        <v>613</v>
      </c>
      <c r="I113" t="s">
        <v>846</v>
      </c>
      <c r="J113">
        <v>506</v>
      </c>
      <c r="K113">
        <v>24415.919999999998</v>
      </c>
      <c r="N113">
        <v>-583.79999999999995</v>
      </c>
      <c r="O113">
        <v>-28215.439999999999</v>
      </c>
      <c r="P113">
        <v>483.5</v>
      </c>
      <c r="Q113">
        <v>23378.35</v>
      </c>
      <c r="R113">
        <v>-405</v>
      </c>
      <c r="S113">
        <v>-19542.3</v>
      </c>
      <c r="X113">
        <v>0.7</v>
      </c>
      <c r="Y113">
        <v>36.53</v>
      </c>
      <c r="Z113" s="3">
        <f t="shared" si="1"/>
        <v>48.226221335992044</v>
      </c>
    </row>
    <row r="114" spans="1:26">
      <c r="A114" t="s">
        <v>706</v>
      </c>
      <c r="B114" s="6">
        <v>44287</v>
      </c>
      <c r="C114" s="6">
        <v>44651</v>
      </c>
      <c r="D114">
        <v>20210401</v>
      </c>
      <c r="E114">
        <v>20220331</v>
      </c>
      <c r="F114" t="s">
        <v>1000</v>
      </c>
      <c r="G114" t="s">
        <v>1001</v>
      </c>
      <c r="H114" t="s">
        <v>613</v>
      </c>
      <c r="I114" t="s">
        <v>846</v>
      </c>
      <c r="K114">
        <v>0.1</v>
      </c>
      <c r="Y114">
        <v>0.1</v>
      </c>
      <c r="Z114" s="3" t="e">
        <f t="shared" si="1"/>
        <v>#DIV/0!</v>
      </c>
    </row>
    <row r="115" spans="1:26">
      <c r="A115" t="s">
        <v>706</v>
      </c>
      <c r="B115" s="6">
        <v>44287</v>
      </c>
      <c r="C115" s="6">
        <v>44651</v>
      </c>
      <c r="D115">
        <v>20210401</v>
      </c>
      <c r="E115">
        <v>20220331</v>
      </c>
      <c r="F115" t="s">
        <v>1002</v>
      </c>
      <c r="G115" t="s">
        <v>1003</v>
      </c>
      <c r="H115" t="s">
        <v>613</v>
      </c>
      <c r="I115" t="s">
        <v>846</v>
      </c>
      <c r="J115">
        <v>1140</v>
      </c>
      <c r="K115">
        <v>132889.79</v>
      </c>
      <c r="N115">
        <v>-815</v>
      </c>
      <c r="O115">
        <v>-95004.55</v>
      </c>
      <c r="P115">
        <v>1170</v>
      </c>
      <c r="Q115">
        <v>136386.89000000001</v>
      </c>
      <c r="X115">
        <v>1495</v>
      </c>
      <c r="Y115">
        <v>174272.13</v>
      </c>
      <c r="Z115" s="3">
        <f t="shared" si="1"/>
        <v>116.56997183098595</v>
      </c>
    </row>
    <row r="116" spans="1:26">
      <c r="A116" t="s">
        <v>706</v>
      </c>
      <c r="B116" s="6">
        <v>44287</v>
      </c>
      <c r="C116" s="6">
        <v>44651</v>
      </c>
      <c r="D116">
        <v>20210401</v>
      </c>
      <c r="E116">
        <v>20220331</v>
      </c>
      <c r="F116" t="s">
        <v>1004</v>
      </c>
      <c r="G116" t="s">
        <v>1005</v>
      </c>
      <c r="H116" t="s">
        <v>613</v>
      </c>
      <c r="I116" t="s">
        <v>846</v>
      </c>
      <c r="J116">
        <v>575.4</v>
      </c>
      <c r="K116">
        <v>50584.22</v>
      </c>
      <c r="N116">
        <v>-575.4</v>
      </c>
      <c r="O116">
        <v>-50584.45</v>
      </c>
      <c r="P116">
        <v>29.76</v>
      </c>
      <c r="Q116">
        <v>2100.16</v>
      </c>
      <c r="X116">
        <v>29.76</v>
      </c>
      <c r="Y116">
        <v>2099.9299999999998</v>
      </c>
      <c r="Z116" s="3">
        <f t="shared" si="1"/>
        <v>88.857653397844729</v>
      </c>
    </row>
    <row r="117" spans="1:26">
      <c r="A117" t="s">
        <v>706</v>
      </c>
      <c r="B117" s="6">
        <v>44287</v>
      </c>
      <c r="C117" s="6">
        <v>44651</v>
      </c>
      <c r="D117">
        <v>20210401</v>
      </c>
      <c r="E117">
        <v>20220331</v>
      </c>
      <c r="F117" t="s">
        <v>1006</v>
      </c>
      <c r="G117" t="s">
        <v>1007</v>
      </c>
      <c r="H117" t="s">
        <v>613</v>
      </c>
      <c r="I117" t="s">
        <v>846</v>
      </c>
      <c r="J117">
        <v>200.4</v>
      </c>
      <c r="K117">
        <v>503850.97</v>
      </c>
      <c r="N117">
        <v>-314.72000000000003</v>
      </c>
      <c r="O117">
        <v>-773984.74</v>
      </c>
      <c r="P117">
        <v>349.8</v>
      </c>
      <c r="Q117">
        <v>789623.82</v>
      </c>
      <c r="X117">
        <v>235.48</v>
      </c>
      <c r="Y117">
        <v>519490.05</v>
      </c>
      <c r="Z117" s="3">
        <f t="shared" si="1"/>
        <v>445.81185860889298</v>
      </c>
    </row>
    <row r="118" spans="1:26">
      <c r="A118" t="s">
        <v>706</v>
      </c>
      <c r="B118" s="6">
        <v>44287</v>
      </c>
      <c r="C118" s="6">
        <v>44651</v>
      </c>
      <c r="D118">
        <v>20210401</v>
      </c>
      <c r="E118">
        <v>20220331</v>
      </c>
      <c r="F118" t="s">
        <v>1008</v>
      </c>
      <c r="G118" t="s">
        <v>1009</v>
      </c>
      <c r="H118" t="s">
        <v>613</v>
      </c>
      <c r="I118" t="s">
        <v>846</v>
      </c>
      <c r="P118">
        <v>17.78</v>
      </c>
      <c r="Q118">
        <v>325.27999999999997</v>
      </c>
      <c r="R118">
        <v>-17</v>
      </c>
      <c r="S118">
        <v>-311.01</v>
      </c>
      <c r="X118">
        <v>0.78</v>
      </c>
      <c r="Y118">
        <v>14.27</v>
      </c>
      <c r="Z118" s="3">
        <f t="shared" si="1"/>
        <v>18.29471316085489</v>
      </c>
    </row>
    <row r="119" spans="1:26">
      <c r="A119" t="s">
        <v>706</v>
      </c>
      <c r="B119" s="6">
        <v>44287</v>
      </c>
      <c r="C119" s="6">
        <v>44651</v>
      </c>
      <c r="D119">
        <v>20210401</v>
      </c>
      <c r="E119">
        <v>20220331</v>
      </c>
      <c r="F119" t="s">
        <v>1010</v>
      </c>
      <c r="G119" t="s">
        <v>1011</v>
      </c>
      <c r="H119" t="s">
        <v>613</v>
      </c>
      <c r="I119" t="s">
        <v>846</v>
      </c>
      <c r="P119">
        <v>310.8</v>
      </c>
      <c r="Q119">
        <v>19396.68</v>
      </c>
      <c r="X119">
        <v>310.8</v>
      </c>
      <c r="Y119">
        <v>19396.68</v>
      </c>
      <c r="Z119" s="3">
        <f t="shared" si="1"/>
        <v>62.408880308880306</v>
      </c>
    </row>
    <row r="120" spans="1:26">
      <c r="A120" t="s">
        <v>706</v>
      </c>
      <c r="B120" s="6">
        <v>44287</v>
      </c>
      <c r="C120" s="6">
        <v>44651</v>
      </c>
      <c r="D120">
        <v>20210401</v>
      </c>
      <c r="E120">
        <v>20220331</v>
      </c>
      <c r="F120" t="s">
        <v>1012</v>
      </c>
      <c r="G120" t="s">
        <v>1013</v>
      </c>
      <c r="H120" t="s">
        <v>613</v>
      </c>
      <c r="I120" t="s">
        <v>846</v>
      </c>
      <c r="J120">
        <v>223</v>
      </c>
      <c r="K120">
        <v>5106.7</v>
      </c>
      <c r="N120">
        <v>-312</v>
      </c>
      <c r="O120">
        <v>-7144.8</v>
      </c>
      <c r="P120">
        <v>496</v>
      </c>
      <c r="Q120">
        <v>20633.93</v>
      </c>
      <c r="X120">
        <v>407</v>
      </c>
      <c r="Y120">
        <v>18595.830000000002</v>
      </c>
      <c r="Z120" s="3">
        <f t="shared" si="1"/>
        <v>73.310489130434789</v>
      </c>
    </row>
    <row r="121" spans="1:26">
      <c r="A121" t="s">
        <v>706</v>
      </c>
      <c r="B121" s="6">
        <v>44287</v>
      </c>
      <c r="C121" s="6">
        <v>44651</v>
      </c>
      <c r="D121">
        <v>20210401</v>
      </c>
      <c r="E121">
        <v>20220331</v>
      </c>
      <c r="F121" t="s">
        <v>1014</v>
      </c>
      <c r="G121" t="s">
        <v>1015</v>
      </c>
      <c r="H121" t="s">
        <v>613</v>
      </c>
      <c r="I121" t="s">
        <v>846</v>
      </c>
      <c r="J121">
        <v>7486.8</v>
      </c>
      <c r="K121">
        <v>1204977.83</v>
      </c>
      <c r="N121">
        <v>-40066.89</v>
      </c>
      <c r="O121">
        <v>-6451291.6299999999</v>
      </c>
      <c r="P121">
        <v>46242.57</v>
      </c>
      <c r="Q121">
        <v>7448706.0999999996</v>
      </c>
      <c r="X121">
        <v>13662.48</v>
      </c>
      <c r="Y121">
        <v>2202392.2999999998</v>
      </c>
      <c r="Z121" s="3">
        <f t="shared" si="1"/>
        <v>161.50682515933462</v>
      </c>
    </row>
    <row r="122" spans="1:26">
      <c r="A122" t="s">
        <v>706</v>
      </c>
      <c r="B122" s="6">
        <v>44287</v>
      </c>
      <c r="C122" s="6">
        <v>44651</v>
      </c>
      <c r="D122">
        <v>20210401</v>
      </c>
      <c r="E122">
        <v>20220331</v>
      </c>
      <c r="F122" t="s">
        <v>1016</v>
      </c>
      <c r="G122" t="s">
        <v>1017</v>
      </c>
      <c r="H122" t="s">
        <v>613</v>
      </c>
      <c r="I122" t="s">
        <v>846</v>
      </c>
      <c r="J122">
        <v>607.4</v>
      </c>
      <c r="K122">
        <v>19801.240000000002</v>
      </c>
      <c r="R122">
        <v>-607</v>
      </c>
      <c r="S122">
        <v>-19788.2</v>
      </c>
      <c r="X122">
        <v>0.4</v>
      </c>
      <c r="Y122">
        <v>13.04</v>
      </c>
      <c r="Z122" s="3">
        <f t="shared" si="1"/>
        <v>32.599999999999994</v>
      </c>
    </row>
    <row r="123" spans="1:26">
      <c r="A123" t="s">
        <v>706</v>
      </c>
      <c r="B123" s="6">
        <v>44287</v>
      </c>
      <c r="C123" s="6">
        <v>44651</v>
      </c>
      <c r="D123">
        <v>20210401</v>
      </c>
      <c r="E123">
        <v>20220331</v>
      </c>
      <c r="F123" t="s">
        <v>1018</v>
      </c>
      <c r="G123" t="s">
        <v>1019</v>
      </c>
      <c r="H123" t="s">
        <v>613</v>
      </c>
      <c r="I123" t="s">
        <v>846</v>
      </c>
      <c r="J123">
        <v>690.8</v>
      </c>
      <c r="X123">
        <v>690.8</v>
      </c>
      <c r="Z123" s="3">
        <f t="shared" si="1"/>
        <v>0</v>
      </c>
    </row>
    <row r="124" spans="1:26">
      <c r="A124" t="s">
        <v>706</v>
      </c>
      <c r="B124" s="6">
        <v>44287</v>
      </c>
      <c r="C124" s="6">
        <v>44651</v>
      </c>
      <c r="D124">
        <v>20210401</v>
      </c>
      <c r="E124">
        <v>20220331</v>
      </c>
      <c r="F124" t="s">
        <v>1020</v>
      </c>
      <c r="G124" t="s">
        <v>1021</v>
      </c>
      <c r="H124" t="s">
        <v>613</v>
      </c>
      <c r="I124" t="s">
        <v>846</v>
      </c>
      <c r="J124">
        <v>372.1</v>
      </c>
      <c r="K124">
        <v>15575.02</v>
      </c>
      <c r="N124">
        <v>-16443.8</v>
      </c>
      <c r="O124">
        <v>-836099.42</v>
      </c>
      <c r="P124">
        <v>28603.68</v>
      </c>
      <c r="Q124">
        <v>1567179.27</v>
      </c>
      <c r="R124">
        <v>-11515</v>
      </c>
      <c r="S124">
        <v>-685189.1</v>
      </c>
      <c r="X124">
        <v>1016.98</v>
      </c>
      <c r="Y124">
        <v>61465.77</v>
      </c>
      <c r="Z124" s="3">
        <f t="shared" si="1"/>
        <v>60.122291502876664</v>
      </c>
    </row>
    <row r="125" spans="1:26">
      <c r="A125" t="s">
        <v>706</v>
      </c>
      <c r="B125" s="6">
        <v>44287</v>
      </c>
      <c r="C125" s="6">
        <v>44651</v>
      </c>
      <c r="D125">
        <v>20210401</v>
      </c>
      <c r="E125">
        <v>20220331</v>
      </c>
      <c r="F125" t="s">
        <v>1022</v>
      </c>
      <c r="G125" t="s">
        <v>1023</v>
      </c>
      <c r="H125" t="s">
        <v>613</v>
      </c>
      <c r="I125" t="s">
        <v>846</v>
      </c>
      <c r="J125">
        <v>1438.4</v>
      </c>
      <c r="K125">
        <v>48370.400000000001</v>
      </c>
      <c r="N125">
        <v>-119574.59</v>
      </c>
      <c r="O125">
        <v>-4281176.97</v>
      </c>
      <c r="P125">
        <v>141472.277</v>
      </c>
      <c r="Q125">
        <v>5088352.22</v>
      </c>
      <c r="R125">
        <v>-19914</v>
      </c>
      <c r="S125">
        <v>-722563.52</v>
      </c>
      <c r="X125">
        <v>3422.087</v>
      </c>
      <c r="Y125">
        <v>132982.13</v>
      </c>
      <c r="Z125" s="3">
        <f t="shared" si="1"/>
        <v>36.861210501364816</v>
      </c>
    </row>
    <row r="126" spans="1:26">
      <c r="A126" t="s">
        <v>706</v>
      </c>
      <c r="B126" s="6">
        <v>44287</v>
      </c>
      <c r="C126" s="6">
        <v>44651</v>
      </c>
      <c r="D126">
        <v>20210401</v>
      </c>
      <c r="E126">
        <v>20220331</v>
      </c>
      <c r="F126" t="s">
        <v>1024</v>
      </c>
      <c r="G126" t="s">
        <v>1025</v>
      </c>
      <c r="H126" t="s">
        <v>613</v>
      </c>
      <c r="I126" t="s">
        <v>846</v>
      </c>
      <c r="N126">
        <v>-257.01499999999999</v>
      </c>
      <c r="O126">
        <v>-12641.5</v>
      </c>
      <c r="P126">
        <v>257.02</v>
      </c>
      <c r="Q126">
        <v>12641.82</v>
      </c>
      <c r="X126">
        <v>5.0000000000000001E-3</v>
      </c>
      <c r="Y126">
        <v>0.32</v>
      </c>
      <c r="Z126" s="3">
        <f t="shared" si="1"/>
        <v>64</v>
      </c>
    </row>
    <row r="127" spans="1:26">
      <c r="A127" t="s">
        <v>706</v>
      </c>
      <c r="B127" s="6">
        <v>44287</v>
      </c>
      <c r="C127" s="6">
        <v>44651</v>
      </c>
      <c r="D127">
        <v>20210401</v>
      </c>
      <c r="E127">
        <v>20220331</v>
      </c>
      <c r="F127" t="s">
        <v>1026</v>
      </c>
      <c r="G127" t="s">
        <v>1027</v>
      </c>
      <c r="H127" t="s">
        <v>613</v>
      </c>
      <c r="I127" t="s">
        <v>846</v>
      </c>
      <c r="N127">
        <v>-305.2</v>
      </c>
      <c r="O127">
        <v>-58255.05</v>
      </c>
      <c r="P127">
        <v>791.2</v>
      </c>
      <c r="Q127">
        <v>309376.3</v>
      </c>
      <c r="X127">
        <v>486</v>
      </c>
      <c r="Y127">
        <v>251121.25</v>
      </c>
      <c r="Z127" s="3">
        <f t="shared" si="1"/>
        <v>516.710390946502</v>
      </c>
    </row>
    <row r="128" spans="1:26">
      <c r="A128" t="s">
        <v>706</v>
      </c>
      <c r="B128" s="6">
        <v>44287</v>
      </c>
      <c r="C128" s="6">
        <v>44651</v>
      </c>
      <c r="D128">
        <v>20210401</v>
      </c>
      <c r="E128">
        <v>20220331</v>
      </c>
      <c r="F128" t="s">
        <v>1028</v>
      </c>
      <c r="G128" t="s">
        <v>1029</v>
      </c>
      <c r="H128" t="s">
        <v>613</v>
      </c>
      <c r="I128" t="s">
        <v>846</v>
      </c>
      <c r="K128">
        <v>0.01</v>
      </c>
      <c r="Y128">
        <v>0.01</v>
      </c>
      <c r="Z128" s="3" t="e">
        <f t="shared" si="1"/>
        <v>#DIV/0!</v>
      </c>
    </row>
    <row r="129" spans="1:26">
      <c r="A129" t="s">
        <v>706</v>
      </c>
      <c r="B129" s="6">
        <v>44287</v>
      </c>
      <c r="C129" s="6">
        <v>44651</v>
      </c>
      <c r="D129">
        <v>20210401</v>
      </c>
      <c r="E129">
        <v>20220331</v>
      </c>
      <c r="F129" t="s">
        <v>1030</v>
      </c>
      <c r="G129" t="s">
        <v>1031</v>
      </c>
      <c r="H129" t="s">
        <v>613</v>
      </c>
      <c r="I129" t="s">
        <v>846</v>
      </c>
      <c r="J129">
        <v>575.79999999999995</v>
      </c>
      <c r="K129">
        <v>17546.89</v>
      </c>
      <c r="N129">
        <v>-991.2</v>
      </c>
      <c r="O129">
        <v>-30205.83</v>
      </c>
      <c r="P129">
        <v>2694.3</v>
      </c>
      <c r="Q129">
        <v>82106.09</v>
      </c>
      <c r="R129">
        <v>-2200</v>
      </c>
      <c r="S129">
        <v>-67042.8</v>
      </c>
      <c r="X129">
        <v>78.900000000000006</v>
      </c>
      <c r="Y129">
        <v>2404.35</v>
      </c>
      <c r="Z129" s="3">
        <f t="shared" si="1"/>
        <v>30.473994480652923</v>
      </c>
    </row>
    <row r="130" spans="1:26">
      <c r="A130" t="s">
        <v>706</v>
      </c>
      <c r="B130" s="6">
        <v>44287</v>
      </c>
      <c r="C130" s="6">
        <v>44651</v>
      </c>
      <c r="D130">
        <v>20210401</v>
      </c>
      <c r="E130">
        <v>20220331</v>
      </c>
      <c r="F130" t="s">
        <v>1032</v>
      </c>
      <c r="G130" t="s">
        <v>1033</v>
      </c>
      <c r="H130" t="s">
        <v>613</v>
      </c>
      <c r="I130" t="s">
        <v>846</v>
      </c>
      <c r="P130">
        <v>145.4</v>
      </c>
      <c r="Q130">
        <v>4252.9399999999996</v>
      </c>
      <c r="X130">
        <v>145.4</v>
      </c>
      <c r="Y130">
        <v>4252.9399999999996</v>
      </c>
      <c r="Z130" s="3">
        <f t="shared" si="1"/>
        <v>29.249931224209075</v>
      </c>
    </row>
    <row r="131" spans="1:26">
      <c r="A131" t="s">
        <v>706</v>
      </c>
      <c r="B131" s="6">
        <v>44287</v>
      </c>
      <c r="C131" s="6">
        <v>44651</v>
      </c>
      <c r="D131">
        <v>20210401</v>
      </c>
      <c r="E131">
        <v>20220331</v>
      </c>
      <c r="F131" t="s">
        <v>1034</v>
      </c>
      <c r="G131" t="s">
        <v>1035</v>
      </c>
      <c r="H131" t="s">
        <v>613</v>
      </c>
      <c r="I131" t="s">
        <v>846</v>
      </c>
      <c r="J131">
        <v>541</v>
      </c>
      <c r="K131">
        <v>5967.23</v>
      </c>
      <c r="R131">
        <v>-540</v>
      </c>
      <c r="S131">
        <v>-5956.2</v>
      </c>
      <c r="X131">
        <v>1</v>
      </c>
      <c r="Y131">
        <v>11.03</v>
      </c>
      <c r="Z131" s="3">
        <f t="shared" ref="Z131:Z194" si="2">IFERROR((O131+Q131)/(N131+P131),Y131/X131)</f>
        <v>11.03</v>
      </c>
    </row>
    <row r="132" spans="1:26">
      <c r="A132" t="s">
        <v>706</v>
      </c>
      <c r="B132" s="6">
        <v>44287</v>
      </c>
      <c r="C132" s="6">
        <v>44651</v>
      </c>
      <c r="D132">
        <v>20210401</v>
      </c>
      <c r="E132">
        <v>20220331</v>
      </c>
      <c r="F132" t="s">
        <v>1036</v>
      </c>
      <c r="G132" t="s">
        <v>1037</v>
      </c>
      <c r="H132" t="s">
        <v>613</v>
      </c>
      <c r="I132" t="s">
        <v>846</v>
      </c>
      <c r="J132">
        <v>7919.4</v>
      </c>
      <c r="K132">
        <v>380131.76</v>
      </c>
      <c r="L132">
        <v>131857.5</v>
      </c>
      <c r="M132">
        <v>8609640</v>
      </c>
      <c r="N132">
        <v>-133509.16500000001</v>
      </c>
      <c r="O132">
        <v>-8375262.5499999998</v>
      </c>
      <c r="P132">
        <v>8252.2649999999994</v>
      </c>
      <c r="Q132">
        <v>416272.8</v>
      </c>
      <c r="R132">
        <v>-14520</v>
      </c>
      <c r="S132">
        <v>-1030783.11</v>
      </c>
      <c r="Y132">
        <v>-1.1000000000000001</v>
      </c>
      <c r="Z132" s="3">
        <f t="shared" si="2"/>
        <v>63.541327862976004</v>
      </c>
    </row>
    <row r="133" spans="1:26">
      <c r="A133" t="s">
        <v>706</v>
      </c>
      <c r="B133" s="6">
        <v>44287</v>
      </c>
      <c r="C133" s="6">
        <v>44651</v>
      </c>
      <c r="D133">
        <v>20210401</v>
      </c>
      <c r="E133">
        <v>20220331</v>
      </c>
      <c r="F133" t="s">
        <v>1038</v>
      </c>
      <c r="G133" t="s">
        <v>1039</v>
      </c>
      <c r="H133" t="s">
        <v>613</v>
      </c>
      <c r="I133" t="s">
        <v>846</v>
      </c>
      <c r="J133">
        <v>186</v>
      </c>
      <c r="K133">
        <v>36135.440000000002</v>
      </c>
      <c r="X133">
        <v>186</v>
      </c>
      <c r="Y133">
        <v>36135.440000000002</v>
      </c>
      <c r="Z133" s="3">
        <f t="shared" si="2"/>
        <v>194.27655913978495</v>
      </c>
    </row>
    <row r="134" spans="1:26">
      <c r="A134" t="s">
        <v>706</v>
      </c>
      <c r="B134" s="6">
        <v>44287</v>
      </c>
      <c r="C134" s="6">
        <v>44651</v>
      </c>
      <c r="D134">
        <v>20210401</v>
      </c>
      <c r="E134">
        <v>20220331</v>
      </c>
      <c r="F134" t="s">
        <v>1040</v>
      </c>
      <c r="G134" t="s">
        <v>1041</v>
      </c>
      <c r="H134" t="s">
        <v>613</v>
      </c>
      <c r="I134" t="s">
        <v>846</v>
      </c>
      <c r="N134">
        <v>-73.099999999999994</v>
      </c>
      <c r="O134">
        <v>-544.95000000000005</v>
      </c>
      <c r="P134">
        <v>73.099999999999994</v>
      </c>
      <c r="Q134">
        <v>544.94000000000005</v>
      </c>
      <c r="Y134">
        <v>-0.01</v>
      </c>
      <c r="Z134" s="3" t="e">
        <f t="shared" si="2"/>
        <v>#DIV/0!</v>
      </c>
    </row>
    <row r="135" spans="1:26">
      <c r="A135" t="s">
        <v>706</v>
      </c>
      <c r="B135" s="6">
        <v>44287</v>
      </c>
      <c r="C135" s="6">
        <v>44651</v>
      </c>
      <c r="D135">
        <v>20210401</v>
      </c>
      <c r="E135">
        <v>20220331</v>
      </c>
      <c r="F135" t="s">
        <v>1042</v>
      </c>
      <c r="G135" t="s">
        <v>1043</v>
      </c>
      <c r="H135" t="s">
        <v>613</v>
      </c>
      <c r="I135" t="s">
        <v>846</v>
      </c>
      <c r="J135">
        <v>1250.5</v>
      </c>
      <c r="K135">
        <v>123055.84</v>
      </c>
      <c r="N135">
        <v>-7941.24</v>
      </c>
      <c r="O135">
        <v>-734287.83</v>
      </c>
      <c r="P135">
        <v>12696.868</v>
      </c>
      <c r="Q135">
        <v>1095505.97</v>
      </c>
      <c r="X135">
        <v>6006.1279999999997</v>
      </c>
      <c r="Y135">
        <v>484273.98</v>
      </c>
      <c r="Z135" s="3">
        <f t="shared" si="2"/>
        <v>75.955928428380005</v>
      </c>
    </row>
    <row r="136" spans="1:26">
      <c r="A136" t="s">
        <v>706</v>
      </c>
      <c r="B136" s="6">
        <v>44287</v>
      </c>
      <c r="C136" s="6">
        <v>44651</v>
      </c>
      <c r="D136">
        <v>20210401</v>
      </c>
      <c r="E136">
        <v>20220331</v>
      </c>
      <c r="F136" t="s">
        <v>1044</v>
      </c>
      <c r="G136" t="s">
        <v>1045</v>
      </c>
      <c r="H136" t="s">
        <v>613</v>
      </c>
      <c r="I136" t="s">
        <v>846</v>
      </c>
      <c r="P136">
        <v>205.8</v>
      </c>
      <c r="X136">
        <v>205.8</v>
      </c>
      <c r="Z136" s="3">
        <f t="shared" si="2"/>
        <v>0</v>
      </c>
    </row>
    <row r="137" spans="1:26">
      <c r="A137" t="s">
        <v>706</v>
      </c>
      <c r="B137" s="6">
        <v>44287</v>
      </c>
      <c r="C137" s="6">
        <v>44651</v>
      </c>
      <c r="D137">
        <v>20210401</v>
      </c>
      <c r="E137">
        <v>20220331</v>
      </c>
      <c r="F137" t="s">
        <v>1046</v>
      </c>
      <c r="G137" t="s">
        <v>1047</v>
      </c>
      <c r="H137" t="s">
        <v>613</v>
      </c>
      <c r="I137" t="s">
        <v>846</v>
      </c>
      <c r="J137">
        <v>610</v>
      </c>
      <c r="K137">
        <v>303242.09999999998</v>
      </c>
      <c r="N137">
        <v>-2190.4</v>
      </c>
      <c r="O137">
        <v>-1104018.33</v>
      </c>
      <c r="P137">
        <v>2469.4</v>
      </c>
      <c r="Q137">
        <v>1256584.31</v>
      </c>
      <c r="X137">
        <v>889</v>
      </c>
      <c r="Y137">
        <v>455808.08</v>
      </c>
      <c r="Z137" s="3">
        <f t="shared" si="2"/>
        <v>546.83146953405014</v>
      </c>
    </row>
    <row r="138" spans="1:26">
      <c r="A138" t="s">
        <v>706</v>
      </c>
      <c r="B138" s="6">
        <v>44287</v>
      </c>
      <c r="C138" s="6">
        <v>44651</v>
      </c>
      <c r="D138">
        <v>20210401</v>
      </c>
      <c r="E138">
        <v>20220331</v>
      </c>
      <c r="F138" t="s">
        <v>1048</v>
      </c>
      <c r="G138" t="s">
        <v>1049</v>
      </c>
      <c r="H138" t="s">
        <v>613</v>
      </c>
      <c r="I138" t="s">
        <v>846</v>
      </c>
      <c r="J138">
        <v>1101.5999999999999</v>
      </c>
      <c r="K138">
        <v>221300.55</v>
      </c>
      <c r="N138">
        <v>-12542.46</v>
      </c>
      <c r="O138">
        <v>-2477702.48</v>
      </c>
      <c r="P138">
        <v>17147.505000000001</v>
      </c>
      <c r="Q138">
        <v>3267676.48</v>
      </c>
      <c r="X138">
        <v>5706.6450000000004</v>
      </c>
      <c r="Y138">
        <v>1011274.55</v>
      </c>
      <c r="Z138" s="3">
        <f t="shared" si="2"/>
        <v>171.5453377762866</v>
      </c>
    </row>
    <row r="139" spans="1:26">
      <c r="A139" t="s">
        <v>706</v>
      </c>
      <c r="B139" s="6">
        <v>44287</v>
      </c>
      <c r="C139" s="6">
        <v>44651</v>
      </c>
      <c r="D139">
        <v>20210401</v>
      </c>
      <c r="E139">
        <v>20220331</v>
      </c>
      <c r="F139" t="s">
        <v>1050</v>
      </c>
      <c r="G139" t="s">
        <v>1051</v>
      </c>
      <c r="H139" t="s">
        <v>613</v>
      </c>
      <c r="I139" t="s">
        <v>846</v>
      </c>
      <c r="J139">
        <v>61.2</v>
      </c>
      <c r="K139">
        <v>987.71</v>
      </c>
      <c r="N139">
        <v>-152.30000000000001</v>
      </c>
      <c r="O139">
        <v>-2457.9499999999998</v>
      </c>
      <c r="P139">
        <v>255</v>
      </c>
      <c r="Q139">
        <v>5928.33</v>
      </c>
      <c r="X139">
        <v>163.9</v>
      </c>
      <c r="Y139">
        <v>4458.09</v>
      </c>
      <c r="Z139" s="3">
        <f t="shared" si="2"/>
        <v>33.791431353456673</v>
      </c>
    </row>
    <row r="140" spans="1:26">
      <c r="A140" t="s">
        <v>706</v>
      </c>
      <c r="B140" s="6">
        <v>44287</v>
      </c>
      <c r="C140" s="6">
        <v>44651</v>
      </c>
      <c r="D140">
        <v>20210401</v>
      </c>
      <c r="E140">
        <v>20220331</v>
      </c>
      <c r="F140" t="s">
        <v>1052</v>
      </c>
      <c r="G140" t="s">
        <v>1053</v>
      </c>
      <c r="H140" t="s">
        <v>613</v>
      </c>
      <c r="I140" t="s">
        <v>846</v>
      </c>
      <c r="J140">
        <v>7618.77</v>
      </c>
      <c r="K140">
        <v>278422.65999999997</v>
      </c>
      <c r="N140">
        <v>-35000.803</v>
      </c>
      <c r="O140">
        <v>-1332401.92</v>
      </c>
      <c r="P140">
        <v>56100.483999999997</v>
      </c>
      <c r="Q140">
        <v>2182080.75</v>
      </c>
      <c r="R140">
        <v>-27356</v>
      </c>
      <c r="S140">
        <v>-1072132.94</v>
      </c>
      <c r="X140">
        <v>1362.451</v>
      </c>
      <c r="Y140">
        <v>55968.55</v>
      </c>
      <c r="Z140" s="3">
        <f t="shared" si="2"/>
        <v>40.269747680071568</v>
      </c>
    </row>
    <row r="141" spans="1:26">
      <c r="A141" t="s">
        <v>706</v>
      </c>
      <c r="B141" s="6">
        <v>44287</v>
      </c>
      <c r="C141" s="6">
        <v>44651</v>
      </c>
      <c r="D141">
        <v>20210401</v>
      </c>
      <c r="E141">
        <v>20220331</v>
      </c>
      <c r="F141" t="s">
        <v>1054</v>
      </c>
      <c r="G141" t="s">
        <v>1055</v>
      </c>
      <c r="H141" t="s">
        <v>613</v>
      </c>
      <c r="I141" t="s">
        <v>878</v>
      </c>
      <c r="P141">
        <v>0.4</v>
      </c>
      <c r="Q141">
        <v>7.2</v>
      </c>
      <c r="X141">
        <v>0.4</v>
      </c>
      <c r="Y141">
        <v>7.2</v>
      </c>
      <c r="Z141" s="3">
        <f t="shared" si="2"/>
        <v>18</v>
      </c>
    </row>
    <row r="142" spans="1:26">
      <c r="A142" t="s">
        <v>706</v>
      </c>
      <c r="B142" s="6">
        <v>44287</v>
      </c>
      <c r="C142" s="6">
        <v>44651</v>
      </c>
      <c r="D142">
        <v>20210401</v>
      </c>
      <c r="E142">
        <v>20220331</v>
      </c>
      <c r="F142" t="s">
        <v>1056</v>
      </c>
      <c r="G142" t="s">
        <v>1057</v>
      </c>
      <c r="H142" t="s">
        <v>613</v>
      </c>
      <c r="I142" t="s">
        <v>837</v>
      </c>
      <c r="J142">
        <v>18333.400000000001</v>
      </c>
      <c r="K142">
        <v>3597793.5</v>
      </c>
      <c r="L142">
        <v>62785</v>
      </c>
      <c r="M142">
        <v>19162725.199999999</v>
      </c>
      <c r="N142">
        <v>-165764.79999999999</v>
      </c>
      <c r="O142">
        <v>-41652468.159999996</v>
      </c>
      <c r="P142">
        <v>1023.4</v>
      </c>
      <c r="Q142">
        <v>312716.88</v>
      </c>
      <c r="V142">
        <v>84590</v>
      </c>
      <c r="W142">
        <v>18810400.940000001</v>
      </c>
      <c r="X142">
        <v>967</v>
      </c>
      <c r="Y142">
        <v>231168.36</v>
      </c>
      <c r="Z142" s="3">
        <f t="shared" si="2"/>
        <v>250.93723423498886</v>
      </c>
    </row>
    <row r="143" spans="1:26">
      <c r="A143" t="s">
        <v>706</v>
      </c>
      <c r="B143" s="6">
        <v>44287</v>
      </c>
      <c r="C143" s="6">
        <v>44651</v>
      </c>
      <c r="D143">
        <v>20210401</v>
      </c>
      <c r="E143">
        <v>20220331</v>
      </c>
      <c r="F143" t="s">
        <v>1058</v>
      </c>
      <c r="G143" t="s">
        <v>1059</v>
      </c>
      <c r="H143" t="s">
        <v>613</v>
      </c>
      <c r="I143" t="s">
        <v>846</v>
      </c>
      <c r="J143">
        <v>2223.1999999999998</v>
      </c>
      <c r="K143">
        <v>62119.78</v>
      </c>
      <c r="N143">
        <v>-1739.73</v>
      </c>
      <c r="O143">
        <v>-50371.74</v>
      </c>
      <c r="P143">
        <v>719.61</v>
      </c>
      <c r="Q143">
        <v>24521.32</v>
      </c>
      <c r="R143">
        <v>-1203</v>
      </c>
      <c r="S143">
        <v>-36266.120000000003</v>
      </c>
      <c r="X143">
        <v>0.08</v>
      </c>
      <c r="Y143">
        <v>3.24</v>
      </c>
      <c r="Z143" s="3">
        <f t="shared" si="2"/>
        <v>25.340567776340038</v>
      </c>
    </row>
    <row r="144" spans="1:26">
      <c r="A144" t="s">
        <v>706</v>
      </c>
      <c r="B144" s="6">
        <v>44287</v>
      </c>
      <c r="C144" s="6">
        <v>44651</v>
      </c>
      <c r="D144">
        <v>20210401</v>
      </c>
      <c r="E144">
        <v>20220331</v>
      </c>
      <c r="F144" t="s">
        <v>1060</v>
      </c>
      <c r="G144" t="s">
        <v>1061</v>
      </c>
      <c r="H144" t="s">
        <v>613</v>
      </c>
      <c r="I144" t="s">
        <v>837</v>
      </c>
      <c r="J144">
        <v>1309.8</v>
      </c>
      <c r="K144">
        <v>261103.09</v>
      </c>
      <c r="N144">
        <v>-828.36</v>
      </c>
      <c r="O144">
        <v>-165130</v>
      </c>
      <c r="P144">
        <v>882.6</v>
      </c>
      <c r="Q144">
        <v>175942.53</v>
      </c>
      <c r="X144">
        <v>1364.04</v>
      </c>
      <c r="Y144">
        <v>271915.62</v>
      </c>
      <c r="Z144" s="3">
        <f t="shared" si="2"/>
        <v>199.34605457227133</v>
      </c>
    </row>
    <row r="145" spans="1:26">
      <c r="A145" t="s">
        <v>706</v>
      </c>
      <c r="B145" s="6">
        <v>44287</v>
      </c>
      <c r="C145" s="6">
        <v>44651</v>
      </c>
      <c r="D145">
        <v>20210401</v>
      </c>
      <c r="E145">
        <v>20220331</v>
      </c>
      <c r="F145" t="s">
        <v>1062</v>
      </c>
      <c r="G145" t="s">
        <v>1063</v>
      </c>
      <c r="H145" t="s">
        <v>613</v>
      </c>
      <c r="I145" t="s">
        <v>846</v>
      </c>
      <c r="J145">
        <v>46.9</v>
      </c>
      <c r="K145">
        <v>16163.07</v>
      </c>
      <c r="X145">
        <v>46.9</v>
      </c>
      <c r="Y145">
        <v>16163.07</v>
      </c>
      <c r="Z145" s="3">
        <f t="shared" si="2"/>
        <v>344.62835820895521</v>
      </c>
    </row>
    <row r="146" spans="1:26">
      <c r="A146" t="s">
        <v>706</v>
      </c>
      <c r="B146" s="6">
        <v>44287</v>
      </c>
      <c r="C146" s="6">
        <v>44651</v>
      </c>
      <c r="D146">
        <v>20210401</v>
      </c>
      <c r="E146">
        <v>20220331</v>
      </c>
      <c r="F146" t="s">
        <v>1064</v>
      </c>
      <c r="G146" t="s">
        <v>1065</v>
      </c>
      <c r="H146" t="s">
        <v>613</v>
      </c>
      <c r="I146" t="s">
        <v>846</v>
      </c>
      <c r="J146">
        <v>436.8</v>
      </c>
      <c r="K146">
        <v>91650.77</v>
      </c>
      <c r="N146">
        <v>-101.2</v>
      </c>
      <c r="O146">
        <v>-21234.1</v>
      </c>
      <c r="P146">
        <v>441</v>
      </c>
      <c r="Q146">
        <v>92531.98</v>
      </c>
      <c r="X146">
        <v>776.6</v>
      </c>
      <c r="Y146">
        <v>162948.65</v>
      </c>
      <c r="Z146" s="3">
        <f t="shared" si="2"/>
        <v>209.82307239552679</v>
      </c>
    </row>
    <row r="147" spans="1:26">
      <c r="A147" t="s">
        <v>706</v>
      </c>
      <c r="B147" s="6">
        <v>44287</v>
      </c>
      <c r="C147" s="6">
        <v>44651</v>
      </c>
      <c r="D147">
        <v>20210401</v>
      </c>
      <c r="E147">
        <v>20220331</v>
      </c>
      <c r="F147" t="s">
        <v>1066</v>
      </c>
      <c r="G147" t="s">
        <v>1067</v>
      </c>
      <c r="H147" t="s">
        <v>613</v>
      </c>
      <c r="I147" t="s">
        <v>846</v>
      </c>
      <c r="J147">
        <v>976.5</v>
      </c>
      <c r="K147">
        <v>46639.96</v>
      </c>
      <c r="N147">
        <v>-13383.684999999999</v>
      </c>
      <c r="O147">
        <v>-617560.97</v>
      </c>
      <c r="P147">
        <v>17052.835999999999</v>
      </c>
      <c r="Q147">
        <v>782830.07</v>
      </c>
      <c r="R147">
        <v>-3956</v>
      </c>
      <c r="S147">
        <v>-180996.8</v>
      </c>
      <c r="X147">
        <v>689.65099999999995</v>
      </c>
      <c r="Y147">
        <v>30912.26</v>
      </c>
      <c r="Z147" s="3">
        <f t="shared" si="2"/>
        <v>45.042872315693735</v>
      </c>
    </row>
    <row r="148" spans="1:26">
      <c r="A148" t="s">
        <v>706</v>
      </c>
      <c r="B148" s="6">
        <v>44287</v>
      </c>
      <c r="C148" s="6">
        <v>44651</v>
      </c>
      <c r="D148">
        <v>20210401</v>
      </c>
      <c r="E148">
        <v>20220331</v>
      </c>
      <c r="F148" t="s">
        <v>1068</v>
      </c>
      <c r="G148" t="s">
        <v>1069</v>
      </c>
      <c r="H148" t="s">
        <v>613</v>
      </c>
      <c r="I148" t="s">
        <v>837</v>
      </c>
      <c r="P148">
        <v>2630</v>
      </c>
      <c r="Q148">
        <v>38792.5</v>
      </c>
      <c r="R148">
        <v>-2630</v>
      </c>
      <c r="S148">
        <v>-38792.5</v>
      </c>
      <c r="Z148" s="3">
        <f t="shared" si="2"/>
        <v>14.75</v>
      </c>
    </row>
    <row r="149" spans="1:26">
      <c r="A149" t="s">
        <v>706</v>
      </c>
      <c r="B149" s="6">
        <v>44287</v>
      </c>
      <c r="C149" s="6">
        <v>44651</v>
      </c>
      <c r="D149">
        <v>20210401</v>
      </c>
      <c r="E149">
        <v>20220331</v>
      </c>
      <c r="F149" t="s">
        <v>1070</v>
      </c>
      <c r="G149" t="s">
        <v>1071</v>
      </c>
      <c r="H149" t="s">
        <v>613</v>
      </c>
      <c r="I149" t="s">
        <v>846</v>
      </c>
      <c r="J149">
        <v>486</v>
      </c>
      <c r="K149">
        <v>19422.91</v>
      </c>
      <c r="R149">
        <v>-486</v>
      </c>
      <c r="S149">
        <v>-19422.89</v>
      </c>
      <c r="Y149">
        <v>0.02</v>
      </c>
      <c r="Z149" s="3" t="e">
        <f t="shared" si="2"/>
        <v>#DIV/0!</v>
      </c>
    </row>
    <row r="150" spans="1:26">
      <c r="A150" t="s">
        <v>706</v>
      </c>
      <c r="B150" s="6">
        <v>44287</v>
      </c>
      <c r="C150" s="6">
        <v>44651</v>
      </c>
      <c r="D150">
        <v>20210401</v>
      </c>
      <c r="E150">
        <v>20220331</v>
      </c>
      <c r="F150" t="s">
        <v>1072</v>
      </c>
      <c r="G150" t="s">
        <v>1073</v>
      </c>
      <c r="H150" t="s">
        <v>613</v>
      </c>
      <c r="I150" t="s">
        <v>846</v>
      </c>
      <c r="J150">
        <v>563</v>
      </c>
      <c r="K150">
        <v>458347.39</v>
      </c>
      <c r="N150">
        <v>-986.28</v>
      </c>
      <c r="O150">
        <v>-649104.39</v>
      </c>
      <c r="P150">
        <v>928.2</v>
      </c>
      <c r="Q150">
        <v>253301.43</v>
      </c>
      <c r="X150">
        <v>504.92</v>
      </c>
      <c r="Y150">
        <v>62544.43</v>
      </c>
      <c r="Z150" s="3">
        <f t="shared" si="2"/>
        <v>6814.7892561983563</v>
      </c>
    </row>
    <row r="151" spans="1:26">
      <c r="A151" t="s">
        <v>706</v>
      </c>
      <c r="B151" s="6">
        <v>44287</v>
      </c>
      <c r="C151" s="6">
        <v>44651</v>
      </c>
      <c r="D151">
        <v>20210401</v>
      </c>
      <c r="E151">
        <v>20220331</v>
      </c>
      <c r="F151" t="s">
        <v>1074</v>
      </c>
      <c r="G151" t="s">
        <v>1075</v>
      </c>
      <c r="H151" t="s">
        <v>613</v>
      </c>
      <c r="I151" t="s">
        <v>846</v>
      </c>
      <c r="J151">
        <v>447</v>
      </c>
      <c r="K151">
        <v>50354.559999999998</v>
      </c>
      <c r="P151">
        <v>296.31</v>
      </c>
      <c r="Q151">
        <v>33379.31</v>
      </c>
      <c r="X151">
        <v>743.31</v>
      </c>
      <c r="Y151">
        <v>83733.87</v>
      </c>
      <c r="Z151" s="3">
        <f t="shared" si="2"/>
        <v>112.64996118929498</v>
      </c>
    </row>
    <row r="152" spans="1:26">
      <c r="A152" t="s">
        <v>706</v>
      </c>
      <c r="B152" s="6">
        <v>44287</v>
      </c>
      <c r="C152" s="6">
        <v>44651</v>
      </c>
      <c r="D152">
        <v>20210401</v>
      </c>
      <c r="E152">
        <v>20220331</v>
      </c>
      <c r="F152" t="s">
        <v>1076</v>
      </c>
      <c r="G152" t="s">
        <v>1077</v>
      </c>
      <c r="H152" t="s">
        <v>613</v>
      </c>
      <c r="I152" t="s">
        <v>846</v>
      </c>
      <c r="J152">
        <v>556.20000000000005</v>
      </c>
      <c r="K152">
        <v>89979.59</v>
      </c>
      <c r="X152">
        <v>556.20000000000005</v>
      </c>
      <c r="Y152">
        <v>89979.59</v>
      </c>
      <c r="Z152" s="3">
        <f t="shared" si="2"/>
        <v>161.77560230133042</v>
      </c>
    </row>
    <row r="153" spans="1:26">
      <c r="A153" t="s">
        <v>706</v>
      </c>
      <c r="B153" s="6">
        <v>44287</v>
      </c>
      <c r="C153" s="6">
        <v>44651</v>
      </c>
      <c r="D153">
        <v>20210401</v>
      </c>
      <c r="E153">
        <v>20220331</v>
      </c>
      <c r="F153" t="s">
        <v>1078</v>
      </c>
      <c r="G153" t="s">
        <v>1079</v>
      </c>
      <c r="H153" t="s">
        <v>613</v>
      </c>
      <c r="I153" t="s">
        <v>837</v>
      </c>
      <c r="L153">
        <v>2250</v>
      </c>
      <c r="M153">
        <v>112500</v>
      </c>
      <c r="N153">
        <v>-970.21</v>
      </c>
      <c r="O153">
        <v>-48510.5</v>
      </c>
      <c r="X153">
        <v>1279.79</v>
      </c>
      <c r="Y153">
        <v>63989.5</v>
      </c>
      <c r="Z153" s="3">
        <f t="shared" si="2"/>
        <v>50</v>
      </c>
    </row>
    <row r="154" spans="1:26">
      <c r="A154" t="s">
        <v>706</v>
      </c>
      <c r="B154" s="6">
        <v>44287</v>
      </c>
      <c r="C154" s="6">
        <v>44651</v>
      </c>
      <c r="D154">
        <v>20210401</v>
      </c>
      <c r="E154">
        <v>20220331</v>
      </c>
      <c r="F154" t="s">
        <v>1080</v>
      </c>
      <c r="G154" t="s">
        <v>1081</v>
      </c>
      <c r="H154" t="s">
        <v>613</v>
      </c>
      <c r="I154" t="s">
        <v>846</v>
      </c>
      <c r="J154">
        <v>196</v>
      </c>
      <c r="X154">
        <v>196</v>
      </c>
      <c r="Z154" s="3">
        <f t="shared" si="2"/>
        <v>0</v>
      </c>
    </row>
    <row r="155" spans="1:26">
      <c r="A155" t="s">
        <v>706</v>
      </c>
      <c r="B155" s="6">
        <v>44287</v>
      </c>
      <c r="C155" s="6">
        <v>44651</v>
      </c>
      <c r="D155">
        <v>20210401</v>
      </c>
      <c r="E155">
        <v>20220331</v>
      </c>
      <c r="F155" t="s">
        <v>1082</v>
      </c>
      <c r="G155" t="s">
        <v>1083</v>
      </c>
      <c r="H155" t="s">
        <v>613</v>
      </c>
      <c r="I155" t="s">
        <v>837</v>
      </c>
      <c r="L155">
        <v>15790</v>
      </c>
      <c r="M155">
        <v>9095040</v>
      </c>
      <c r="N155">
        <v>-1020.83</v>
      </c>
      <c r="O155">
        <v>-587998.07999999996</v>
      </c>
      <c r="P155">
        <v>100</v>
      </c>
      <c r="Q155">
        <v>57600</v>
      </c>
      <c r="X155">
        <v>14869.17</v>
      </c>
      <c r="Y155">
        <v>8564641.9199999999</v>
      </c>
      <c r="Z155" s="3">
        <f t="shared" si="2"/>
        <v>575.99999999999989</v>
      </c>
    </row>
    <row r="156" spans="1:26">
      <c r="A156" t="s">
        <v>706</v>
      </c>
      <c r="B156" s="6">
        <v>44287</v>
      </c>
      <c r="C156" s="6">
        <v>44651</v>
      </c>
      <c r="D156">
        <v>20210401</v>
      </c>
      <c r="E156">
        <v>20220331</v>
      </c>
      <c r="F156" t="s">
        <v>1084</v>
      </c>
      <c r="G156" t="s">
        <v>1085</v>
      </c>
      <c r="H156" t="s">
        <v>613</v>
      </c>
      <c r="I156" t="s">
        <v>846</v>
      </c>
      <c r="J156">
        <v>1393.3530000000001</v>
      </c>
      <c r="N156">
        <v>-89247.48</v>
      </c>
      <c r="P156">
        <v>127808.36900000001</v>
      </c>
      <c r="R156">
        <v>-31286.294000000002</v>
      </c>
      <c r="X156">
        <v>8667.9480000000003</v>
      </c>
      <c r="Z156" s="3">
        <f t="shared" si="2"/>
        <v>0</v>
      </c>
    </row>
    <row r="157" spans="1:26">
      <c r="A157" t="s">
        <v>706</v>
      </c>
      <c r="B157" s="6">
        <v>44287</v>
      </c>
      <c r="C157" s="6">
        <v>44651</v>
      </c>
      <c r="D157">
        <v>20210401</v>
      </c>
      <c r="E157">
        <v>20220331</v>
      </c>
      <c r="F157" t="s">
        <v>1086</v>
      </c>
      <c r="G157" t="s">
        <v>1087</v>
      </c>
      <c r="H157" t="s">
        <v>613</v>
      </c>
      <c r="I157" t="s">
        <v>837</v>
      </c>
      <c r="L157">
        <v>10380</v>
      </c>
      <c r="M157">
        <v>480075</v>
      </c>
      <c r="N157">
        <v>-10380</v>
      </c>
      <c r="O157">
        <v>-480075</v>
      </c>
      <c r="Z157" s="3">
        <f t="shared" si="2"/>
        <v>46.25</v>
      </c>
    </row>
    <row r="158" spans="1:26">
      <c r="A158" t="s">
        <v>706</v>
      </c>
      <c r="B158" s="6">
        <v>44287</v>
      </c>
      <c r="C158" s="6">
        <v>44651</v>
      </c>
      <c r="D158">
        <v>20210401</v>
      </c>
      <c r="E158">
        <v>20220331</v>
      </c>
      <c r="F158" t="s">
        <v>1088</v>
      </c>
      <c r="G158" t="s">
        <v>1089</v>
      </c>
      <c r="H158" t="s">
        <v>613</v>
      </c>
      <c r="I158" t="s">
        <v>837</v>
      </c>
      <c r="L158">
        <v>7000</v>
      </c>
      <c r="M158">
        <v>357920</v>
      </c>
      <c r="N158">
        <v>-5798</v>
      </c>
      <c r="O158">
        <v>-297100.34999999998</v>
      </c>
      <c r="X158">
        <v>1202</v>
      </c>
      <c r="Y158">
        <v>60819.65</v>
      </c>
      <c r="Z158" s="3">
        <f t="shared" si="2"/>
        <v>51.241867885477745</v>
      </c>
    </row>
    <row r="159" spans="1:26">
      <c r="A159" t="s">
        <v>706</v>
      </c>
      <c r="B159" s="6">
        <v>44287</v>
      </c>
      <c r="C159" s="6">
        <v>44651</v>
      </c>
      <c r="D159">
        <v>20210401</v>
      </c>
      <c r="E159">
        <v>20220331</v>
      </c>
      <c r="F159" t="s">
        <v>1090</v>
      </c>
      <c r="G159" t="s">
        <v>1091</v>
      </c>
      <c r="H159" t="s">
        <v>613</v>
      </c>
      <c r="I159" t="s">
        <v>837</v>
      </c>
      <c r="L159">
        <v>20395</v>
      </c>
      <c r="M159">
        <v>6145425</v>
      </c>
      <c r="N159">
        <v>-20394.02</v>
      </c>
      <c r="O159">
        <v>-6145126.1200000001</v>
      </c>
      <c r="X159">
        <v>0.98</v>
      </c>
      <c r="Y159">
        <v>298.88</v>
      </c>
      <c r="Z159" s="3">
        <f t="shared" si="2"/>
        <v>301.32000066686214</v>
      </c>
    </row>
    <row r="160" spans="1:26" hidden="1">
      <c r="A160" t="s">
        <v>706</v>
      </c>
      <c r="B160" s="6">
        <v>44287</v>
      </c>
      <c r="C160" s="6">
        <v>44651</v>
      </c>
      <c r="D160">
        <v>20210401</v>
      </c>
      <c r="E160">
        <v>20220331</v>
      </c>
      <c r="F160" t="s">
        <v>1092</v>
      </c>
      <c r="G160" t="s">
        <v>1093</v>
      </c>
      <c r="H160" t="s">
        <v>613</v>
      </c>
      <c r="I160" t="s">
        <v>1094</v>
      </c>
      <c r="K160">
        <v>0.28000000000000003</v>
      </c>
      <c r="P160">
        <v>597.11</v>
      </c>
      <c r="Q160">
        <v>430.18</v>
      </c>
      <c r="X160">
        <v>597.11</v>
      </c>
      <c r="Y160">
        <v>430.46</v>
      </c>
      <c r="Z160" s="3">
        <f t="shared" si="2"/>
        <v>0.72043677044430676</v>
      </c>
    </row>
    <row r="161" spans="1:26">
      <c r="A161" t="s">
        <v>706</v>
      </c>
      <c r="B161" s="6">
        <v>44287</v>
      </c>
      <c r="C161" s="6">
        <v>44651</v>
      </c>
      <c r="D161">
        <v>20210401</v>
      </c>
      <c r="E161">
        <v>20220331</v>
      </c>
      <c r="F161" t="s">
        <v>1095</v>
      </c>
      <c r="G161" t="s">
        <v>1096</v>
      </c>
      <c r="H161" t="s">
        <v>613</v>
      </c>
      <c r="I161" t="s">
        <v>1097</v>
      </c>
      <c r="L161">
        <v>404</v>
      </c>
      <c r="M161">
        <v>13857.2</v>
      </c>
      <c r="N161">
        <v>-22</v>
      </c>
      <c r="O161">
        <v>-755.43</v>
      </c>
      <c r="P161">
        <v>31423.681</v>
      </c>
      <c r="Q161">
        <v>1081122.71</v>
      </c>
      <c r="R161">
        <v>-31805</v>
      </c>
      <c r="S161">
        <v>-1094483.43</v>
      </c>
      <c r="X161">
        <v>0.68100000000000005</v>
      </c>
      <c r="Y161">
        <v>-258.95</v>
      </c>
      <c r="Z161" s="3">
        <f t="shared" si="2"/>
        <v>34.404759413994427</v>
      </c>
    </row>
    <row r="162" spans="1:26">
      <c r="A162" t="s">
        <v>706</v>
      </c>
      <c r="B162" s="6">
        <v>44287</v>
      </c>
      <c r="C162" s="6">
        <v>44651</v>
      </c>
      <c r="D162">
        <v>20210401</v>
      </c>
      <c r="E162">
        <v>20220331</v>
      </c>
      <c r="F162" t="s">
        <v>1098</v>
      </c>
      <c r="G162" t="s">
        <v>1099</v>
      </c>
      <c r="H162" t="s">
        <v>613</v>
      </c>
      <c r="I162" t="s">
        <v>1097</v>
      </c>
      <c r="P162">
        <v>37540</v>
      </c>
      <c r="R162">
        <v>-37540</v>
      </c>
      <c r="Z162" s="3">
        <f t="shared" si="2"/>
        <v>0</v>
      </c>
    </row>
    <row r="163" spans="1:26">
      <c r="A163" t="s">
        <v>706</v>
      </c>
      <c r="B163" s="6">
        <v>44287</v>
      </c>
      <c r="C163" s="6">
        <v>44651</v>
      </c>
      <c r="D163">
        <v>20210401</v>
      </c>
      <c r="E163">
        <v>20220331</v>
      </c>
      <c r="F163" t="s">
        <v>1100</v>
      </c>
      <c r="G163" t="s">
        <v>1101</v>
      </c>
      <c r="H163" t="s">
        <v>613</v>
      </c>
      <c r="I163" t="s">
        <v>1097</v>
      </c>
      <c r="P163">
        <v>47584.04</v>
      </c>
      <c r="Q163">
        <v>2754816.09</v>
      </c>
      <c r="R163">
        <v>-47584</v>
      </c>
      <c r="S163">
        <v>-2754813.82</v>
      </c>
      <c r="X163">
        <v>0.04</v>
      </c>
      <c r="Y163">
        <v>2.27</v>
      </c>
      <c r="Z163" s="3">
        <f t="shared" si="2"/>
        <v>57.893699021772839</v>
      </c>
    </row>
    <row r="164" spans="1:26">
      <c r="A164" t="s">
        <v>706</v>
      </c>
      <c r="B164" s="6">
        <v>44287</v>
      </c>
      <c r="C164" s="6">
        <v>44651</v>
      </c>
      <c r="D164">
        <v>20210401</v>
      </c>
      <c r="E164">
        <v>20220331</v>
      </c>
      <c r="F164" t="s">
        <v>1102</v>
      </c>
      <c r="G164" t="s">
        <v>1103</v>
      </c>
      <c r="H164" t="s">
        <v>613</v>
      </c>
      <c r="I164" t="s">
        <v>1097</v>
      </c>
      <c r="J164">
        <v>558.4</v>
      </c>
      <c r="K164">
        <v>63086.080000000002</v>
      </c>
      <c r="P164">
        <v>4973.83</v>
      </c>
      <c r="Q164">
        <v>561920.41</v>
      </c>
      <c r="V164">
        <v>-2571</v>
      </c>
      <c r="W164">
        <v>-290459.75</v>
      </c>
      <c r="X164">
        <v>2961.23</v>
      </c>
      <c r="Y164">
        <v>334546.74</v>
      </c>
      <c r="Z164" s="3">
        <f t="shared" si="2"/>
        <v>112.97539521857402</v>
      </c>
    </row>
    <row r="165" spans="1:26">
      <c r="A165" t="s">
        <v>706</v>
      </c>
      <c r="B165" s="6">
        <v>44287</v>
      </c>
      <c r="C165" s="6">
        <v>44651</v>
      </c>
      <c r="D165">
        <v>20210401</v>
      </c>
      <c r="E165">
        <v>20220331</v>
      </c>
      <c r="F165" t="s">
        <v>1104</v>
      </c>
      <c r="G165" t="s">
        <v>1105</v>
      </c>
      <c r="H165" t="s">
        <v>613</v>
      </c>
      <c r="I165" t="s">
        <v>1097</v>
      </c>
      <c r="J165">
        <v>2010</v>
      </c>
      <c r="K165">
        <v>291726.74</v>
      </c>
      <c r="P165">
        <v>47624.614000000001</v>
      </c>
      <c r="Q165">
        <v>6176736.29</v>
      </c>
      <c r="V165">
        <v>-28398</v>
      </c>
      <c r="W165">
        <v>-3984615.15</v>
      </c>
      <c r="X165">
        <v>21236.614000000001</v>
      </c>
      <c r="Y165">
        <v>2483847.88</v>
      </c>
      <c r="Z165" s="3">
        <f t="shared" si="2"/>
        <v>129.69630137054759</v>
      </c>
    </row>
    <row r="166" spans="1:26">
      <c r="A166" t="s">
        <v>706</v>
      </c>
      <c r="B166" s="6">
        <v>44287</v>
      </c>
      <c r="C166" s="6">
        <v>44651</v>
      </c>
      <c r="D166">
        <v>20210401</v>
      </c>
      <c r="E166">
        <v>20220331</v>
      </c>
      <c r="F166" t="s">
        <v>1106</v>
      </c>
      <c r="G166" t="s">
        <v>1107</v>
      </c>
      <c r="H166" t="s">
        <v>613</v>
      </c>
      <c r="I166" t="s">
        <v>1097</v>
      </c>
      <c r="P166">
        <v>2277.6999999999998</v>
      </c>
      <c r="Q166">
        <v>187560.76</v>
      </c>
      <c r="V166">
        <v>-955</v>
      </c>
      <c r="W166">
        <v>-78640.91</v>
      </c>
      <c r="X166">
        <v>1322.7</v>
      </c>
      <c r="Y166">
        <v>108919.85</v>
      </c>
      <c r="Z166" s="3">
        <f t="shared" si="2"/>
        <v>82.34656012644335</v>
      </c>
    </row>
    <row r="167" spans="1:26">
      <c r="A167" t="s">
        <v>706</v>
      </c>
      <c r="B167" s="6">
        <v>44287</v>
      </c>
      <c r="C167" s="6">
        <v>44651</v>
      </c>
      <c r="D167">
        <v>20210401</v>
      </c>
      <c r="E167">
        <v>20220331</v>
      </c>
      <c r="F167" t="s">
        <v>1108</v>
      </c>
      <c r="G167" t="s">
        <v>1109</v>
      </c>
      <c r="H167" t="s">
        <v>613</v>
      </c>
      <c r="I167" t="s">
        <v>1097</v>
      </c>
      <c r="J167">
        <v>33.799999999999997</v>
      </c>
      <c r="K167">
        <v>591.14</v>
      </c>
      <c r="N167">
        <v>-937.2</v>
      </c>
      <c r="O167">
        <v>-16390.32</v>
      </c>
      <c r="P167">
        <v>2221.4</v>
      </c>
      <c r="Q167">
        <v>86022.23</v>
      </c>
      <c r="X167">
        <v>1318</v>
      </c>
      <c r="Y167">
        <v>70223.05</v>
      </c>
      <c r="Z167" s="3">
        <f t="shared" si="2"/>
        <v>54.222013705030371</v>
      </c>
    </row>
    <row r="168" spans="1:26">
      <c r="A168" t="s">
        <v>706</v>
      </c>
      <c r="B168" s="6">
        <v>44287</v>
      </c>
      <c r="C168" s="6">
        <v>44651</v>
      </c>
      <c r="D168">
        <v>20210401</v>
      </c>
      <c r="E168">
        <v>20220331</v>
      </c>
      <c r="F168" t="s">
        <v>1110</v>
      </c>
      <c r="G168" t="s">
        <v>1111</v>
      </c>
      <c r="H168" t="s">
        <v>613</v>
      </c>
      <c r="I168" t="s">
        <v>1097</v>
      </c>
      <c r="J168">
        <v>2111.23</v>
      </c>
      <c r="K168">
        <v>146948.25</v>
      </c>
      <c r="P168">
        <v>20196.099999999999</v>
      </c>
      <c r="Q168">
        <v>1405713.16</v>
      </c>
      <c r="V168">
        <v>-15718.53</v>
      </c>
      <c r="W168">
        <v>-1094059.99</v>
      </c>
      <c r="X168">
        <v>6588.8</v>
      </c>
      <c r="Y168">
        <v>458601.42</v>
      </c>
      <c r="Z168" s="3">
        <f t="shared" si="2"/>
        <v>69.603198637360677</v>
      </c>
    </row>
    <row r="169" spans="1:26">
      <c r="A169" t="s">
        <v>706</v>
      </c>
      <c r="B169" s="6">
        <v>44287</v>
      </c>
      <c r="C169" s="6">
        <v>44651</v>
      </c>
      <c r="D169">
        <v>20210401</v>
      </c>
      <c r="E169">
        <v>20220331</v>
      </c>
      <c r="F169" t="s">
        <v>1112</v>
      </c>
      <c r="G169" t="s">
        <v>1113</v>
      </c>
      <c r="I169" t="s">
        <v>1097</v>
      </c>
      <c r="P169">
        <v>45</v>
      </c>
      <c r="X169">
        <v>45</v>
      </c>
      <c r="Z169" s="3">
        <f t="shared" si="2"/>
        <v>0</v>
      </c>
    </row>
    <row r="170" spans="1:26" hidden="1">
      <c r="A170" t="s">
        <v>706</v>
      </c>
      <c r="B170" s="6">
        <v>44287</v>
      </c>
      <c r="C170" s="6">
        <v>44651</v>
      </c>
      <c r="D170">
        <v>20210401</v>
      </c>
      <c r="E170">
        <v>20220331</v>
      </c>
      <c r="F170" t="s">
        <v>1114</v>
      </c>
      <c r="G170" t="s">
        <v>1115</v>
      </c>
      <c r="H170" t="s">
        <v>613</v>
      </c>
      <c r="I170" t="s">
        <v>875</v>
      </c>
      <c r="J170">
        <v>4274</v>
      </c>
      <c r="K170">
        <v>106850</v>
      </c>
      <c r="N170">
        <v>-1689.0889999999999</v>
      </c>
      <c r="O170">
        <v>-42227.23</v>
      </c>
      <c r="X170">
        <v>2584.9110000000001</v>
      </c>
      <c r="Y170">
        <v>64622.77</v>
      </c>
      <c r="Z170" s="3">
        <f t="shared" si="2"/>
        <v>25.000002960175578</v>
      </c>
    </row>
    <row r="171" spans="1:26">
      <c r="A171" t="s">
        <v>706</v>
      </c>
      <c r="B171" s="6">
        <v>44287</v>
      </c>
      <c r="C171" s="6">
        <v>44651</v>
      </c>
      <c r="D171">
        <v>20210401</v>
      </c>
      <c r="E171">
        <v>20220331</v>
      </c>
      <c r="F171" t="s">
        <v>1116</v>
      </c>
      <c r="G171" t="s">
        <v>1117</v>
      </c>
      <c r="H171" t="s">
        <v>613</v>
      </c>
      <c r="I171" t="s">
        <v>1097</v>
      </c>
      <c r="J171">
        <v>1440.4</v>
      </c>
      <c r="P171">
        <v>11437.1</v>
      </c>
      <c r="R171">
        <v>-12640</v>
      </c>
      <c r="X171">
        <v>237.5</v>
      </c>
      <c r="Z171" s="3">
        <f t="shared" si="2"/>
        <v>0</v>
      </c>
    </row>
    <row r="172" spans="1:26" hidden="1">
      <c r="A172" t="s">
        <v>706</v>
      </c>
      <c r="B172" s="6">
        <v>44287</v>
      </c>
      <c r="C172" s="6">
        <v>44651</v>
      </c>
      <c r="D172">
        <v>20210401</v>
      </c>
      <c r="E172">
        <v>20220331</v>
      </c>
      <c r="F172" t="s">
        <v>1118</v>
      </c>
      <c r="G172" t="s">
        <v>1119</v>
      </c>
      <c r="H172" t="s">
        <v>1120</v>
      </c>
      <c r="I172" t="s">
        <v>805</v>
      </c>
      <c r="P172">
        <v>15</v>
      </c>
      <c r="R172">
        <v>-15</v>
      </c>
      <c r="Z172" s="3">
        <f t="shared" si="2"/>
        <v>0</v>
      </c>
    </row>
    <row r="173" spans="1:26" hidden="1">
      <c r="A173" t="s">
        <v>706</v>
      </c>
      <c r="B173" s="6">
        <v>44287</v>
      </c>
      <c r="C173" s="6">
        <v>44651</v>
      </c>
      <c r="D173">
        <v>20210401</v>
      </c>
      <c r="E173">
        <v>20220331</v>
      </c>
      <c r="F173" t="s">
        <v>1121</v>
      </c>
      <c r="G173" t="s">
        <v>1122</v>
      </c>
      <c r="H173" t="s">
        <v>1120</v>
      </c>
      <c r="I173" t="s">
        <v>805</v>
      </c>
      <c r="P173">
        <v>1</v>
      </c>
      <c r="R173">
        <v>-1</v>
      </c>
      <c r="Z173" s="3">
        <f t="shared" si="2"/>
        <v>0</v>
      </c>
    </row>
    <row r="174" spans="1:26" hidden="1">
      <c r="A174" t="s">
        <v>706</v>
      </c>
      <c r="B174" s="6">
        <v>44287</v>
      </c>
      <c r="C174" s="6">
        <v>44651</v>
      </c>
      <c r="D174">
        <v>20210401</v>
      </c>
      <c r="E174">
        <v>20220331</v>
      </c>
      <c r="F174" t="s">
        <v>1123</v>
      </c>
      <c r="G174" t="s">
        <v>1124</v>
      </c>
      <c r="H174" t="s">
        <v>1120</v>
      </c>
      <c r="I174" t="s">
        <v>805</v>
      </c>
      <c r="P174">
        <v>1</v>
      </c>
      <c r="R174">
        <v>-1</v>
      </c>
      <c r="Z174" s="3">
        <f t="shared" si="2"/>
        <v>0</v>
      </c>
    </row>
    <row r="175" spans="1:26" hidden="1">
      <c r="A175" t="s">
        <v>706</v>
      </c>
      <c r="B175" s="6">
        <v>44287</v>
      </c>
      <c r="C175" s="6">
        <v>44651</v>
      </c>
      <c r="D175">
        <v>20210401</v>
      </c>
      <c r="E175">
        <v>20220331</v>
      </c>
      <c r="F175" t="s">
        <v>1125</v>
      </c>
      <c r="G175" t="s">
        <v>1126</v>
      </c>
      <c r="H175" t="s">
        <v>613</v>
      </c>
      <c r="I175" t="s">
        <v>805</v>
      </c>
      <c r="J175">
        <v>100</v>
      </c>
      <c r="K175">
        <v>11910.7</v>
      </c>
      <c r="L175">
        <v>11475</v>
      </c>
      <c r="M175">
        <v>1266650</v>
      </c>
      <c r="N175">
        <v>-11125</v>
      </c>
      <c r="O175">
        <v>-1227532.23</v>
      </c>
      <c r="R175">
        <v>-400</v>
      </c>
      <c r="S175">
        <v>-44000</v>
      </c>
      <c r="X175">
        <v>50</v>
      </c>
      <c r="Y175">
        <v>7028.47</v>
      </c>
      <c r="Z175" s="3">
        <f t="shared" si="2"/>
        <v>110.33997573033707</v>
      </c>
    </row>
    <row r="176" spans="1:26" hidden="1">
      <c r="A176" t="s">
        <v>706</v>
      </c>
      <c r="B176" s="6">
        <v>44287</v>
      </c>
      <c r="C176" s="6">
        <v>44651</v>
      </c>
      <c r="D176">
        <v>20210401</v>
      </c>
      <c r="E176">
        <v>20220331</v>
      </c>
      <c r="F176" t="s">
        <v>1127</v>
      </c>
      <c r="G176" t="s">
        <v>1128</v>
      </c>
      <c r="H176" t="s">
        <v>613</v>
      </c>
      <c r="I176" t="s">
        <v>805</v>
      </c>
      <c r="P176">
        <v>10</v>
      </c>
      <c r="R176">
        <v>-10</v>
      </c>
      <c r="Z176" s="3">
        <f t="shared" si="2"/>
        <v>0</v>
      </c>
    </row>
    <row r="177" spans="1:26" hidden="1">
      <c r="A177" t="s">
        <v>706</v>
      </c>
      <c r="B177" s="6">
        <v>44287</v>
      </c>
      <c r="C177" s="6">
        <v>44651</v>
      </c>
      <c r="D177">
        <v>20210401</v>
      </c>
      <c r="E177">
        <v>20220331</v>
      </c>
      <c r="F177" t="s">
        <v>1129</v>
      </c>
      <c r="G177" t="s">
        <v>1130</v>
      </c>
      <c r="H177" t="s">
        <v>613</v>
      </c>
      <c r="I177" t="s">
        <v>805</v>
      </c>
      <c r="L177">
        <v>625</v>
      </c>
      <c r="M177">
        <v>9430.5</v>
      </c>
      <c r="N177">
        <v>-625</v>
      </c>
      <c r="O177">
        <v>-9430.5</v>
      </c>
      <c r="Z177" s="3">
        <f t="shared" si="2"/>
        <v>15.088800000000001</v>
      </c>
    </row>
    <row r="178" spans="1:26" hidden="1">
      <c r="A178" t="s">
        <v>706</v>
      </c>
      <c r="B178" s="6">
        <v>44287</v>
      </c>
      <c r="C178" s="6">
        <v>44651</v>
      </c>
      <c r="D178">
        <v>20210401</v>
      </c>
      <c r="E178">
        <v>20220331</v>
      </c>
      <c r="F178" t="s">
        <v>1131</v>
      </c>
      <c r="G178" t="s">
        <v>1132</v>
      </c>
      <c r="H178" t="s">
        <v>613</v>
      </c>
      <c r="I178" t="s">
        <v>805</v>
      </c>
      <c r="L178">
        <v>182</v>
      </c>
      <c r="M178">
        <v>1365</v>
      </c>
      <c r="N178">
        <v>-182</v>
      </c>
      <c r="O178">
        <v>-1365</v>
      </c>
      <c r="Z178" s="3">
        <f t="shared" si="2"/>
        <v>7.5</v>
      </c>
    </row>
    <row r="179" spans="1:26" hidden="1">
      <c r="A179" t="s">
        <v>706</v>
      </c>
      <c r="B179" s="6">
        <v>44287</v>
      </c>
      <c r="C179" s="6">
        <v>44651</v>
      </c>
      <c r="D179">
        <v>20210401</v>
      </c>
      <c r="E179">
        <v>20220331</v>
      </c>
      <c r="F179" t="s">
        <v>1133</v>
      </c>
      <c r="G179" t="s">
        <v>1134</v>
      </c>
      <c r="H179" t="s">
        <v>1135</v>
      </c>
      <c r="I179" t="s">
        <v>805</v>
      </c>
      <c r="L179">
        <v>5</v>
      </c>
      <c r="M179">
        <v>1350</v>
      </c>
      <c r="N179">
        <v>-5</v>
      </c>
      <c r="O179">
        <v>-1350</v>
      </c>
      <c r="Z179" s="3">
        <f t="shared" si="2"/>
        <v>270</v>
      </c>
    </row>
    <row r="180" spans="1:26" hidden="1">
      <c r="A180" t="s">
        <v>706</v>
      </c>
      <c r="B180" s="6">
        <v>44287</v>
      </c>
      <c r="C180" s="6">
        <v>44651</v>
      </c>
      <c r="D180">
        <v>20210401</v>
      </c>
      <c r="E180">
        <v>20220331</v>
      </c>
      <c r="F180" t="s">
        <v>1136</v>
      </c>
      <c r="G180" t="s">
        <v>1137</v>
      </c>
      <c r="H180" t="s">
        <v>613</v>
      </c>
      <c r="I180" t="s">
        <v>805</v>
      </c>
      <c r="L180">
        <v>1500</v>
      </c>
      <c r="M180">
        <v>54900</v>
      </c>
      <c r="N180">
        <v>-1500</v>
      </c>
      <c r="O180">
        <v>-54900</v>
      </c>
      <c r="Z180" s="3">
        <f t="shared" si="2"/>
        <v>36.6</v>
      </c>
    </row>
    <row r="181" spans="1:26" hidden="1">
      <c r="A181" t="s">
        <v>706</v>
      </c>
      <c r="B181" s="6">
        <v>44287</v>
      </c>
      <c r="C181" s="6">
        <v>44651</v>
      </c>
      <c r="D181">
        <v>20210401</v>
      </c>
      <c r="E181">
        <v>20220331</v>
      </c>
      <c r="F181" t="s">
        <v>1138</v>
      </c>
      <c r="G181" t="s">
        <v>1139</v>
      </c>
      <c r="H181" t="s">
        <v>613</v>
      </c>
      <c r="I181" t="s">
        <v>805</v>
      </c>
      <c r="J181">
        <v>650</v>
      </c>
      <c r="K181">
        <v>27950.16</v>
      </c>
      <c r="L181">
        <v>69000</v>
      </c>
      <c r="M181">
        <v>3137500</v>
      </c>
      <c r="N181">
        <v>-30600</v>
      </c>
      <c r="O181">
        <v>-1371293.74</v>
      </c>
      <c r="R181">
        <v>-35150</v>
      </c>
      <c r="S181">
        <v>-1595290.86</v>
      </c>
      <c r="X181">
        <v>3900</v>
      </c>
      <c r="Y181">
        <v>198865.56</v>
      </c>
      <c r="Z181" s="3">
        <f t="shared" si="2"/>
        <v>44.813520915032683</v>
      </c>
    </row>
    <row r="182" spans="1:26" hidden="1">
      <c r="A182" t="s">
        <v>706</v>
      </c>
      <c r="B182" s="6">
        <v>44287</v>
      </c>
      <c r="C182" s="6">
        <v>44651</v>
      </c>
      <c r="D182">
        <v>20210401</v>
      </c>
      <c r="E182">
        <v>20220331</v>
      </c>
      <c r="F182" t="s">
        <v>1140</v>
      </c>
      <c r="G182" t="s">
        <v>1141</v>
      </c>
      <c r="H182" t="s">
        <v>613</v>
      </c>
      <c r="I182" t="s">
        <v>805</v>
      </c>
      <c r="L182">
        <v>1550</v>
      </c>
      <c r="M182">
        <v>38150</v>
      </c>
      <c r="N182">
        <v>-1550</v>
      </c>
      <c r="O182">
        <v>-38150</v>
      </c>
      <c r="Z182" s="3">
        <f t="shared" si="2"/>
        <v>24.612903225806452</v>
      </c>
    </row>
    <row r="183" spans="1:26" hidden="1">
      <c r="A183" t="s">
        <v>706</v>
      </c>
      <c r="B183" s="6">
        <v>44287</v>
      </c>
      <c r="C183" s="6">
        <v>44651</v>
      </c>
      <c r="D183">
        <v>20210401</v>
      </c>
      <c r="E183">
        <v>20220331</v>
      </c>
      <c r="F183" t="s">
        <v>1142</v>
      </c>
      <c r="G183" t="s">
        <v>1143</v>
      </c>
      <c r="H183" t="s">
        <v>1135</v>
      </c>
      <c r="I183" t="s">
        <v>805</v>
      </c>
      <c r="L183">
        <v>4</v>
      </c>
      <c r="M183">
        <v>2800</v>
      </c>
      <c r="N183">
        <v>-4</v>
      </c>
      <c r="O183">
        <v>-2800</v>
      </c>
      <c r="Z183" s="3">
        <f t="shared" si="2"/>
        <v>700</v>
      </c>
    </row>
    <row r="184" spans="1:26" hidden="1">
      <c r="A184" t="s">
        <v>706</v>
      </c>
      <c r="B184" s="6">
        <v>44287</v>
      </c>
      <c r="C184" s="6">
        <v>44651</v>
      </c>
      <c r="D184">
        <v>20210401</v>
      </c>
      <c r="E184">
        <v>20220331</v>
      </c>
      <c r="F184" t="s">
        <v>1144</v>
      </c>
      <c r="G184" t="s">
        <v>1145</v>
      </c>
      <c r="H184" t="s">
        <v>613</v>
      </c>
      <c r="I184" t="s">
        <v>805</v>
      </c>
      <c r="J184">
        <v>100</v>
      </c>
      <c r="K184">
        <v>10495.4</v>
      </c>
      <c r="L184">
        <v>150</v>
      </c>
      <c r="M184">
        <v>16750</v>
      </c>
      <c r="N184">
        <v>-150</v>
      </c>
      <c r="O184">
        <v>-15580.14</v>
      </c>
      <c r="X184">
        <v>100</v>
      </c>
      <c r="Y184">
        <v>11665.26</v>
      </c>
      <c r="Z184" s="3">
        <f t="shared" si="2"/>
        <v>103.8676</v>
      </c>
    </row>
    <row r="185" spans="1:26" hidden="1">
      <c r="A185" t="s">
        <v>706</v>
      </c>
      <c r="B185" s="6">
        <v>44287</v>
      </c>
      <c r="C185" s="6">
        <v>44651</v>
      </c>
      <c r="D185">
        <v>20210401</v>
      </c>
      <c r="E185">
        <v>20220331</v>
      </c>
      <c r="F185" t="s">
        <v>1146</v>
      </c>
      <c r="G185" t="s">
        <v>1147</v>
      </c>
      <c r="H185" t="s">
        <v>613</v>
      </c>
      <c r="I185" t="s">
        <v>805</v>
      </c>
      <c r="J185">
        <v>725</v>
      </c>
      <c r="K185">
        <v>47124.959999999999</v>
      </c>
      <c r="L185">
        <v>26400</v>
      </c>
      <c r="M185">
        <v>1952924</v>
      </c>
      <c r="N185">
        <v>-20125</v>
      </c>
      <c r="O185">
        <v>-1500589.66</v>
      </c>
      <c r="R185">
        <v>-6500</v>
      </c>
      <c r="S185">
        <v>-455000</v>
      </c>
      <c r="X185">
        <v>500</v>
      </c>
      <c r="Y185">
        <v>44459.3</v>
      </c>
      <c r="Z185" s="3">
        <f t="shared" si="2"/>
        <v>74.56346136645962</v>
      </c>
    </row>
    <row r="186" spans="1:26" hidden="1">
      <c r="A186" t="s">
        <v>706</v>
      </c>
      <c r="B186" s="6">
        <v>44287</v>
      </c>
      <c r="C186" s="6">
        <v>44651</v>
      </c>
      <c r="D186">
        <v>20210401</v>
      </c>
      <c r="E186">
        <v>20220331</v>
      </c>
      <c r="F186" t="s">
        <v>1148</v>
      </c>
      <c r="G186" t="s">
        <v>1149</v>
      </c>
      <c r="H186" t="s">
        <v>613</v>
      </c>
      <c r="I186" t="s">
        <v>805</v>
      </c>
      <c r="L186">
        <v>1900</v>
      </c>
      <c r="M186">
        <v>115300</v>
      </c>
      <c r="N186">
        <v>-1900</v>
      </c>
      <c r="O186">
        <v>-115300</v>
      </c>
      <c r="Z186" s="3">
        <f t="shared" si="2"/>
        <v>60.684210526315788</v>
      </c>
    </row>
    <row r="187" spans="1:26" hidden="1">
      <c r="A187" t="s">
        <v>706</v>
      </c>
      <c r="B187" s="6">
        <v>44287</v>
      </c>
      <c r="C187" s="6">
        <v>44651</v>
      </c>
      <c r="D187">
        <v>20210401</v>
      </c>
      <c r="E187">
        <v>20220331</v>
      </c>
      <c r="F187" t="s">
        <v>1150</v>
      </c>
      <c r="G187" t="s">
        <v>1151</v>
      </c>
      <c r="H187" t="s">
        <v>613</v>
      </c>
      <c r="I187" t="s">
        <v>805</v>
      </c>
      <c r="J187">
        <v>975</v>
      </c>
      <c r="K187">
        <v>52511.5</v>
      </c>
      <c r="L187">
        <v>5250</v>
      </c>
      <c r="M187">
        <v>287500</v>
      </c>
      <c r="N187">
        <v>-5800</v>
      </c>
      <c r="O187">
        <v>-310702.38</v>
      </c>
      <c r="R187">
        <v>-125</v>
      </c>
      <c r="S187">
        <v>-5934.26</v>
      </c>
      <c r="X187">
        <v>300</v>
      </c>
      <c r="Y187">
        <v>23374.86</v>
      </c>
      <c r="Z187" s="3">
        <f t="shared" si="2"/>
        <v>53.569375862068966</v>
      </c>
    </row>
    <row r="188" spans="1:26" hidden="1">
      <c r="A188" t="s">
        <v>706</v>
      </c>
      <c r="B188" s="6">
        <v>44287</v>
      </c>
      <c r="C188" s="6">
        <v>44651</v>
      </c>
      <c r="D188">
        <v>20210401</v>
      </c>
      <c r="E188">
        <v>20220331</v>
      </c>
      <c r="F188" t="s">
        <v>1152</v>
      </c>
      <c r="G188" t="s">
        <v>1153</v>
      </c>
      <c r="H188" t="s">
        <v>613</v>
      </c>
      <c r="I188" t="s">
        <v>805</v>
      </c>
      <c r="J188">
        <v>225</v>
      </c>
      <c r="K188">
        <v>14400.26</v>
      </c>
      <c r="L188">
        <v>500</v>
      </c>
      <c r="M188">
        <v>33900</v>
      </c>
      <c r="N188">
        <v>-425</v>
      </c>
      <c r="O188">
        <v>-28110.74</v>
      </c>
      <c r="X188">
        <v>300</v>
      </c>
      <c r="Y188">
        <v>20189.52</v>
      </c>
      <c r="Z188" s="3">
        <f t="shared" si="2"/>
        <v>66.142917647058823</v>
      </c>
    </row>
    <row r="189" spans="1:26" hidden="1">
      <c r="A189" t="s">
        <v>706</v>
      </c>
      <c r="B189" s="6">
        <v>44287</v>
      </c>
      <c r="C189" s="6">
        <v>44651</v>
      </c>
      <c r="D189">
        <v>20210401</v>
      </c>
      <c r="E189">
        <v>20220331</v>
      </c>
      <c r="F189" t="s">
        <v>1154</v>
      </c>
      <c r="G189" t="s">
        <v>1155</v>
      </c>
      <c r="H189" t="s">
        <v>613</v>
      </c>
      <c r="I189" t="s">
        <v>805</v>
      </c>
      <c r="J189">
        <v>4800</v>
      </c>
      <c r="K189">
        <v>123407.01</v>
      </c>
      <c r="L189">
        <v>87900</v>
      </c>
      <c r="M189">
        <v>2457150</v>
      </c>
      <c r="N189">
        <v>-72500</v>
      </c>
      <c r="O189">
        <v>-2006787.5</v>
      </c>
      <c r="R189">
        <v>-18050</v>
      </c>
      <c r="S189">
        <v>-496562.5</v>
      </c>
      <c r="X189">
        <v>2150</v>
      </c>
      <c r="Y189">
        <v>77207.009999999995</v>
      </c>
      <c r="Z189" s="3">
        <f t="shared" si="2"/>
        <v>27.679827586206898</v>
      </c>
    </row>
    <row r="190" spans="1:26" hidden="1">
      <c r="A190" t="s">
        <v>706</v>
      </c>
      <c r="B190" s="6">
        <v>44287</v>
      </c>
      <c r="C190" s="6">
        <v>44651</v>
      </c>
      <c r="D190">
        <v>20210401</v>
      </c>
      <c r="E190">
        <v>20220331</v>
      </c>
      <c r="F190" t="s">
        <v>1156</v>
      </c>
      <c r="G190" t="s">
        <v>1157</v>
      </c>
      <c r="H190" t="s">
        <v>613</v>
      </c>
      <c r="I190" t="s">
        <v>805</v>
      </c>
      <c r="J190">
        <v>125</v>
      </c>
      <c r="K190">
        <v>26068.33</v>
      </c>
      <c r="L190">
        <v>1100</v>
      </c>
      <c r="M190">
        <v>214500</v>
      </c>
      <c r="N190">
        <v>-1025</v>
      </c>
      <c r="O190">
        <v>-199875</v>
      </c>
      <c r="R190">
        <v>-200</v>
      </c>
      <c r="S190">
        <v>-39000</v>
      </c>
      <c r="Y190">
        <v>1693.33</v>
      </c>
      <c r="Z190" s="3">
        <f t="shared" si="2"/>
        <v>195</v>
      </c>
    </row>
    <row r="191" spans="1:26" hidden="1">
      <c r="A191" t="s">
        <v>706</v>
      </c>
      <c r="B191" s="6">
        <v>44287</v>
      </c>
      <c r="C191" s="6">
        <v>44651</v>
      </c>
      <c r="D191">
        <v>20210401</v>
      </c>
      <c r="E191">
        <v>20220331</v>
      </c>
      <c r="F191" t="s">
        <v>1158</v>
      </c>
      <c r="G191" t="s">
        <v>1159</v>
      </c>
      <c r="H191" t="s">
        <v>590</v>
      </c>
      <c r="I191" t="s">
        <v>805</v>
      </c>
      <c r="J191">
        <v>250</v>
      </c>
      <c r="K191">
        <v>79040</v>
      </c>
      <c r="X191">
        <v>250</v>
      </c>
      <c r="Y191">
        <v>79040</v>
      </c>
      <c r="Z191" s="3">
        <f t="shared" si="2"/>
        <v>316.16000000000003</v>
      </c>
    </row>
    <row r="192" spans="1:26" hidden="1">
      <c r="A192" t="s">
        <v>706</v>
      </c>
      <c r="B192" s="6">
        <v>44287</v>
      </c>
      <c r="C192" s="6">
        <v>44651</v>
      </c>
      <c r="D192">
        <v>20210401</v>
      </c>
      <c r="E192">
        <v>20220331</v>
      </c>
      <c r="F192" t="s">
        <v>1160</v>
      </c>
      <c r="G192" t="s">
        <v>1161</v>
      </c>
      <c r="H192" t="s">
        <v>613</v>
      </c>
      <c r="I192" t="s">
        <v>805</v>
      </c>
      <c r="J192">
        <v>1750</v>
      </c>
      <c r="K192">
        <v>119482.2</v>
      </c>
      <c r="L192">
        <v>15500</v>
      </c>
      <c r="M192">
        <v>1045000</v>
      </c>
      <c r="N192">
        <v>-16600</v>
      </c>
      <c r="O192">
        <v>-1116735.01</v>
      </c>
      <c r="X192">
        <v>650</v>
      </c>
      <c r="Y192">
        <v>47747.19</v>
      </c>
      <c r="Z192" s="3">
        <f t="shared" si="2"/>
        <v>67.273193373493982</v>
      </c>
    </row>
    <row r="193" spans="1:26" hidden="1">
      <c r="A193" t="s">
        <v>706</v>
      </c>
      <c r="B193" s="6">
        <v>44287</v>
      </c>
      <c r="C193" s="6">
        <v>44651</v>
      </c>
      <c r="D193">
        <v>20210401</v>
      </c>
      <c r="E193">
        <v>20220331</v>
      </c>
      <c r="F193" t="s">
        <v>1162</v>
      </c>
      <c r="G193" t="s">
        <v>1163</v>
      </c>
      <c r="H193" t="s">
        <v>613</v>
      </c>
      <c r="I193" t="s">
        <v>805</v>
      </c>
      <c r="L193">
        <v>100</v>
      </c>
      <c r="M193">
        <v>21500</v>
      </c>
      <c r="N193">
        <v>-100</v>
      </c>
      <c r="O193">
        <v>-21500</v>
      </c>
      <c r="Z193" s="3">
        <f t="shared" si="2"/>
        <v>215</v>
      </c>
    </row>
    <row r="194" spans="1:26" hidden="1">
      <c r="A194" t="s">
        <v>706</v>
      </c>
      <c r="B194" s="6">
        <v>44287</v>
      </c>
      <c r="C194" s="6">
        <v>44651</v>
      </c>
      <c r="D194">
        <v>20210401</v>
      </c>
      <c r="E194">
        <v>20220331</v>
      </c>
      <c r="F194" t="s">
        <v>1164</v>
      </c>
      <c r="G194" t="s">
        <v>1165</v>
      </c>
      <c r="H194" t="s">
        <v>613</v>
      </c>
      <c r="I194" t="s">
        <v>1166</v>
      </c>
      <c r="J194">
        <v>10223</v>
      </c>
      <c r="K194">
        <v>511152.96</v>
      </c>
      <c r="L194">
        <v>503</v>
      </c>
      <c r="M194">
        <v>25150</v>
      </c>
      <c r="N194">
        <v>-5300</v>
      </c>
      <c r="O194">
        <v>-265000</v>
      </c>
      <c r="R194">
        <v>-100</v>
      </c>
      <c r="S194">
        <v>-5000</v>
      </c>
      <c r="X194">
        <v>5326</v>
      </c>
      <c r="Y194">
        <v>266302.96000000002</v>
      </c>
      <c r="Z194" s="3">
        <f t="shared" si="2"/>
        <v>50</v>
      </c>
    </row>
    <row r="195" spans="1:26" hidden="1">
      <c r="A195" t="s">
        <v>706</v>
      </c>
      <c r="B195" s="6">
        <v>44287</v>
      </c>
      <c r="C195" s="6">
        <v>44651</v>
      </c>
      <c r="D195">
        <v>20210401</v>
      </c>
      <c r="E195">
        <v>20220331</v>
      </c>
      <c r="F195" t="s">
        <v>1167</v>
      </c>
      <c r="G195" t="s">
        <v>1168</v>
      </c>
      <c r="H195" t="s">
        <v>613</v>
      </c>
      <c r="I195" t="s">
        <v>1166</v>
      </c>
      <c r="P195">
        <v>9711</v>
      </c>
      <c r="Q195">
        <v>1711175.31</v>
      </c>
      <c r="R195">
        <v>-9711</v>
      </c>
      <c r="S195">
        <v>-1711175.31</v>
      </c>
      <c r="Z195" s="3">
        <f t="shared" ref="Z195:Z258" si="3">IFERROR((O195+Q195)/(N195+P195),Y195/X195)</f>
        <v>176.21</v>
      </c>
    </row>
    <row r="196" spans="1:26" hidden="1">
      <c r="A196" t="s">
        <v>706</v>
      </c>
      <c r="B196" s="6">
        <v>44287</v>
      </c>
      <c r="C196" s="6">
        <v>44651</v>
      </c>
      <c r="D196">
        <v>20210401</v>
      </c>
      <c r="E196">
        <v>20220331</v>
      </c>
      <c r="F196" t="s">
        <v>1169</v>
      </c>
      <c r="G196" t="s">
        <v>1170</v>
      </c>
      <c r="H196" t="s">
        <v>613</v>
      </c>
      <c r="I196" t="s">
        <v>1166</v>
      </c>
      <c r="P196">
        <v>7784</v>
      </c>
      <c r="Q196">
        <v>1041343.52</v>
      </c>
      <c r="R196">
        <v>-7784</v>
      </c>
      <c r="S196">
        <v>-1041343.52</v>
      </c>
      <c r="Z196" s="3">
        <f t="shared" si="3"/>
        <v>133.78</v>
      </c>
    </row>
    <row r="197" spans="1:26" hidden="1">
      <c r="A197" t="s">
        <v>706</v>
      </c>
      <c r="B197" s="6">
        <v>44287</v>
      </c>
      <c r="C197" s="6">
        <v>44651</v>
      </c>
      <c r="D197">
        <v>20210401</v>
      </c>
      <c r="E197">
        <v>20220331</v>
      </c>
      <c r="F197" t="s">
        <v>1171</v>
      </c>
      <c r="G197" t="s">
        <v>1172</v>
      </c>
      <c r="H197" t="s">
        <v>1173</v>
      </c>
      <c r="I197" t="s">
        <v>1166</v>
      </c>
      <c r="J197">
        <v>4</v>
      </c>
      <c r="K197">
        <v>880</v>
      </c>
      <c r="N197">
        <v>-4</v>
      </c>
      <c r="O197">
        <v>-880</v>
      </c>
      <c r="Z197" s="3">
        <f t="shared" si="3"/>
        <v>220</v>
      </c>
    </row>
    <row r="198" spans="1:26">
      <c r="A198" t="s">
        <v>706</v>
      </c>
      <c r="B198" s="6">
        <v>44287</v>
      </c>
      <c r="C198" s="6">
        <v>44651</v>
      </c>
      <c r="D198">
        <v>20210401</v>
      </c>
      <c r="E198">
        <v>20220331</v>
      </c>
      <c r="F198" t="s">
        <v>1174</v>
      </c>
      <c r="G198" t="s">
        <v>1175</v>
      </c>
      <c r="H198" t="s">
        <v>613</v>
      </c>
      <c r="I198" t="s">
        <v>846</v>
      </c>
      <c r="P198">
        <v>1077</v>
      </c>
      <c r="R198">
        <v>-1076</v>
      </c>
      <c r="X198">
        <v>1</v>
      </c>
      <c r="Z198" s="3">
        <f t="shared" si="3"/>
        <v>0</v>
      </c>
    </row>
    <row r="199" spans="1:26" hidden="1">
      <c r="A199" t="s">
        <v>706</v>
      </c>
      <c r="B199" s="6">
        <v>44287</v>
      </c>
      <c r="C199" s="6">
        <v>44651</v>
      </c>
      <c r="D199">
        <v>20210401</v>
      </c>
      <c r="E199">
        <v>20220331</v>
      </c>
      <c r="F199" t="s">
        <v>1176</v>
      </c>
      <c r="G199" t="s">
        <v>1177</v>
      </c>
      <c r="H199" t="s">
        <v>613</v>
      </c>
      <c r="I199" t="s">
        <v>1166</v>
      </c>
      <c r="P199">
        <v>1356</v>
      </c>
      <c r="Q199">
        <v>105768</v>
      </c>
      <c r="R199">
        <v>-1356</v>
      </c>
      <c r="S199">
        <v>-105768</v>
      </c>
      <c r="Z199" s="3">
        <f t="shared" si="3"/>
        <v>78</v>
      </c>
    </row>
    <row r="200" spans="1:26">
      <c r="A200" t="s">
        <v>706</v>
      </c>
      <c r="B200" s="6">
        <v>44287</v>
      </c>
      <c r="C200" s="6">
        <v>44651</v>
      </c>
      <c r="D200">
        <v>20210401</v>
      </c>
      <c r="E200">
        <v>20220331</v>
      </c>
      <c r="F200" t="s">
        <v>1178</v>
      </c>
      <c r="G200" t="s">
        <v>736</v>
      </c>
      <c r="H200" t="s">
        <v>613</v>
      </c>
      <c r="I200" t="s">
        <v>837</v>
      </c>
      <c r="P200">
        <v>4716</v>
      </c>
      <c r="R200">
        <v>-4716</v>
      </c>
      <c r="Z200" s="3">
        <f t="shared" si="3"/>
        <v>0</v>
      </c>
    </row>
    <row r="201" spans="1:26" hidden="1">
      <c r="A201" t="s">
        <v>706</v>
      </c>
      <c r="B201" s="6">
        <v>44287</v>
      </c>
      <c r="C201" s="6">
        <v>44651</v>
      </c>
      <c r="D201">
        <v>20210401</v>
      </c>
      <c r="E201">
        <v>20220331</v>
      </c>
      <c r="F201" t="s">
        <v>1179</v>
      </c>
      <c r="G201" t="s">
        <v>1180</v>
      </c>
      <c r="H201" t="s">
        <v>613</v>
      </c>
      <c r="I201" t="s">
        <v>1166</v>
      </c>
      <c r="J201">
        <v>125</v>
      </c>
      <c r="N201">
        <v>-125</v>
      </c>
      <c r="Z201" s="3">
        <f t="shared" si="3"/>
        <v>0</v>
      </c>
    </row>
    <row r="202" spans="1:26" hidden="1">
      <c r="A202" t="s">
        <v>706</v>
      </c>
      <c r="B202" s="6">
        <v>44287</v>
      </c>
      <c r="C202" s="6">
        <v>44651</v>
      </c>
      <c r="D202">
        <v>20210401</v>
      </c>
      <c r="E202">
        <v>20220331</v>
      </c>
      <c r="F202" t="s">
        <v>1181</v>
      </c>
      <c r="G202" t="s">
        <v>1182</v>
      </c>
      <c r="H202" t="s">
        <v>613</v>
      </c>
      <c r="I202" t="s">
        <v>1166</v>
      </c>
      <c r="J202">
        <v>12362</v>
      </c>
      <c r="N202">
        <v>-13038</v>
      </c>
      <c r="P202">
        <v>676</v>
      </c>
      <c r="Z202" s="3">
        <f t="shared" si="3"/>
        <v>0</v>
      </c>
    </row>
    <row r="203" spans="1:26" hidden="1">
      <c r="A203" t="s">
        <v>706</v>
      </c>
      <c r="B203" s="6">
        <v>44287</v>
      </c>
      <c r="C203" s="6">
        <v>44651</v>
      </c>
      <c r="D203">
        <v>20210401</v>
      </c>
      <c r="E203">
        <v>20220331</v>
      </c>
      <c r="F203" t="s">
        <v>1183</v>
      </c>
      <c r="G203" t="s">
        <v>1184</v>
      </c>
      <c r="H203" t="s">
        <v>590</v>
      </c>
      <c r="I203" t="s">
        <v>805</v>
      </c>
      <c r="L203">
        <v>128</v>
      </c>
      <c r="M203">
        <v>4992</v>
      </c>
      <c r="N203">
        <v>-128</v>
      </c>
      <c r="O203">
        <v>-4992</v>
      </c>
      <c r="Z203" s="3">
        <f t="shared" si="3"/>
        <v>39</v>
      </c>
    </row>
    <row r="204" spans="1:26" hidden="1">
      <c r="A204" t="s">
        <v>706</v>
      </c>
      <c r="B204" s="6">
        <v>44287</v>
      </c>
      <c r="C204" s="6">
        <v>44651</v>
      </c>
      <c r="D204">
        <v>20210401</v>
      </c>
      <c r="E204">
        <v>20220331</v>
      </c>
      <c r="F204" t="s">
        <v>1185</v>
      </c>
      <c r="G204" t="s">
        <v>1186</v>
      </c>
      <c r="H204" t="s">
        <v>590</v>
      </c>
      <c r="I204" t="s">
        <v>1166</v>
      </c>
      <c r="L204">
        <v>10</v>
      </c>
      <c r="M204">
        <v>7000</v>
      </c>
      <c r="N204">
        <v>-10</v>
      </c>
      <c r="O204">
        <v>-7000</v>
      </c>
      <c r="Z204" s="3">
        <f t="shared" si="3"/>
        <v>700</v>
      </c>
    </row>
    <row r="205" spans="1:26" hidden="1">
      <c r="A205" t="s">
        <v>706</v>
      </c>
      <c r="B205" s="6">
        <v>44287</v>
      </c>
      <c r="C205" s="6">
        <v>44651</v>
      </c>
      <c r="D205">
        <v>20210401</v>
      </c>
      <c r="E205">
        <v>20220331</v>
      </c>
      <c r="F205" t="s">
        <v>1187</v>
      </c>
      <c r="G205" t="s">
        <v>1188</v>
      </c>
      <c r="H205" t="s">
        <v>590</v>
      </c>
      <c r="I205" t="s">
        <v>1166</v>
      </c>
      <c r="L205">
        <v>22</v>
      </c>
      <c r="M205">
        <v>32340</v>
      </c>
      <c r="N205">
        <v>-22</v>
      </c>
      <c r="O205">
        <v>-32340</v>
      </c>
      <c r="Z205" s="3">
        <f t="shared" si="3"/>
        <v>1470</v>
      </c>
    </row>
    <row r="206" spans="1:26" hidden="1">
      <c r="A206" t="s">
        <v>706</v>
      </c>
      <c r="B206" s="6">
        <v>44287</v>
      </c>
      <c r="C206" s="6">
        <v>44651</v>
      </c>
      <c r="D206">
        <v>20210401</v>
      </c>
      <c r="E206">
        <v>20220331</v>
      </c>
      <c r="F206" t="s">
        <v>1189</v>
      </c>
      <c r="G206" t="s">
        <v>1190</v>
      </c>
      <c r="H206" t="s">
        <v>613</v>
      </c>
      <c r="I206" t="s">
        <v>1191</v>
      </c>
      <c r="J206">
        <v>14800</v>
      </c>
      <c r="K206">
        <v>1635584.29</v>
      </c>
      <c r="L206">
        <v>9500</v>
      </c>
      <c r="M206">
        <v>1183700</v>
      </c>
      <c r="N206">
        <v>-18200</v>
      </c>
      <c r="O206">
        <v>-2120084.62</v>
      </c>
      <c r="P206">
        <v>2000</v>
      </c>
      <c r="Q206">
        <v>221604.6</v>
      </c>
      <c r="R206">
        <v>-8100</v>
      </c>
      <c r="S206">
        <v>-925094.03</v>
      </c>
      <c r="Y206">
        <v>-4289.76</v>
      </c>
      <c r="Z206" s="3">
        <f t="shared" si="3"/>
        <v>117.19012469135802</v>
      </c>
    </row>
    <row r="207" spans="1:26" hidden="1">
      <c r="A207" t="s">
        <v>706</v>
      </c>
      <c r="B207" s="6">
        <v>44287</v>
      </c>
      <c r="C207" s="6">
        <v>44651</v>
      </c>
      <c r="D207">
        <v>20210401</v>
      </c>
      <c r="E207">
        <v>20220331</v>
      </c>
      <c r="F207" t="s">
        <v>1192</v>
      </c>
      <c r="G207" t="s">
        <v>1193</v>
      </c>
      <c r="H207" t="s">
        <v>613</v>
      </c>
      <c r="I207" t="s">
        <v>1191</v>
      </c>
      <c r="J207">
        <v>8900</v>
      </c>
      <c r="K207">
        <v>237109.19</v>
      </c>
      <c r="L207">
        <v>343750</v>
      </c>
      <c r="M207">
        <v>10014625</v>
      </c>
      <c r="N207">
        <v>-301650</v>
      </c>
      <c r="O207">
        <v>-8793975</v>
      </c>
      <c r="R207">
        <v>-49000</v>
      </c>
      <c r="S207">
        <v>-1397500</v>
      </c>
      <c r="X207">
        <v>2000</v>
      </c>
      <c r="Y207">
        <v>60259.19</v>
      </c>
      <c r="Z207" s="3">
        <f t="shared" si="3"/>
        <v>29.152909000497264</v>
      </c>
    </row>
    <row r="208" spans="1:26" hidden="1">
      <c r="A208" t="s">
        <v>706</v>
      </c>
      <c r="B208" s="6">
        <v>44287</v>
      </c>
      <c r="C208" s="6">
        <v>44651</v>
      </c>
      <c r="D208">
        <v>20210401</v>
      </c>
      <c r="E208">
        <v>20220331</v>
      </c>
      <c r="F208" t="s">
        <v>1194</v>
      </c>
      <c r="G208" t="s">
        <v>1195</v>
      </c>
      <c r="H208" t="s">
        <v>613</v>
      </c>
      <c r="I208" t="s">
        <v>1191</v>
      </c>
      <c r="N208">
        <v>-90</v>
      </c>
      <c r="X208">
        <v>-90</v>
      </c>
      <c r="Z208" s="3">
        <f t="shared" si="3"/>
        <v>0</v>
      </c>
    </row>
    <row r="209" spans="1:26" hidden="1">
      <c r="A209" t="s">
        <v>706</v>
      </c>
      <c r="B209" s="6">
        <v>44287</v>
      </c>
      <c r="C209" s="6">
        <v>44651</v>
      </c>
      <c r="D209">
        <v>20210401</v>
      </c>
      <c r="E209">
        <v>20220331</v>
      </c>
      <c r="F209" t="s">
        <v>1196</v>
      </c>
      <c r="G209" t="s">
        <v>1197</v>
      </c>
      <c r="H209" t="s">
        <v>613</v>
      </c>
      <c r="I209" t="s">
        <v>1191</v>
      </c>
      <c r="J209">
        <v>1000</v>
      </c>
      <c r="K209">
        <v>312001.53999999998</v>
      </c>
      <c r="L209">
        <v>20522.91</v>
      </c>
      <c r="M209">
        <v>6671012.0800000001</v>
      </c>
      <c r="N209">
        <v>-21522.91</v>
      </c>
      <c r="O209">
        <v>-6983011.9299999997</v>
      </c>
      <c r="Y209">
        <v>1.69</v>
      </c>
      <c r="Z209" s="3">
        <f t="shared" si="3"/>
        <v>324.44552943816609</v>
      </c>
    </row>
    <row r="210" spans="1:26" hidden="1">
      <c r="A210" t="s">
        <v>706</v>
      </c>
      <c r="B210" s="6">
        <v>44287</v>
      </c>
      <c r="C210" s="6">
        <v>44651</v>
      </c>
      <c r="D210">
        <v>20210401</v>
      </c>
      <c r="E210">
        <v>20220331</v>
      </c>
      <c r="F210" t="s">
        <v>1198</v>
      </c>
      <c r="G210" t="s">
        <v>1199</v>
      </c>
      <c r="H210" t="s">
        <v>613</v>
      </c>
      <c r="I210" t="s">
        <v>1191</v>
      </c>
      <c r="J210">
        <v>9060</v>
      </c>
      <c r="K210">
        <v>108720</v>
      </c>
      <c r="L210">
        <v>4000</v>
      </c>
      <c r="M210">
        <v>48000</v>
      </c>
      <c r="N210">
        <v>-13060</v>
      </c>
      <c r="O210">
        <v>-156720</v>
      </c>
      <c r="Z210" s="3">
        <f t="shared" si="3"/>
        <v>12</v>
      </c>
    </row>
    <row r="211" spans="1:26" hidden="1">
      <c r="A211" t="s">
        <v>706</v>
      </c>
      <c r="B211" s="6">
        <v>44287</v>
      </c>
      <c r="C211" s="6">
        <v>44651</v>
      </c>
      <c r="D211">
        <v>20210401</v>
      </c>
      <c r="E211">
        <v>20220331</v>
      </c>
      <c r="F211" t="s">
        <v>1200</v>
      </c>
      <c r="G211" t="s">
        <v>1201</v>
      </c>
      <c r="H211" t="s">
        <v>613</v>
      </c>
      <c r="I211" t="s">
        <v>1191</v>
      </c>
      <c r="J211">
        <v>4408.5</v>
      </c>
      <c r="K211">
        <v>52902</v>
      </c>
      <c r="L211">
        <v>1000</v>
      </c>
      <c r="M211">
        <v>12000</v>
      </c>
      <c r="N211">
        <v>-5408.5</v>
      </c>
      <c r="O211">
        <v>-64902</v>
      </c>
      <c r="Z211" s="3">
        <f t="shared" si="3"/>
        <v>12</v>
      </c>
    </row>
    <row r="212" spans="1:26" hidden="1">
      <c r="A212" t="s">
        <v>706</v>
      </c>
      <c r="B212" s="6">
        <v>44287</v>
      </c>
      <c r="C212" s="6">
        <v>44651</v>
      </c>
      <c r="D212">
        <v>20210401</v>
      </c>
      <c r="E212">
        <v>20220331</v>
      </c>
      <c r="F212" t="s">
        <v>1202</v>
      </c>
      <c r="G212" t="s">
        <v>1203</v>
      </c>
      <c r="H212" t="s">
        <v>613</v>
      </c>
      <c r="I212" t="s">
        <v>1191</v>
      </c>
      <c r="L212">
        <v>28500</v>
      </c>
      <c r="M212">
        <v>3323100</v>
      </c>
      <c r="N212">
        <v>-15300</v>
      </c>
      <c r="O212">
        <v>-1783980</v>
      </c>
      <c r="R212">
        <v>-13200</v>
      </c>
      <c r="S212">
        <v>-1539120</v>
      </c>
      <c r="Z212" s="3">
        <f t="shared" si="3"/>
        <v>116.6</v>
      </c>
    </row>
    <row r="213" spans="1:26" hidden="1">
      <c r="A213" t="s">
        <v>706</v>
      </c>
      <c r="B213" s="6">
        <v>44287</v>
      </c>
      <c r="C213" s="6">
        <v>44651</v>
      </c>
      <c r="D213">
        <v>20210401</v>
      </c>
      <c r="E213">
        <v>20220331</v>
      </c>
      <c r="F213" t="s">
        <v>1204</v>
      </c>
      <c r="G213" t="s">
        <v>1205</v>
      </c>
      <c r="H213" t="s">
        <v>613</v>
      </c>
      <c r="I213" t="s">
        <v>1191</v>
      </c>
      <c r="L213">
        <v>346030</v>
      </c>
      <c r="M213">
        <v>4431700</v>
      </c>
      <c r="N213">
        <v>-329430</v>
      </c>
      <c r="O213">
        <v>-4218599.82</v>
      </c>
      <c r="R213">
        <v>-15000</v>
      </c>
      <c r="S213">
        <v>-191500</v>
      </c>
      <c r="X213">
        <v>1600</v>
      </c>
      <c r="Y213">
        <v>21600.18</v>
      </c>
      <c r="Z213" s="3">
        <f t="shared" si="3"/>
        <v>12.80575484928513</v>
      </c>
    </row>
    <row r="214" spans="1:26" hidden="1">
      <c r="A214" t="s">
        <v>706</v>
      </c>
      <c r="B214" s="6">
        <v>44287</v>
      </c>
      <c r="C214" s="6">
        <v>44651</v>
      </c>
      <c r="D214">
        <v>20210401</v>
      </c>
      <c r="E214">
        <v>20220331</v>
      </c>
      <c r="F214" t="s">
        <v>1206</v>
      </c>
      <c r="G214" t="s">
        <v>1207</v>
      </c>
      <c r="H214" t="s">
        <v>613</v>
      </c>
      <c r="I214" t="s">
        <v>1191</v>
      </c>
      <c r="L214">
        <v>97840</v>
      </c>
      <c r="M214">
        <v>1258100</v>
      </c>
      <c r="N214">
        <v>-80160</v>
      </c>
      <c r="O214">
        <v>-1020682.65</v>
      </c>
      <c r="X214">
        <v>17680</v>
      </c>
      <c r="Y214">
        <v>237417.35</v>
      </c>
      <c r="Z214" s="3">
        <f t="shared" si="3"/>
        <v>12.733066991017964</v>
      </c>
    </row>
    <row r="215" spans="1:26" hidden="1">
      <c r="A215" t="s">
        <v>706</v>
      </c>
      <c r="B215" s="6">
        <v>44287</v>
      </c>
      <c r="C215" s="6">
        <v>44651</v>
      </c>
      <c r="D215">
        <v>20210401</v>
      </c>
      <c r="E215">
        <v>20220331</v>
      </c>
      <c r="F215" t="s">
        <v>1208</v>
      </c>
      <c r="G215" t="s">
        <v>1209</v>
      </c>
      <c r="H215" t="s">
        <v>613</v>
      </c>
      <c r="I215" t="s">
        <v>1191</v>
      </c>
      <c r="N215">
        <v>-3.4</v>
      </c>
      <c r="O215">
        <v>-374</v>
      </c>
      <c r="P215">
        <v>3.4</v>
      </c>
      <c r="Q215">
        <v>374</v>
      </c>
      <c r="Z215" s="3" t="e">
        <f t="shared" si="3"/>
        <v>#DIV/0!</v>
      </c>
    </row>
    <row r="216" spans="1:26" hidden="1">
      <c r="A216" t="s">
        <v>706</v>
      </c>
      <c r="B216" s="6">
        <v>44287</v>
      </c>
      <c r="C216" s="6">
        <v>44651</v>
      </c>
      <c r="D216">
        <v>20210401</v>
      </c>
      <c r="E216">
        <v>20220331</v>
      </c>
      <c r="F216" t="s">
        <v>1210</v>
      </c>
      <c r="G216" t="s">
        <v>1211</v>
      </c>
      <c r="H216" t="s">
        <v>613</v>
      </c>
      <c r="I216" t="s">
        <v>1191</v>
      </c>
      <c r="K216">
        <v>0.56000000000000005</v>
      </c>
      <c r="L216">
        <v>49110</v>
      </c>
      <c r="M216">
        <v>550032</v>
      </c>
      <c r="N216">
        <v>-49110</v>
      </c>
      <c r="O216">
        <v>-550032</v>
      </c>
      <c r="Y216">
        <v>0.56000000000000005</v>
      </c>
      <c r="Z216" s="3">
        <f t="shared" si="3"/>
        <v>11.2</v>
      </c>
    </row>
    <row r="217" spans="1:26" hidden="1">
      <c r="A217" t="s">
        <v>706</v>
      </c>
      <c r="B217" s="6">
        <v>44287</v>
      </c>
      <c r="C217" s="6">
        <v>44651</v>
      </c>
      <c r="D217">
        <v>20210401</v>
      </c>
      <c r="E217">
        <v>20220331</v>
      </c>
      <c r="F217" t="s">
        <v>1212</v>
      </c>
      <c r="G217" t="s">
        <v>1213</v>
      </c>
      <c r="H217" t="s">
        <v>613</v>
      </c>
      <c r="I217" t="s">
        <v>1191</v>
      </c>
      <c r="L217">
        <v>2780</v>
      </c>
      <c r="M217">
        <v>31136</v>
      </c>
      <c r="N217">
        <v>-2780</v>
      </c>
      <c r="O217">
        <v>-31136</v>
      </c>
      <c r="Z217" s="3">
        <f t="shared" si="3"/>
        <v>11.2</v>
      </c>
    </row>
    <row r="218" spans="1:26" hidden="1">
      <c r="A218" t="s">
        <v>706</v>
      </c>
      <c r="B218" s="6">
        <v>44287</v>
      </c>
      <c r="C218" s="6">
        <v>44651</v>
      </c>
      <c r="D218">
        <v>20210401</v>
      </c>
      <c r="E218">
        <v>20220331</v>
      </c>
      <c r="F218" t="s">
        <v>1214</v>
      </c>
      <c r="G218" t="s">
        <v>1215</v>
      </c>
      <c r="H218" t="s">
        <v>590</v>
      </c>
      <c r="I218" t="s">
        <v>805</v>
      </c>
      <c r="J218">
        <v>500</v>
      </c>
      <c r="K218">
        <v>27500</v>
      </c>
      <c r="L218">
        <v>3500</v>
      </c>
      <c r="M218">
        <v>192500</v>
      </c>
      <c r="N218">
        <v>-3272</v>
      </c>
      <c r="O218">
        <v>-179960</v>
      </c>
      <c r="X218">
        <v>728</v>
      </c>
      <c r="Y218">
        <v>40040</v>
      </c>
      <c r="Z218" s="3">
        <f t="shared" si="3"/>
        <v>55</v>
      </c>
    </row>
    <row r="219" spans="1:26" hidden="1">
      <c r="A219" t="s">
        <v>706</v>
      </c>
      <c r="B219" s="6">
        <v>44287</v>
      </c>
      <c r="C219" s="6">
        <v>44651</v>
      </c>
      <c r="D219">
        <v>20210401</v>
      </c>
      <c r="E219">
        <v>20220331</v>
      </c>
      <c r="F219" t="s">
        <v>1216</v>
      </c>
      <c r="G219" t="s">
        <v>1217</v>
      </c>
      <c r="H219" t="s">
        <v>590</v>
      </c>
      <c r="I219" t="s">
        <v>805</v>
      </c>
      <c r="J219">
        <v>2500</v>
      </c>
      <c r="K219">
        <v>67890.61</v>
      </c>
      <c r="L219">
        <v>198460</v>
      </c>
      <c r="M219">
        <v>5630020</v>
      </c>
      <c r="N219">
        <v>-124700</v>
      </c>
      <c r="O219">
        <v>-3552561.71</v>
      </c>
      <c r="R219">
        <v>-70900</v>
      </c>
      <c r="S219">
        <v>-1994401.7</v>
      </c>
      <c r="X219">
        <v>5360</v>
      </c>
      <c r="Y219">
        <v>150947.20000000001</v>
      </c>
      <c r="Z219" s="3">
        <f t="shared" si="3"/>
        <v>28.488866960705693</v>
      </c>
    </row>
    <row r="220" spans="1:26" hidden="1">
      <c r="A220" t="s">
        <v>706</v>
      </c>
      <c r="B220" s="6">
        <v>44287</v>
      </c>
      <c r="C220" s="6">
        <v>44651</v>
      </c>
      <c r="D220">
        <v>20210401</v>
      </c>
      <c r="E220">
        <v>20220331</v>
      </c>
      <c r="F220" t="s">
        <v>1218</v>
      </c>
      <c r="G220" t="s">
        <v>1219</v>
      </c>
      <c r="H220" t="s">
        <v>1220</v>
      </c>
      <c r="I220" t="s">
        <v>1221</v>
      </c>
      <c r="J220">
        <v>3846</v>
      </c>
      <c r="K220">
        <v>123614.65</v>
      </c>
      <c r="N220">
        <v>-2200</v>
      </c>
      <c r="O220">
        <v>-70710.42</v>
      </c>
      <c r="X220">
        <v>1646</v>
      </c>
      <c r="Y220">
        <v>52904.23</v>
      </c>
      <c r="Z220" s="3">
        <f t="shared" si="3"/>
        <v>32.141100000000002</v>
      </c>
    </row>
    <row r="221" spans="1:26" hidden="1">
      <c r="A221" t="s">
        <v>706</v>
      </c>
      <c r="B221" s="6">
        <v>44287</v>
      </c>
      <c r="C221" s="6">
        <v>44651</v>
      </c>
      <c r="D221">
        <v>20210401</v>
      </c>
      <c r="E221">
        <v>20220331</v>
      </c>
      <c r="F221" t="s">
        <v>1222</v>
      </c>
      <c r="G221" t="s">
        <v>1223</v>
      </c>
      <c r="H221" t="s">
        <v>613</v>
      </c>
      <c r="I221" t="s">
        <v>1191</v>
      </c>
      <c r="N221">
        <v>-147577</v>
      </c>
      <c r="O221">
        <v>22972851.219999999</v>
      </c>
      <c r="V221">
        <v>147577</v>
      </c>
      <c r="W221">
        <v>-22965203.57</v>
      </c>
      <c r="Y221">
        <v>7647.65</v>
      </c>
      <c r="Z221" s="3">
        <f t="shared" si="3"/>
        <v>-155.66688047595491</v>
      </c>
    </row>
    <row r="222" spans="1:26" hidden="1">
      <c r="A222" t="s">
        <v>706</v>
      </c>
      <c r="B222" s="6">
        <v>44287</v>
      </c>
      <c r="C222" s="6">
        <v>44651</v>
      </c>
      <c r="D222">
        <v>20210401</v>
      </c>
      <c r="E222">
        <v>20220331</v>
      </c>
      <c r="F222" t="s">
        <v>1224</v>
      </c>
      <c r="G222" t="s">
        <v>1225</v>
      </c>
      <c r="H222" t="s">
        <v>613</v>
      </c>
      <c r="I222" t="s">
        <v>1191</v>
      </c>
      <c r="J222">
        <v>24180</v>
      </c>
      <c r="K222">
        <v>121076.89</v>
      </c>
      <c r="N222">
        <v>-81050</v>
      </c>
      <c r="O222">
        <v>-405801.14</v>
      </c>
      <c r="R222">
        <v>-10930</v>
      </c>
      <c r="S222">
        <v>-54724.32</v>
      </c>
      <c r="V222">
        <v>67800</v>
      </c>
      <c r="W222">
        <v>339461.02</v>
      </c>
      <c r="Y222">
        <v>12.45</v>
      </c>
      <c r="Z222" s="3">
        <f t="shared" si="3"/>
        <v>5.0068000000000001</v>
      </c>
    </row>
    <row r="223" spans="1:26" hidden="1">
      <c r="A223" t="s">
        <v>706</v>
      </c>
      <c r="B223" s="6">
        <v>44287</v>
      </c>
      <c r="C223" s="6">
        <v>44651</v>
      </c>
      <c r="D223">
        <v>20210401</v>
      </c>
      <c r="E223">
        <v>20220331</v>
      </c>
      <c r="F223" t="s">
        <v>1226</v>
      </c>
      <c r="G223" t="s">
        <v>1227</v>
      </c>
      <c r="H223" t="s">
        <v>613</v>
      </c>
      <c r="I223" t="s">
        <v>1191</v>
      </c>
      <c r="J223">
        <v>48680</v>
      </c>
      <c r="K223">
        <v>251852.35</v>
      </c>
      <c r="N223">
        <v>-150723</v>
      </c>
      <c r="O223">
        <v>-754428.9</v>
      </c>
      <c r="P223">
        <v>50</v>
      </c>
      <c r="Q223">
        <v>250.27</v>
      </c>
      <c r="R223">
        <v>-9810</v>
      </c>
      <c r="S223">
        <v>-49102.97</v>
      </c>
      <c r="V223">
        <v>111803</v>
      </c>
      <c r="W223">
        <v>559618.74</v>
      </c>
      <c r="Y223">
        <v>8189.49</v>
      </c>
      <c r="Z223" s="3">
        <f t="shared" si="3"/>
        <v>5.0053999721250655</v>
      </c>
    </row>
    <row r="224" spans="1:26" hidden="1">
      <c r="A224" t="s">
        <v>706</v>
      </c>
      <c r="B224" s="6">
        <v>44287</v>
      </c>
      <c r="C224" s="6">
        <v>44651</v>
      </c>
      <c r="D224">
        <v>20210401</v>
      </c>
      <c r="E224">
        <v>20220331</v>
      </c>
      <c r="F224" t="s">
        <v>1228</v>
      </c>
      <c r="G224" t="s">
        <v>1229</v>
      </c>
      <c r="H224" t="s">
        <v>613</v>
      </c>
      <c r="I224" t="s">
        <v>1191</v>
      </c>
      <c r="J224">
        <v>151896</v>
      </c>
      <c r="P224">
        <v>192355</v>
      </c>
      <c r="V224">
        <v>-335690</v>
      </c>
      <c r="X224">
        <v>8561</v>
      </c>
      <c r="Z224" s="3">
        <f t="shared" si="3"/>
        <v>0</v>
      </c>
    </row>
    <row r="225" spans="1:26" hidden="1">
      <c r="A225" t="s">
        <v>706</v>
      </c>
      <c r="B225" s="6">
        <v>44287</v>
      </c>
      <c r="C225" s="6">
        <v>44651</v>
      </c>
      <c r="D225">
        <v>20210401</v>
      </c>
      <c r="E225">
        <v>20220331</v>
      </c>
      <c r="F225" t="s">
        <v>1230</v>
      </c>
      <c r="G225" t="s">
        <v>1231</v>
      </c>
      <c r="H225" t="s">
        <v>590</v>
      </c>
      <c r="I225" t="s">
        <v>805</v>
      </c>
      <c r="J225">
        <v>60</v>
      </c>
      <c r="K225">
        <v>12000</v>
      </c>
      <c r="L225">
        <v>100</v>
      </c>
      <c r="M225">
        <v>20000</v>
      </c>
      <c r="N225">
        <v>-160</v>
      </c>
      <c r="O225">
        <v>-32000</v>
      </c>
      <c r="Z225" s="3">
        <f t="shared" si="3"/>
        <v>200</v>
      </c>
    </row>
    <row r="226" spans="1:26" hidden="1">
      <c r="A226" t="s">
        <v>706</v>
      </c>
      <c r="B226" s="6">
        <v>44287</v>
      </c>
      <c r="C226" s="6">
        <v>44651</v>
      </c>
      <c r="D226">
        <v>20210401</v>
      </c>
      <c r="E226">
        <v>20220331</v>
      </c>
      <c r="F226" t="s">
        <v>1232</v>
      </c>
      <c r="G226" t="s">
        <v>1233</v>
      </c>
      <c r="H226" t="s">
        <v>613</v>
      </c>
      <c r="I226" t="s">
        <v>1221</v>
      </c>
      <c r="L226">
        <v>5000</v>
      </c>
      <c r="M226">
        <v>463664.27</v>
      </c>
      <c r="N226">
        <v>-5000</v>
      </c>
      <c r="O226">
        <v>-463664.3</v>
      </c>
      <c r="Y226">
        <v>-0.03</v>
      </c>
      <c r="Z226" s="3">
        <f t="shared" si="3"/>
        <v>92.732860000000002</v>
      </c>
    </row>
    <row r="227" spans="1:26" hidden="1">
      <c r="A227" t="s">
        <v>706</v>
      </c>
      <c r="B227" s="6">
        <v>44287</v>
      </c>
      <c r="C227" s="6">
        <v>44651</v>
      </c>
      <c r="D227">
        <v>20210401</v>
      </c>
      <c r="E227">
        <v>20220331</v>
      </c>
      <c r="F227" t="s">
        <v>1234</v>
      </c>
      <c r="G227" t="s">
        <v>1235</v>
      </c>
      <c r="H227" t="s">
        <v>613</v>
      </c>
      <c r="I227" t="s">
        <v>1221</v>
      </c>
      <c r="L227">
        <v>18000</v>
      </c>
      <c r="M227">
        <v>2244843.14</v>
      </c>
      <c r="N227">
        <v>-17675</v>
      </c>
      <c r="O227">
        <v>-2197215.66</v>
      </c>
      <c r="X227">
        <v>325</v>
      </c>
      <c r="Y227">
        <v>47627.48</v>
      </c>
      <c r="Z227" s="3">
        <f t="shared" si="3"/>
        <v>124.31205997171146</v>
      </c>
    </row>
    <row r="228" spans="1:26" hidden="1">
      <c r="A228" t="s">
        <v>706</v>
      </c>
      <c r="B228" s="6">
        <v>44287</v>
      </c>
      <c r="C228" s="6">
        <v>44651</v>
      </c>
      <c r="D228">
        <v>20210401</v>
      </c>
      <c r="E228">
        <v>20220331</v>
      </c>
      <c r="F228" t="s">
        <v>1236</v>
      </c>
      <c r="G228" t="s">
        <v>1237</v>
      </c>
      <c r="H228" t="s">
        <v>613</v>
      </c>
      <c r="I228" t="s">
        <v>1221</v>
      </c>
      <c r="K228">
        <v>8.57</v>
      </c>
      <c r="L228">
        <v>17000</v>
      </c>
      <c r="M228">
        <v>1587325.1</v>
      </c>
      <c r="N228">
        <v>-17000</v>
      </c>
      <c r="O228">
        <v>-1587326.5</v>
      </c>
      <c r="Y228">
        <v>7.17</v>
      </c>
      <c r="Z228" s="3">
        <f t="shared" si="3"/>
        <v>93.372147058823529</v>
      </c>
    </row>
    <row r="229" spans="1:26" hidden="1">
      <c r="A229" t="s">
        <v>706</v>
      </c>
      <c r="B229" s="6">
        <v>44287</v>
      </c>
      <c r="C229" s="6">
        <v>44651</v>
      </c>
      <c r="D229">
        <v>20210401</v>
      </c>
      <c r="E229">
        <v>20220331</v>
      </c>
      <c r="F229" t="s">
        <v>1238</v>
      </c>
      <c r="G229" t="s">
        <v>1239</v>
      </c>
      <c r="H229" t="s">
        <v>613</v>
      </c>
      <c r="I229" t="s">
        <v>1191</v>
      </c>
      <c r="J229">
        <v>600</v>
      </c>
      <c r="K229">
        <v>73199.05</v>
      </c>
      <c r="L229">
        <v>48000</v>
      </c>
      <c r="M229">
        <v>9120000</v>
      </c>
      <c r="N229">
        <v>-29700</v>
      </c>
      <c r="O229">
        <v>-5689814.8499999996</v>
      </c>
      <c r="R229">
        <v>-18900</v>
      </c>
      <c r="S229">
        <v>-3503385.38</v>
      </c>
      <c r="Y229">
        <v>-1.18</v>
      </c>
      <c r="Z229" s="3">
        <f t="shared" si="3"/>
        <v>191.57625757575755</v>
      </c>
    </row>
    <row r="230" spans="1:26" hidden="1">
      <c r="A230" t="s">
        <v>706</v>
      </c>
      <c r="B230" s="6">
        <v>44287</v>
      </c>
      <c r="C230" s="6">
        <v>44651</v>
      </c>
      <c r="D230">
        <v>20210401</v>
      </c>
      <c r="E230">
        <v>20220331</v>
      </c>
      <c r="F230" t="s">
        <v>1240</v>
      </c>
      <c r="G230" t="s">
        <v>1241</v>
      </c>
      <c r="H230" t="s">
        <v>613</v>
      </c>
      <c r="I230" t="s">
        <v>1191</v>
      </c>
      <c r="J230">
        <v>1000</v>
      </c>
      <c r="K230">
        <v>127499.28</v>
      </c>
      <c r="L230">
        <v>78300</v>
      </c>
      <c r="M230">
        <v>15630750</v>
      </c>
      <c r="N230">
        <v>-38900</v>
      </c>
      <c r="O230">
        <v>-7323845.2699999996</v>
      </c>
      <c r="R230">
        <v>-35300</v>
      </c>
      <c r="S230">
        <v>-7337904.5499999998</v>
      </c>
      <c r="X230">
        <v>5100</v>
      </c>
      <c r="Y230">
        <v>1096499.46</v>
      </c>
      <c r="Z230" s="3">
        <f t="shared" si="3"/>
        <v>188.27365732647814</v>
      </c>
    </row>
    <row r="231" spans="1:26" hidden="1">
      <c r="A231" t="s">
        <v>706</v>
      </c>
      <c r="B231" s="6">
        <v>44287</v>
      </c>
      <c r="C231" s="6">
        <v>44651</v>
      </c>
      <c r="D231">
        <v>20210401</v>
      </c>
      <c r="E231">
        <v>20220331</v>
      </c>
      <c r="F231" t="s">
        <v>1242</v>
      </c>
      <c r="G231" t="s">
        <v>1243</v>
      </c>
      <c r="H231" t="s">
        <v>613</v>
      </c>
      <c r="I231" t="s">
        <v>1221</v>
      </c>
      <c r="K231">
        <v>196294.79</v>
      </c>
      <c r="L231">
        <v>80000</v>
      </c>
      <c r="M231">
        <v>10251942.4</v>
      </c>
      <c r="N231">
        <v>-23544.776000000002</v>
      </c>
      <c r="O231">
        <v>-2624957.0299999998</v>
      </c>
      <c r="R231">
        <v>-28455.223999999998</v>
      </c>
      <c r="S231">
        <v>-3433238.4</v>
      </c>
      <c r="X231">
        <v>28000</v>
      </c>
      <c r="Y231">
        <v>4390041.76</v>
      </c>
      <c r="Z231" s="3">
        <f t="shared" si="3"/>
        <v>111.4878744227594</v>
      </c>
    </row>
    <row r="232" spans="1:26" hidden="1">
      <c r="A232" t="s">
        <v>706</v>
      </c>
      <c r="B232" s="6">
        <v>44287</v>
      </c>
      <c r="C232" s="6">
        <v>44651</v>
      </c>
      <c r="D232">
        <v>20210401</v>
      </c>
      <c r="E232">
        <v>20220331</v>
      </c>
      <c r="F232" t="s">
        <v>1244</v>
      </c>
      <c r="G232" t="s">
        <v>1245</v>
      </c>
      <c r="H232" t="s">
        <v>590</v>
      </c>
      <c r="I232" t="s">
        <v>805</v>
      </c>
      <c r="J232">
        <v>9</v>
      </c>
      <c r="K232">
        <v>475.4</v>
      </c>
      <c r="L232">
        <v>1370</v>
      </c>
      <c r="M232">
        <v>35620</v>
      </c>
      <c r="N232">
        <v>-29</v>
      </c>
      <c r="O232">
        <v>-779.44</v>
      </c>
      <c r="R232">
        <v>-1350</v>
      </c>
      <c r="S232">
        <v>-35316</v>
      </c>
      <c r="Y232">
        <v>-0.04</v>
      </c>
      <c r="Z232" s="3">
        <f t="shared" si="3"/>
        <v>26.877241379310348</v>
      </c>
    </row>
    <row r="233" spans="1:26" hidden="1">
      <c r="A233" t="s">
        <v>706</v>
      </c>
      <c r="B233" s="6">
        <v>44287</v>
      </c>
      <c r="C233" s="6">
        <v>44651</v>
      </c>
      <c r="D233">
        <v>20210401</v>
      </c>
      <c r="E233">
        <v>20220331</v>
      </c>
      <c r="F233" t="s">
        <v>1246</v>
      </c>
      <c r="G233" t="s">
        <v>1247</v>
      </c>
      <c r="H233" t="s">
        <v>613</v>
      </c>
      <c r="I233" t="s">
        <v>1191</v>
      </c>
      <c r="J233">
        <v>3500</v>
      </c>
      <c r="K233">
        <v>269499.82</v>
      </c>
      <c r="L233">
        <v>56000</v>
      </c>
      <c r="M233">
        <v>4552000</v>
      </c>
      <c r="N233">
        <v>-54350</v>
      </c>
      <c r="O233">
        <v>-4332250.2</v>
      </c>
      <c r="X233">
        <v>5150</v>
      </c>
      <c r="Y233">
        <v>489249.62</v>
      </c>
      <c r="Z233" s="3">
        <f t="shared" si="3"/>
        <v>79.710215271389146</v>
      </c>
    </row>
    <row r="234" spans="1:26" hidden="1">
      <c r="A234" t="s">
        <v>706</v>
      </c>
      <c r="B234" s="6">
        <v>44287</v>
      </c>
      <c r="C234" s="6">
        <v>44651</v>
      </c>
      <c r="D234">
        <v>20210401</v>
      </c>
      <c r="E234">
        <v>20220331</v>
      </c>
      <c r="F234" t="s">
        <v>1248</v>
      </c>
      <c r="G234" t="s">
        <v>1249</v>
      </c>
      <c r="H234" t="s">
        <v>613</v>
      </c>
      <c r="I234" t="s">
        <v>1191</v>
      </c>
      <c r="J234">
        <v>1700</v>
      </c>
      <c r="K234">
        <v>105399.92</v>
      </c>
      <c r="L234">
        <v>34800</v>
      </c>
      <c r="M234">
        <v>2393000</v>
      </c>
      <c r="N234">
        <v>-33500</v>
      </c>
      <c r="O234">
        <v>-2249399.92</v>
      </c>
      <c r="X234">
        <v>3000</v>
      </c>
      <c r="Y234">
        <v>249000</v>
      </c>
      <c r="Z234" s="3">
        <f t="shared" si="3"/>
        <v>67.146266268656717</v>
      </c>
    </row>
    <row r="235" spans="1:26" hidden="1">
      <c r="A235" t="s">
        <v>706</v>
      </c>
      <c r="B235" s="6">
        <v>44287</v>
      </c>
      <c r="C235" s="6">
        <v>44651</v>
      </c>
      <c r="D235">
        <v>20210401</v>
      </c>
      <c r="E235">
        <v>20220331</v>
      </c>
      <c r="F235" t="s">
        <v>1250</v>
      </c>
      <c r="G235" t="s">
        <v>1251</v>
      </c>
      <c r="H235" t="s">
        <v>613</v>
      </c>
      <c r="I235" t="s">
        <v>1191</v>
      </c>
      <c r="J235">
        <v>1750</v>
      </c>
      <c r="K235">
        <v>103249.88</v>
      </c>
      <c r="L235">
        <v>45000</v>
      </c>
      <c r="M235">
        <v>2873000</v>
      </c>
      <c r="N235">
        <v>-43750</v>
      </c>
      <c r="O235">
        <v>-2736250.12</v>
      </c>
      <c r="X235">
        <v>3000</v>
      </c>
      <c r="Y235">
        <v>239999.76</v>
      </c>
      <c r="Z235" s="3">
        <f t="shared" si="3"/>
        <v>62.542859885714286</v>
      </c>
    </row>
    <row r="236" spans="1:26" hidden="1">
      <c r="A236" t="s">
        <v>706</v>
      </c>
      <c r="B236" s="6">
        <v>44287</v>
      </c>
      <c r="C236" s="6">
        <v>44651</v>
      </c>
      <c r="D236">
        <v>20210401</v>
      </c>
      <c r="E236">
        <v>20220331</v>
      </c>
      <c r="F236" t="s">
        <v>1252</v>
      </c>
      <c r="G236" t="s">
        <v>1253</v>
      </c>
      <c r="H236" t="s">
        <v>613</v>
      </c>
      <c r="I236" t="s">
        <v>1191</v>
      </c>
      <c r="J236">
        <v>500</v>
      </c>
      <c r="K236">
        <v>30999.96</v>
      </c>
      <c r="L236">
        <v>15500</v>
      </c>
      <c r="M236">
        <v>1115000</v>
      </c>
      <c r="N236">
        <v>-16000</v>
      </c>
      <c r="O236">
        <v>-1146000.07</v>
      </c>
      <c r="Y236">
        <v>-0.11</v>
      </c>
      <c r="Z236" s="3">
        <f t="shared" si="3"/>
        <v>71.625004375000003</v>
      </c>
    </row>
    <row r="237" spans="1:26" hidden="1">
      <c r="A237" t="s">
        <v>706</v>
      </c>
      <c r="B237" s="6">
        <v>44287</v>
      </c>
      <c r="C237" s="6">
        <v>44651</v>
      </c>
      <c r="D237">
        <v>20210401</v>
      </c>
      <c r="E237">
        <v>20220331</v>
      </c>
      <c r="F237" t="s">
        <v>1254</v>
      </c>
      <c r="G237" t="s">
        <v>1255</v>
      </c>
      <c r="H237" t="s">
        <v>590</v>
      </c>
      <c r="I237" t="s">
        <v>1191</v>
      </c>
      <c r="L237">
        <v>454</v>
      </c>
      <c r="M237">
        <v>26786</v>
      </c>
      <c r="N237">
        <v>-4</v>
      </c>
      <c r="O237">
        <v>-236</v>
      </c>
      <c r="P237">
        <v>300</v>
      </c>
      <c r="Q237">
        <v>17700</v>
      </c>
      <c r="R237">
        <v>-750</v>
      </c>
      <c r="S237">
        <v>-44250</v>
      </c>
      <c r="Z237" s="3">
        <f t="shared" si="3"/>
        <v>59</v>
      </c>
    </row>
    <row r="238" spans="1:26" hidden="1">
      <c r="A238" t="s">
        <v>706</v>
      </c>
      <c r="B238" s="6">
        <v>44287</v>
      </c>
      <c r="C238" s="6">
        <v>44651</v>
      </c>
      <c r="D238">
        <v>20210401</v>
      </c>
      <c r="E238">
        <v>20220331</v>
      </c>
      <c r="F238" t="s">
        <v>1256</v>
      </c>
      <c r="G238" t="s">
        <v>1257</v>
      </c>
      <c r="H238" t="s">
        <v>590</v>
      </c>
      <c r="I238" t="s">
        <v>805</v>
      </c>
      <c r="J238">
        <v>217</v>
      </c>
      <c r="K238">
        <v>13020</v>
      </c>
      <c r="L238">
        <v>5100</v>
      </c>
      <c r="M238">
        <v>306000</v>
      </c>
      <c r="N238">
        <v>-4897</v>
      </c>
      <c r="O238">
        <v>-293820</v>
      </c>
      <c r="X238">
        <v>420</v>
      </c>
      <c r="Y238">
        <v>25200</v>
      </c>
      <c r="Z238" s="3">
        <f t="shared" si="3"/>
        <v>60</v>
      </c>
    </row>
    <row r="239" spans="1:26" hidden="1">
      <c r="A239" t="s">
        <v>706</v>
      </c>
      <c r="B239" s="6">
        <v>44287</v>
      </c>
      <c r="C239" s="6">
        <v>44651</v>
      </c>
      <c r="D239">
        <v>20210401</v>
      </c>
      <c r="E239">
        <v>20220331</v>
      </c>
      <c r="F239" t="s">
        <v>1258</v>
      </c>
      <c r="G239" t="s">
        <v>1197</v>
      </c>
      <c r="H239" t="s">
        <v>613</v>
      </c>
      <c r="I239" t="s">
        <v>1191</v>
      </c>
      <c r="L239">
        <v>500</v>
      </c>
      <c r="M239">
        <v>157000</v>
      </c>
      <c r="N239">
        <v>-500</v>
      </c>
      <c r="O239">
        <v>-157000</v>
      </c>
      <c r="Z239" s="3">
        <f t="shared" si="3"/>
        <v>314</v>
      </c>
    </row>
    <row r="240" spans="1:26" hidden="1">
      <c r="A240" t="s">
        <v>706</v>
      </c>
      <c r="B240" s="6">
        <v>44287</v>
      </c>
      <c r="C240" s="6">
        <v>44651</v>
      </c>
      <c r="D240">
        <v>20210401</v>
      </c>
      <c r="E240">
        <v>20220331</v>
      </c>
      <c r="F240" t="s">
        <v>1259</v>
      </c>
      <c r="G240" t="s">
        <v>1243</v>
      </c>
      <c r="H240" t="s">
        <v>613</v>
      </c>
      <c r="I240" t="s">
        <v>1191</v>
      </c>
      <c r="L240">
        <v>29000</v>
      </c>
      <c r="M240">
        <v>4239000</v>
      </c>
      <c r="N240">
        <v>-22000</v>
      </c>
      <c r="O240">
        <v>-3344800</v>
      </c>
      <c r="R240">
        <v>-7000</v>
      </c>
      <c r="S240">
        <v>-894200</v>
      </c>
      <c r="Z240" s="3">
        <f t="shared" si="3"/>
        <v>152.03636363636363</v>
      </c>
    </row>
    <row r="241" spans="1:26" hidden="1">
      <c r="A241" t="s">
        <v>706</v>
      </c>
      <c r="B241" s="6">
        <v>44287</v>
      </c>
      <c r="C241" s="6">
        <v>44651</v>
      </c>
      <c r="D241">
        <v>20210401</v>
      </c>
      <c r="E241">
        <v>20220331</v>
      </c>
      <c r="F241" t="s">
        <v>1260</v>
      </c>
      <c r="G241" t="s">
        <v>1261</v>
      </c>
      <c r="H241" t="s">
        <v>590</v>
      </c>
      <c r="I241" t="s">
        <v>805</v>
      </c>
      <c r="L241">
        <v>1000</v>
      </c>
      <c r="M241">
        <v>25000</v>
      </c>
      <c r="N241">
        <v>-1000</v>
      </c>
      <c r="O241">
        <v>-25000</v>
      </c>
      <c r="Z241" s="3">
        <f t="shared" si="3"/>
        <v>25</v>
      </c>
    </row>
    <row r="242" spans="1:26" hidden="1">
      <c r="A242" t="s">
        <v>706</v>
      </c>
      <c r="B242" s="6">
        <v>44287</v>
      </c>
      <c r="C242" s="6">
        <v>44651</v>
      </c>
      <c r="D242">
        <v>20210401</v>
      </c>
      <c r="E242">
        <v>20220331</v>
      </c>
      <c r="F242" t="s">
        <v>1262</v>
      </c>
      <c r="G242" t="s">
        <v>1197</v>
      </c>
      <c r="H242" t="s">
        <v>613</v>
      </c>
      <c r="I242" t="s">
        <v>1191</v>
      </c>
      <c r="L242">
        <v>3409.2</v>
      </c>
      <c r="M242">
        <v>1102080.8</v>
      </c>
      <c r="N242">
        <v>-3409.2</v>
      </c>
      <c r="O242">
        <v>-1102080.8</v>
      </c>
      <c r="Z242" s="3">
        <f t="shared" si="3"/>
        <v>323.26669013258248</v>
      </c>
    </row>
    <row r="243" spans="1:26" hidden="1">
      <c r="A243" t="s">
        <v>706</v>
      </c>
      <c r="B243" s="6">
        <v>44287</v>
      </c>
      <c r="C243" s="6">
        <v>44651</v>
      </c>
      <c r="D243">
        <v>20210401</v>
      </c>
      <c r="E243">
        <v>20220331</v>
      </c>
      <c r="F243" t="s">
        <v>1263</v>
      </c>
      <c r="G243" t="s">
        <v>1264</v>
      </c>
      <c r="H243" t="s">
        <v>613</v>
      </c>
      <c r="I243" t="s">
        <v>1191</v>
      </c>
      <c r="J243">
        <v>400</v>
      </c>
      <c r="K243">
        <v>76165.490000000005</v>
      </c>
      <c r="L243">
        <v>2200</v>
      </c>
      <c r="M243">
        <v>435160</v>
      </c>
      <c r="N243">
        <v>-2380</v>
      </c>
      <c r="O243">
        <v>-454302.58</v>
      </c>
      <c r="X243">
        <v>220</v>
      </c>
      <c r="Y243">
        <v>57022.91</v>
      </c>
      <c r="Z243" s="3">
        <f t="shared" si="3"/>
        <v>190.88343697478993</v>
      </c>
    </row>
    <row r="244" spans="1:26" hidden="1">
      <c r="A244" t="s">
        <v>706</v>
      </c>
      <c r="B244" s="6">
        <v>44287</v>
      </c>
      <c r="C244" s="6">
        <v>44651</v>
      </c>
      <c r="D244">
        <v>20210401</v>
      </c>
      <c r="E244">
        <v>20220331</v>
      </c>
      <c r="F244" t="s">
        <v>1265</v>
      </c>
      <c r="G244" t="s">
        <v>1266</v>
      </c>
      <c r="H244" t="s">
        <v>1267</v>
      </c>
      <c r="I244" t="s">
        <v>1191</v>
      </c>
      <c r="L244">
        <v>11370</v>
      </c>
      <c r="M244">
        <v>403792.5</v>
      </c>
      <c r="N244">
        <v>-10320</v>
      </c>
      <c r="O244">
        <v>-363332.15</v>
      </c>
      <c r="X244">
        <v>1050</v>
      </c>
      <c r="Y244">
        <v>40460.35</v>
      </c>
      <c r="Z244" s="3">
        <f t="shared" si="3"/>
        <v>35.206603682170545</v>
      </c>
    </row>
    <row r="245" spans="1:26" hidden="1">
      <c r="A245" t="s">
        <v>706</v>
      </c>
      <c r="B245" s="6">
        <v>44287</v>
      </c>
      <c r="C245" s="6">
        <v>44651</v>
      </c>
      <c r="D245">
        <v>20210401</v>
      </c>
      <c r="E245">
        <v>20220331</v>
      </c>
      <c r="F245" t="s">
        <v>1268</v>
      </c>
      <c r="G245" t="s">
        <v>1269</v>
      </c>
      <c r="H245" t="s">
        <v>613</v>
      </c>
      <c r="I245" t="s">
        <v>1191</v>
      </c>
      <c r="J245">
        <v>2500</v>
      </c>
      <c r="K245">
        <v>64502.080000000002</v>
      </c>
      <c r="L245">
        <v>514020</v>
      </c>
      <c r="M245">
        <v>14188690</v>
      </c>
      <c r="N245">
        <v>-488270</v>
      </c>
      <c r="O245">
        <v>-13410987.710000001</v>
      </c>
      <c r="R245">
        <v>-18000</v>
      </c>
      <c r="S245">
        <v>-533677</v>
      </c>
      <c r="X245">
        <v>10250</v>
      </c>
      <c r="Y245">
        <v>308527.37</v>
      </c>
      <c r="Z245" s="3">
        <f t="shared" si="3"/>
        <v>27.466335654453481</v>
      </c>
    </row>
    <row r="246" spans="1:26" hidden="1">
      <c r="A246" t="s">
        <v>706</v>
      </c>
      <c r="B246" s="6">
        <v>44287</v>
      </c>
      <c r="C246" s="6">
        <v>44651</v>
      </c>
      <c r="D246">
        <v>20210401</v>
      </c>
      <c r="E246">
        <v>20220331</v>
      </c>
      <c r="F246" t="s">
        <v>1270</v>
      </c>
      <c r="G246" t="s">
        <v>1271</v>
      </c>
      <c r="H246" t="s">
        <v>590</v>
      </c>
      <c r="I246" t="s">
        <v>805</v>
      </c>
      <c r="L246">
        <v>10</v>
      </c>
      <c r="M246">
        <v>2816.88</v>
      </c>
      <c r="N246">
        <v>-10</v>
      </c>
      <c r="O246">
        <v>-2816.88</v>
      </c>
      <c r="Z246" s="3">
        <f t="shared" si="3"/>
        <v>281.68799999999999</v>
      </c>
    </row>
    <row r="247" spans="1:26" hidden="1">
      <c r="A247" t="s">
        <v>706</v>
      </c>
      <c r="B247" s="6">
        <v>44287</v>
      </c>
      <c r="C247" s="6">
        <v>44651</v>
      </c>
      <c r="D247">
        <v>20210401</v>
      </c>
      <c r="E247">
        <v>20220331</v>
      </c>
      <c r="F247" t="s">
        <v>1272</v>
      </c>
      <c r="G247" t="s">
        <v>1273</v>
      </c>
      <c r="H247" t="s">
        <v>613</v>
      </c>
      <c r="I247" t="s">
        <v>805</v>
      </c>
      <c r="J247">
        <v>190</v>
      </c>
      <c r="K247">
        <v>26811.72</v>
      </c>
      <c r="L247">
        <v>380</v>
      </c>
      <c r="M247">
        <v>58216</v>
      </c>
      <c r="N247">
        <v>-456</v>
      </c>
      <c r="O247">
        <v>-64974.06</v>
      </c>
      <c r="X247">
        <v>114</v>
      </c>
      <c r="Y247">
        <v>20053.66</v>
      </c>
      <c r="Z247" s="3">
        <f t="shared" si="3"/>
        <v>142.48697368421051</v>
      </c>
    </row>
    <row r="248" spans="1:26" hidden="1">
      <c r="A248" t="s">
        <v>706</v>
      </c>
      <c r="B248" s="6">
        <v>44287</v>
      </c>
      <c r="C248" s="6">
        <v>44651</v>
      </c>
      <c r="D248">
        <v>20210401</v>
      </c>
      <c r="E248">
        <v>20220331</v>
      </c>
      <c r="F248" t="s">
        <v>1274</v>
      </c>
      <c r="G248" t="s">
        <v>1275</v>
      </c>
      <c r="H248" t="s">
        <v>613</v>
      </c>
      <c r="I248" t="s">
        <v>1166</v>
      </c>
      <c r="L248">
        <v>740</v>
      </c>
      <c r="M248">
        <v>36920</v>
      </c>
      <c r="N248">
        <v>-640</v>
      </c>
      <c r="O248">
        <v>-32036.13</v>
      </c>
      <c r="R248">
        <v>-50</v>
      </c>
      <c r="S248">
        <v>-2496.37</v>
      </c>
      <c r="X248">
        <v>50</v>
      </c>
      <c r="Y248">
        <v>2387.5</v>
      </c>
      <c r="Z248" s="3">
        <f t="shared" si="3"/>
        <v>50.056453125000004</v>
      </c>
    </row>
    <row r="249" spans="1:26" hidden="1">
      <c r="A249" t="s">
        <v>706</v>
      </c>
      <c r="B249" s="6">
        <v>44287</v>
      </c>
      <c r="C249" s="6">
        <v>44651</v>
      </c>
      <c r="D249">
        <v>20210401</v>
      </c>
      <c r="E249">
        <v>20220331</v>
      </c>
      <c r="F249" t="s">
        <v>1276</v>
      </c>
      <c r="G249" t="s">
        <v>1277</v>
      </c>
      <c r="H249" t="s">
        <v>613</v>
      </c>
      <c r="I249" t="s">
        <v>805</v>
      </c>
      <c r="L249">
        <v>17310</v>
      </c>
      <c r="M249">
        <v>287124</v>
      </c>
      <c r="N249">
        <v>-16630</v>
      </c>
      <c r="O249">
        <v>-273888.17</v>
      </c>
      <c r="X249">
        <v>680</v>
      </c>
      <c r="Y249">
        <v>13235.83</v>
      </c>
      <c r="Z249" s="3">
        <f t="shared" si="3"/>
        <v>16.469523150932048</v>
      </c>
    </row>
    <row r="250" spans="1:26" hidden="1">
      <c r="A250" t="s">
        <v>706</v>
      </c>
      <c r="B250" s="6">
        <v>44287</v>
      </c>
      <c r="C250" s="6">
        <v>44651</v>
      </c>
      <c r="D250">
        <v>20210401</v>
      </c>
      <c r="E250">
        <v>20220331</v>
      </c>
      <c r="F250" t="s">
        <v>1278</v>
      </c>
      <c r="G250" t="s">
        <v>1279</v>
      </c>
      <c r="H250" t="s">
        <v>613</v>
      </c>
      <c r="I250" t="s">
        <v>805</v>
      </c>
      <c r="J250">
        <v>150</v>
      </c>
      <c r="K250">
        <v>4649.97</v>
      </c>
      <c r="L250">
        <v>1540</v>
      </c>
      <c r="M250">
        <v>76660</v>
      </c>
      <c r="N250">
        <v>-1350</v>
      </c>
      <c r="O250">
        <v>-63858.32</v>
      </c>
      <c r="R250">
        <v>-50</v>
      </c>
      <c r="S250">
        <v>-1550</v>
      </c>
      <c r="X250">
        <v>290</v>
      </c>
      <c r="Y250">
        <v>15901.65</v>
      </c>
      <c r="Z250" s="3">
        <f t="shared" si="3"/>
        <v>47.302459259259258</v>
      </c>
    </row>
    <row r="251" spans="1:26" hidden="1">
      <c r="A251" t="s">
        <v>706</v>
      </c>
      <c r="B251" s="6">
        <v>44287</v>
      </c>
      <c r="C251" s="6">
        <v>44651</v>
      </c>
      <c r="D251">
        <v>20210401</v>
      </c>
      <c r="E251">
        <v>20220331</v>
      </c>
      <c r="F251" t="s">
        <v>1280</v>
      </c>
      <c r="G251" t="s">
        <v>1281</v>
      </c>
      <c r="H251" t="s">
        <v>613</v>
      </c>
      <c r="I251" t="s">
        <v>805</v>
      </c>
      <c r="L251">
        <v>180</v>
      </c>
      <c r="M251">
        <v>91800</v>
      </c>
      <c r="N251">
        <v>-90</v>
      </c>
      <c r="O251">
        <v>-45000</v>
      </c>
      <c r="R251">
        <v>-54</v>
      </c>
      <c r="S251">
        <v>-27450</v>
      </c>
      <c r="X251">
        <v>36</v>
      </c>
      <c r="Y251">
        <v>19350</v>
      </c>
      <c r="Z251" s="3">
        <f t="shared" si="3"/>
        <v>500</v>
      </c>
    </row>
    <row r="252" spans="1:26" hidden="1">
      <c r="A252" t="s">
        <v>706</v>
      </c>
      <c r="B252" s="6">
        <v>44287</v>
      </c>
      <c r="C252" s="6">
        <v>44651</v>
      </c>
      <c r="D252">
        <v>20210401</v>
      </c>
      <c r="E252">
        <v>20220331</v>
      </c>
      <c r="F252" t="s">
        <v>1282</v>
      </c>
      <c r="G252" t="s">
        <v>1283</v>
      </c>
      <c r="H252" t="s">
        <v>613</v>
      </c>
      <c r="I252" t="s">
        <v>1191</v>
      </c>
      <c r="L252">
        <v>63200</v>
      </c>
      <c r="M252">
        <v>5624800</v>
      </c>
      <c r="N252">
        <v>-62200</v>
      </c>
      <c r="O252">
        <v>-5535800.04</v>
      </c>
      <c r="R252">
        <v>-1000</v>
      </c>
      <c r="S252">
        <v>-89000</v>
      </c>
      <c r="Y252">
        <v>-0.04</v>
      </c>
      <c r="Z252" s="3">
        <f t="shared" si="3"/>
        <v>89.000000643086821</v>
      </c>
    </row>
    <row r="253" spans="1:26" hidden="1">
      <c r="A253" t="s">
        <v>706</v>
      </c>
      <c r="B253" s="6">
        <v>44287</v>
      </c>
      <c r="C253" s="6">
        <v>44651</v>
      </c>
      <c r="D253">
        <v>20210401</v>
      </c>
      <c r="E253">
        <v>20220331</v>
      </c>
      <c r="F253" t="s">
        <v>1284</v>
      </c>
      <c r="G253" t="s">
        <v>1285</v>
      </c>
      <c r="H253" t="s">
        <v>613</v>
      </c>
      <c r="I253" t="s">
        <v>1191</v>
      </c>
      <c r="J253">
        <v>144</v>
      </c>
      <c r="K253">
        <v>21600</v>
      </c>
      <c r="L253">
        <v>43</v>
      </c>
      <c r="M253">
        <v>6450</v>
      </c>
      <c r="N253">
        <v>-158</v>
      </c>
      <c r="O253">
        <v>-23700</v>
      </c>
      <c r="X253">
        <v>29</v>
      </c>
      <c r="Y253">
        <v>4350</v>
      </c>
      <c r="Z253" s="3">
        <f t="shared" si="3"/>
        <v>150</v>
      </c>
    </row>
    <row r="254" spans="1:26" hidden="1">
      <c r="A254" t="s">
        <v>706</v>
      </c>
      <c r="B254" s="6">
        <v>44287</v>
      </c>
      <c r="C254" s="6">
        <v>44651</v>
      </c>
      <c r="D254">
        <v>20210401</v>
      </c>
      <c r="E254">
        <v>20220331</v>
      </c>
      <c r="F254" t="s">
        <v>1286</v>
      </c>
      <c r="G254" t="s">
        <v>1287</v>
      </c>
      <c r="H254" t="s">
        <v>613</v>
      </c>
      <c r="I254" t="s">
        <v>1191</v>
      </c>
      <c r="L254">
        <v>15</v>
      </c>
      <c r="M254">
        <v>8250</v>
      </c>
      <c r="R254">
        <v>-15</v>
      </c>
      <c r="S254">
        <v>-8250</v>
      </c>
      <c r="Z254" s="3" t="e">
        <f t="shared" si="3"/>
        <v>#DIV/0!</v>
      </c>
    </row>
    <row r="255" spans="1:26" hidden="1">
      <c r="A255" t="s">
        <v>706</v>
      </c>
      <c r="B255" s="6">
        <v>44287</v>
      </c>
      <c r="C255" s="6">
        <v>44651</v>
      </c>
      <c r="D255">
        <v>20210401</v>
      </c>
      <c r="E255">
        <v>20220331</v>
      </c>
      <c r="F255" t="s">
        <v>1288</v>
      </c>
      <c r="G255" t="s">
        <v>1289</v>
      </c>
      <c r="H255" t="s">
        <v>1267</v>
      </c>
      <c r="I255" t="s">
        <v>1191</v>
      </c>
      <c r="L255">
        <v>150</v>
      </c>
      <c r="M255">
        <v>16750</v>
      </c>
      <c r="N255">
        <v>-126</v>
      </c>
      <c r="O255">
        <v>-13989.95</v>
      </c>
      <c r="X255">
        <v>24</v>
      </c>
      <c r="Y255">
        <v>2760.05</v>
      </c>
      <c r="Z255" s="3">
        <f t="shared" si="3"/>
        <v>111.03134920634922</v>
      </c>
    </row>
    <row r="256" spans="1:26" hidden="1">
      <c r="A256" t="s">
        <v>706</v>
      </c>
      <c r="B256" s="6">
        <v>44287</v>
      </c>
      <c r="C256" s="6">
        <v>44651</v>
      </c>
      <c r="D256">
        <v>20210401</v>
      </c>
      <c r="E256">
        <v>20220331</v>
      </c>
      <c r="F256" t="s">
        <v>1290</v>
      </c>
      <c r="G256" t="s">
        <v>1291</v>
      </c>
      <c r="H256" t="s">
        <v>613</v>
      </c>
      <c r="I256" t="s">
        <v>1191</v>
      </c>
      <c r="L256">
        <v>700</v>
      </c>
      <c r="M256">
        <v>168000</v>
      </c>
      <c r="N256">
        <v>-400</v>
      </c>
      <c r="O256">
        <v>-96000</v>
      </c>
      <c r="X256">
        <v>300</v>
      </c>
      <c r="Y256">
        <v>72000</v>
      </c>
      <c r="Z256" s="3">
        <f t="shared" si="3"/>
        <v>240</v>
      </c>
    </row>
    <row r="257" spans="1:26" hidden="1">
      <c r="A257" t="s">
        <v>706</v>
      </c>
      <c r="B257" s="6">
        <v>44287</v>
      </c>
      <c r="C257" s="6">
        <v>44651</v>
      </c>
      <c r="D257">
        <v>20210401</v>
      </c>
      <c r="E257">
        <v>20220331</v>
      </c>
      <c r="F257" t="s">
        <v>1292</v>
      </c>
      <c r="G257" t="s">
        <v>737</v>
      </c>
      <c r="H257" t="s">
        <v>613</v>
      </c>
      <c r="I257" t="s">
        <v>1166</v>
      </c>
      <c r="J257">
        <v>377.18</v>
      </c>
      <c r="K257">
        <v>34119.53</v>
      </c>
      <c r="L257">
        <v>16725</v>
      </c>
      <c r="M257">
        <v>2200050</v>
      </c>
      <c r="N257">
        <v>-15958.978999999999</v>
      </c>
      <c r="O257">
        <v>-2059275.99</v>
      </c>
      <c r="P257">
        <v>75</v>
      </c>
      <c r="Q257">
        <v>6750</v>
      </c>
      <c r="R257">
        <v>-400</v>
      </c>
      <c r="S257">
        <v>-54298.31</v>
      </c>
      <c r="X257">
        <v>818.20100000000002</v>
      </c>
      <c r="Y257">
        <v>127345.23</v>
      </c>
      <c r="Z257" s="3">
        <f t="shared" si="3"/>
        <v>129.21988816530165</v>
      </c>
    </row>
    <row r="258" spans="1:26" hidden="1">
      <c r="A258" t="s">
        <v>706</v>
      </c>
      <c r="B258" s="6">
        <v>44287</v>
      </c>
      <c r="C258" s="6">
        <v>44651</v>
      </c>
      <c r="D258">
        <v>20210401</v>
      </c>
      <c r="E258">
        <v>20220331</v>
      </c>
      <c r="F258" t="s">
        <v>1293</v>
      </c>
      <c r="G258" t="s">
        <v>738</v>
      </c>
      <c r="H258" t="s">
        <v>613</v>
      </c>
      <c r="I258" t="s">
        <v>1166</v>
      </c>
      <c r="J258">
        <v>70.2</v>
      </c>
      <c r="K258">
        <v>10534.31</v>
      </c>
      <c r="L258">
        <v>7225</v>
      </c>
      <c r="M258">
        <v>929275</v>
      </c>
      <c r="N258">
        <v>-6772.5</v>
      </c>
      <c r="O258">
        <v>-859638.13</v>
      </c>
      <c r="P258">
        <v>6</v>
      </c>
      <c r="Q258">
        <v>570</v>
      </c>
      <c r="R258">
        <v>-225</v>
      </c>
      <c r="S258">
        <v>-31125</v>
      </c>
      <c r="X258">
        <v>303.7</v>
      </c>
      <c r="Y258">
        <v>49616.18</v>
      </c>
      <c r="Z258" s="3">
        <f t="shared" si="3"/>
        <v>126.95900834995936</v>
      </c>
    </row>
    <row r="259" spans="1:26" hidden="1">
      <c r="A259" t="s">
        <v>706</v>
      </c>
      <c r="B259" s="6">
        <v>44287</v>
      </c>
      <c r="C259" s="6">
        <v>44651</v>
      </c>
      <c r="D259">
        <v>20210401</v>
      </c>
      <c r="E259">
        <v>20220331</v>
      </c>
      <c r="F259" t="s">
        <v>1294</v>
      </c>
      <c r="G259" t="s">
        <v>1295</v>
      </c>
      <c r="H259" t="s">
        <v>613</v>
      </c>
      <c r="I259" t="s">
        <v>1166</v>
      </c>
      <c r="J259">
        <v>223.5</v>
      </c>
      <c r="K259">
        <v>95129.19</v>
      </c>
      <c r="L259">
        <v>5400</v>
      </c>
      <c r="M259">
        <v>2268000</v>
      </c>
      <c r="N259">
        <v>-5105.1000000000004</v>
      </c>
      <c r="O259">
        <v>-2145913.23</v>
      </c>
      <c r="P259">
        <v>12</v>
      </c>
      <c r="Q259">
        <v>5045.49</v>
      </c>
      <c r="R259">
        <v>-450</v>
      </c>
      <c r="S259">
        <v>-189000.25</v>
      </c>
      <c r="X259">
        <v>80.400000000000006</v>
      </c>
      <c r="Y259">
        <v>33261.199999999997</v>
      </c>
      <c r="Z259" s="3">
        <f t="shared" ref="Z259:Z322" si="4">IFERROR((O259+Q259)/(N259+P259),Y259/X259)</f>
        <v>420.34669258408428</v>
      </c>
    </row>
    <row r="260" spans="1:26" hidden="1">
      <c r="A260" t="s">
        <v>706</v>
      </c>
      <c r="B260" s="6">
        <v>44287</v>
      </c>
      <c r="C260" s="6">
        <v>44651</v>
      </c>
      <c r="D260">
        <v>20210401</v>
      </c>
      <c r="E260">
        <v>20220331</v>
      </c>
      <c r="F260" t="s">
        <v>1296</v>
      </c>
      <c r="G260" t="s">
        <v>1297</v>
      </c>
      <c r="H260" t="s">
        <v>613</v>
      </c>
      <c r="I260" t="s">
        <v>1166</v>
      </c>
      <c r="K260">
        <v>26</v>
      </c>
      <c r="L260">
        <v>7100</v>
      </c>
      <c r="M260">
        <v>113600</v>
      </c>
      <c r="N260">
        <v>-4129.3999999999996</v>
      </c>
      <c r="O260">
        <v>-66070.399999999994</v>
      </c>
      <c r="R260">
        <v>-2400</v>
      </c>
      <c r="S260">
        <v>-38400</v>
      </c>
      <c r="X260">
        <v>570.6</v>
      </c>
      <c r="Y260">
        <v>9155.6</v>
      </c>
      <c r="Z260" s="3">
        <f t="shared" si="4"/>
        <v>16</v>
      </c>
    </row>
    <row r="261" spans="1:26" hidden="1">
      <c r="A261" t="s">
        <v>706</v>
      </c>
      <c r="B261" s="6">
        <v>44287</v>
      </c>
      <c r="C261" s="6">
        <v>44651</v>
      </c>
      <c r="D261">
        <v>20210401</v>
      </c>
      <c r="E261">
        <v>20220331</v>
      </c>
      <c r="F261" t="s">
        <v>1298</v>
      </c>
      <c r="G261" t="s">
        <v>1299</v>
      </c>
      <c r="H261" t="s">
        <v>613</v>
      </c>
      <c r="I261" t="s">
        <v>1166</v>
      </c>
      <c r="L261">
        <v>51575</v>
      </c>
      <c r="M261">
        <v>8466150</v>
      </c>
      <c r="N261">
        <v>-45971.434999999998</v>
      </c>
      <c r="O261">
        <v>-7516515.7000000002</v>
      </c>
      <c r="P261">
        <v>159</v>
      </c>
      <c r="Q261">
        <v>20670</v>
      </c>
      <c r="R261">
        <v>-1800</v>
      </c>
      <c r="S261">
        <v>-282598.02</v>
      </c>
      <c r="X261">
        <v>3962.5650000000001</v>
      </c>
      <c r="Y261">
        <v>687706.28</v>
      </c>
      <c r="Z261" s="3">
        <f t="shared" si="4"/>
        <v>163.62032928395971</v>
      </c>
    </row>
    <row r="262" spans="1:26" hidden="1">
      <c r="A262" t="s">
        <v>706</v>
      </c>
      <c r="B262" s="6">
        <v>44287</v>
      </c>
      <c r="C262" s="6">
        <v>44651</v>
      </c>
      <c r="D262">
        <v>20210401</v>
      </c>
      <c r="E262">
        <v>20220331</v>
      </c>
      <c r="F262" t="s">
        <v>1300</v>
      </c>
      <c r="G262" t="s">
        <v>1301</v>
      </c>
      <c r="H262" t="s">
        <v>613</v>
      </c>
      <c r="I262" t="s">
        <v>1166</v>
      </c>
      <c r="J262">
        <v>2500</v>
      </c>
      <c r="K262">
        <v>86054.79</v>
      </c>
      <c r="L262">
        <v>26200</v>
      </c>
      <c r="M262">
        <v>938123.85</v>
      </c>
      <c r="V262">
        <v>-28543</v>
      </c>
      <c r="W262">
        <v>-1016977.72</v>
      </c>
      <c r="X262">
        <v>157</v>
      </c>
      <c r="Y262">
        <v>7200.92</v>
      </c>
      <c r="Z262" s="3">
        <f t="shared" si="4"/>
        <v>45.865732484076432</v>
      </c>
    </row>
    <row r="263" spans="1:26" hidden="1">
      <c r="A263" t="s">
        <v>706</v>
      </c>
      <c r="B263" s="6">
        <v>44287</v>
      </c>
      <c r="C263" s="6">
        <v>44651</v>
      </c>
      <c r="D263">
        <v>20210401</v>
      </c>
      <c r="E263">
        <v>20220331</v>
      </c>
      <c r="F263" t="s">
        <v>1302</v>
      </c>
      <c r="G263" t="s">
        <v>1303</v>
      </c>
      <c r="H263" t="s">
        <v>613</v>
      </c>
      <c r="I263" t="s">
        <v>1166</v>
      </c>
      <c r="J263">
        <v>930</v>
      </c>
      <c r="K263">
        <v>205716.06</v>
      </c>
      <c r="L263">
        <v>20650</v>
      </c>
      <c r="M263">
        <v>4351500</v>
      </c>
      <c r="N263">
        <v>-16510</v>
      </c>
      <c r="O263">
        <v>-3467100</v>
      </c>
      <c r="P263">
        <v>30</v>
      </c>
      <c r="Q263">
        <v>6300</v>
      </c>
      <c r="R263">
        <v>-3800</v>
      </c>
      <c r="S263">
        <v>-798000</v>
      </c>
      <c r="X263">
        <v>1300</v>
      </c>
      <c r="Y263">
        <v>298416.06</v>
      </c>
      <c r="Z263" s="3">
        <f t="shared" si="4"/>
        <v>210</v>
      </c>
    </row>
    <row r="264" spans="1:26" hidden="1">
      <c r="A264" t="s">
        <v>706</v>
      </c>
      <c r="B264" s="6">
        <v>44287</v>
      </c>
      <c r="C264" s="6">
        <v>44651</v>
      </c>
      <c r="D264">
        <v>20210401</v>
      </c>
      <c r="E264">
        <v>20220331</v>
      </c>
      <c r="F264" t="s">
        <v>1304</v>
      </c>
      <c r="G264" t="s">
        <v>1305</v>
      </c>
      <c r="H264" t="s">
        <v>613</v>
      </c>
      <c r="I264" t="s">
        <v>805</v>
      </c>
      <c r="J264">
        <v>495</v>
      </c>
      <c r="K264">
        <v>12831.98</v>
      </c>
      <c r="L264">
        <v>5820</v>
      </c>
      <c r="M264">
        <v>237554.3</v>
      </c>
      <c r="N264">
        <v>-5715</v>
      </c>
      <c r="O264">
        <v>-217367.04000000001</v>
      </c>
      <c r="R264">
        <v>-300</v>
      </c>
      <c r="S264">
        <v>-12019.47</v>
      </c>
      <c r="X264">
        <v>300</v>
      </c>
      <c r="Y264">
        <v>20999.77</v>
      </c>
      <c r="Z264" s="3">
        <f t="shared" si="4"/>
        <v>38.034477690288718</v>
      </c>
    </row>
    <row r="265" spans="1:26" hidden="1">
      <c r="A265" t="s">
        <v>706</v>
      </c>
      <c r="B265" s="6">
        <v>44287</v>
      </c>
      <c r="C265" s="6">
        <v>44651</v>
      </c>
      <c r="D265">
        <v>20210401</v>
      </c>
      <c r="E265">
        <v>20220331</v>
      </c>
      <c r="F265" t="s">
        <v>1306</v>
      </c>
      <c r="G265" t="s">
        <v>1307</v>
      </c>
      <c r="H265" t="s">
        <v>613</v>
      </c>
      <c r="I265" t="s">
        <v>805</v>
      </c>
      <c r="N265">
        <v>-16017</v>
      </c>
      <c r="O265">
        <v>-150033.76</v>
      </c>
      <c r="V265">
        <v>15967</v>
      </c>
      <c r="W265">
        <v>150294.68</v>
      </c>
      <c r="X265">
        <v>-50</v>
      </c>
      <c r="Y265">
        <v>260.92</v>
      </c>
      <c r="Z265" s="3">
        <f t="shared" si="4"/>
        <v>9.3671573952675296</v>
      </c>
    </row>
    <row r="266" spans="1:26" hidden="1">
      <c r="A266" t="s">
        <v>706</v>
      </c>
      <c r="B266" s="6">
        <v>44287</v>
      </c>
      <c r="C266" s="6">
        <v>44651</v>
      </c>
      <c r="D266">
        <v>20210401</v>
      </c>
      <c r="E266">
        <v>20220331</v>
      </c>
      <c r="F266" t="s">
        <v>1308</v>
      </c>
      <c r="G266" t="s">
        <v>1309</v>
      </c>
      <c r="H266" t="s">
        <v>613</v>
      </c>
      <c r="I266" t="s">
        <v>1166</v>
      </c>
      <c r="J266">
        <v>37</v>
      </c>
      <c r="K266">
        <v>221.75</v>
      </c>
      <c r="L266">
        <v>8020</v>
      </c>
      <c r="M266">
        <v>48120</v>
      </c>
      <c r="N266">
        <v>-100</v>
      </c>
      <c r="O266">
        <v>-600</v>
      </c>
      <c r="V266">
        <v>-7457</v>
      </c>
      <c r="W266">
        <v>-44741.72</v>
      </c>
      <c r="X266">
        <v>500</v>
      </c>
      <c r="Y266">
        <v>3000.03</v>
      </c>
      <c r="Z266" s="3">
        <f t="shared" si="4"/>
        <v>6</v>
      </c>
    </row>
    <row r="267" spans="1:26" hidden="1">
      <c r="A267" t="s">
        <v>706</v>
      </c>
      <c r="B267" s="6">
        <v>44287</v>
      </c>
      <c r="C267" s="6">
        <v>44651</v>
      </c>
      <c r="D267">
        <v>20210401</v>
      </c>
      <c r="E267">
        <v>20220331</v>
      </c>
      <c r="F267" t="s">
        <v>1310</v>
      </c>
      <c r="G267" t="s">
        <v>1311</v>
      </c>
      <c r="H267" t="s">
        <v>613</v>
      </c>
      <c r="I267" t="s">
        <v>1166</v>
      </c>
      <c r="J267">
        <v>19.8</v>
      </c>
      <c r="K267">
        <v>2277</v>
      </c>
      <c r="N267">
        <v>-5</v>
      </c>
      <c r="O267">
        <v>-575</v>
      </c>
      <c r="X267">
        <v>14.8</v>
      </c>
      <c r="Y267">
        <v>1702</v>
      </c>
      <c r="Z267" s="3">
        <f t="shared" si="4"/>
        <v>115</v>
      </c>
    </row>
    <row r="268" spans="1:26" hidden="1">
      <c r="A268" t="s">
        <v>706</v>
      </c>
      <c r="B268" s="6">
        <v>44287</v>
      </c>
      <c r="C268" s="6">
        <v>44651</v>
      </c>
      <c r="D268">
        <v>20210401</v>
      </c>
      <c r="E268">
        <v>20220331</v>
      </c>
      <c r="F268" t="s">
        <v>1312</v>
      </c>
      <c r="G268" t="s">
        <v>1313</v>
      </c>
      <c r="H268" t="s">
        <v>613</v>
      </c>
      <c r="I268" t="s">
        <v>805</v>
      </c>
      <c r="J268">
        <v>1517</v>
      </c>
      <c r="K268">
        <v>23943.83</v>
      </c>
      <c r="L268">
        <v>19350</v>
      </c>
      <c r="M268">
        <v>329562.5</v>
      </c>
      <c r="N268">
        <v>-20867</v>
      </c>
      <c r="O268">
        <v>-352665.37</v>
      </c>
      <c r="Y268">
        <v>840.96</v>
      </c>
      <c r="Z268" s="3">
        <f t="shared" si="4"/>
        <v>16.90062634782192</v>
      </c>
    </row>
    <row r="269" spans="1:26" hidden="1">
      <c r="A269" t="s">
        <v>706</v>
      </c>
      <c r="B269" s="6">
        <v>44287</v>
      </c>
      <c r="C269" s="6">
        <v>44651</v>
      </c>
      <c r="D269">
        <v>20210401</v>
      </c>
      <c r="E269">
        <v>20220331</v>
      </c>
      <c r="F269" t="s">
        <v>1314</v>
      </c>
      <c r="G269" t="s">
        <v>1315</v>
      </c>
      <c r="H269" t="s">
        <v>613</v>
      </c>
      <c r="I269" t="s">
        <v>1166</v>
      </c>
      <c r="J269">
        <v>133</v>
      </c>
      <c r="K269">
        <v>20614.810000000001</v>
      </c>
      <c r="L269">
        <v>1150</v>
      </c>
      <c r="M269">
        <v>185750</v>
      </c>
      <c r="N269">
        <v>-1070.0250000000001</v>
      </c>
      <c r="O269">
        <v>-167729.03</v>
      </c>
      <c r="P269">
        <v>12</v>
      </c>
      <c r="Q269">
        <v>1860</v>
      </c>
      <c r="X269">
        <v>224.97499999999999</v>
      </c>
      <c r="Y269">
        <v>40495.78</v>
      </c>
      <c r="Z269" s="3">
        <f t="shared" si="4"/>
        <v>156.77231634413175</v>
      </c>
    </row>
    <row r="270" spans="1:26" hidden="1">
      <c r="A270" t="s">
        <v>706</v>
      </c>
      <c r="B270" s="6">
        <v>44287</v>
      </c>
      <c r="C270" s="6">
        <v>44651</v>
      </c>
      <c r="D270">
        <v>20210401</v>
      </c>
      <c r="E270">
        <v>20220331</v>
      </c>
      <c r="F270" t="s">
        <v>1316</v>
      </c>
      <c r="G270" t="s">
        <v>1317</v>
      </c>
      <c r="H270" t="s">
        <v>613</v>
      </c>
      <c r="I270" t="s">
        <v>1166</v>
      </c>
      <c r="J270">
        <v>282</v>
      </c>
      <c r="K270">
        <v>37160.089999999997</v>
      </c>
      <c r="L270">
        <v>20200</v>
      </c>
      <c r="M270">
        <v>2806000</v>
      </c>
      <c r="N270">
        <v>-8851</v>
      </c>
      <c r="O270">
        <v>-1228033.57</v>
      </c>
      <c r="R270">
        <v>-10750</v>
      </c>
      <c r="S270">
        <v>-1490418.51</v>
      </c>
      <c r="X270">
        <v>881</v>
      </c>
      <c r="Y270">
        <v>124708.01</v>
      </c>
      <c r="Z270" s="3">
        <f t="shared" si="4"/>
        <v>138.74517794599481</v>
      </c>
    </row>
    <row r="271" spans="1:26" hidden="1">
      <c r="A271" t="s">
        <v>706</v>
      </c>
      <c r="B271" s="6">
        <v>44287</v>
      </c>
      <c r="C271" s="6">
        <v>44651</v>
      </c>
      <c r="D271">
        <v>20210401</v>
      </c>
      <c r="E271">
        <v>20220331</v>
      </c>
      <c r="F271" t="s">
        <v>1318</v>
      </c>
      <c r="G271" t="s">
        <v>1319</v>
      </c>
      <c r="H271" t="s">
        <v>613</v>
      </c>
      <c r="I271" t="s">
        <v>1166</v>
      </c>
      <c r="J271">
        <v>97.2</v>
      </c>
      <c r="K271">
        <v>172872.25</v>
      </c>
      <c r="L271">
        <v>1925</v>
      </c>
      <c r="M271">
        <v>981125</v>
      </c>
      <c r="N271">
        <v>-1593.05</v>
      </c>
      <c r="O271">
        <v>-791872.1</v>
      </c>
      <c r="P271">
        <v>6</v>
      </c>
      <c r="Q271">
        <v>2758.17</v>
      </c>
      <c r="R271">
        <v>-275</v>
      </c>
      <c r="S271">
        <v>-147738.85999999999</v>
      </c>
      <c r="X271">
        <v>160.15</v>
      </c>
      <c r="Y271">
        <v>217144.46</v>
      </c>
      <c r="Z271" s="3">
        <f t="shared" si="4"/>
        <v>497.22058536277996</v>
      </c>
    </row>
    <row r="272" spans="1:26" hidden="1">
      <c r="A272" t="s">
        <v>706</v>
      </c>
      <c r="B272" s="6">
        <v>44287</v>
      </c>
      <c r="C272" s="6">
        <v>44651</v>
      </c>
      <c r="D272">
        <v>20210401</v>
      </c>
      <c r="E272">
        <v>20220331</v>
      </c>
      <c r="F272" t="s">
        <v>1320</v>
      </c>
      <c r="G272" t="s">
        <v>1321</v>
      </c>
      <c r="H272" t="s">
        <v>613</v>
      </c>
      <c r="I272" t="s">
        <v>1166</v>
      </c>
      <c r="J272">
        <v>210</v>
      </c>
      <c r="K272">
        <v>7843.93</v>
      </c>
      <c r="N272">
        <v>-17523</v>
      </c>
      <c r="O272">
        <v>-654552.53</v>
      </c>
      <c r="R272">
        <v>-10095</v>
      </c>
      <c r="S272">
        <v>-377087.61</v>
      </c>
      <c r="V272">
        <v>28543</v>
      </c>
      <c r="W272">
        <v>1066192.3700000001</v>
      </c>
      <c r="X272">
        <v>1135</v>
      </c>
      <c r="Y272">
        <v>42396.160000000003</v>
      </c>
      <c r="Z272" s="3">
        <f t="shared" si="4"/>
        <v>37.353908006619875</v>
      </c>
    </row>
    <row r="273" spans="1:26" hidden="1">
      <c r="A273" t="s">
        <v>706</v>
      </c>
      <c r="B273" s="6">
        <v>44287</v>
      </c>
      <c r="C273" s="6">
        <v>44651</v>
      </c>
      <c r="D273">
        <v>20210401</v>
      </c>
      <c r="E273">
        <v>20220331</v>
      </c>
      <c r="F273" t="s">
        <v>1322</v>
      </c>
      <c r="G273" t="s">
        <v>1323</v>
      </c>
      <c r="H273" t="s">
        <v>613</v>
      </c>
      <c r="I273" t="s">
        <v>805</v>
      </c>
      <c r="J273">
        <v>1400</v>
      </c>
      <c r="K273">
        <v>134519.87</v>
      </c>
      <c r="L273">
        <v>4600</v>
      </c>
      <c r="M273">
        <v>437000</v>
      </c>
      <c r="N273">
        <v>-4200</v>
      </c>
      <c r="O273">
        <v>-399000</v>
      </c>
      <c r="R273">
        <v>-1200</v>
      </c>
      <c r="S273">
        <v>-114000</v>
      </c>
      <c r="X273">
        <v>600</v>
      </c>
      <c r="Y273">
        <v>58519.87</v>
      </c>
      <c r="Z273" s="3">
        <f t="shared" si="4"/>
        <v>95</v>
      </c>
    </row>
    <row r="274" spans="1:26" hidden="1">
      <c r="A274" t="s">
        <v>706</v>
      </c>
      <c r="B274" s="6">
        <v>44287</v>
      </c>
      <c r="C274" s="6">
        <v>44651</v>
      </c>
      <c r="D274">
        <v>20210401</v>
      </c>
      <c r="E274">
        <v>20220331</v>
      </c>
      <c r="F274" t="s">
        <v>1324</v>
      </c>
      <c r="G274" t="s">
        <v>1325</v>
      </c>
      <c r="H274" t="s">
        <v>613</v>
      </c>
      <c r="I274" t="s">
        <v>805</v>
      </c>
      <c r="J274">
        <v>6</v>
      </c>
      <c r="K274">
        <v>960.4</v>
      </c>
      <c r="L274">
        <v>1080</v>
      </c>
      <c r="M274">
        <v>172800</v>
      </c>
      <c r="N274">
        <v>-632.83000000000004</v>
      </c>
      <c r="O274">
        <v>-101252.8</v>
      </c>
      <c r="R274">
        <v>-375</v>
      </c>
      <c r="S274">
        <v>-59999.97</v>
      </c>
      <c r="X274">
        <v>78.17</v>
      </c>
      <c r="Y274">
        <v>12507.63</v>
      </c>
      <c r="Z274" s="3">
        <f t="shared" si="4"/>
        <v>160</v>
      </c>
    </row>
    <row r="275" spans="1:26" hidden="1">
      <c r="A275" t="s">
        <v>706</v>
      </c>
      <c r="B275" s="6">
        <v>44287</v>
      </c>
      <c r="C275" s="6">
        <v>44651</v>
      </c>
      <c r="D275">
        <v>20210401</v>
      </c>
      <c r="E275">
        <v>20220331</v>
      </c>
      <c r="F275" t="s">
        <v>1326</v>
      </c>
      <c r="G275" t="s">
        <v>1327</v>
      </c>
      <c r="H275" t="s">
        <v>613</v>
      </c>
      <c r="I275" t="s">
        <v>1166</v>
      </c>
      <c r="J275">
        <v>50</v>
      </c>
      <c r="K275">
        <v>6749.99</v>
      </c>
      <c r="X275">
        <v>50</v>
      </c>
      <c r="Y275">
        <v>6749.99</v>
      </c>
      <c r="Z275" s="3">
        <f t="shared" si="4"/>
        <v>134.99979999999999</v>
      </c>
    </row>
    <row r="276" spans="1:26" hidden="1">
      <c r="A276" t="s">
        <v>706</v>
      </c>
      <c r="B276" s="6">
        <v>44287</v>
      </c>
      <c r="C276" s="6">
        <v>44651</v>
      </c>
      <c r="D276">
        <v>20210401</v>
      </c>
      <c r="E276">
        <v>20220331</v>
      </c>
      <c r="F276" t="s">
        <v>1328</v>
      </c>
      <c r="G276" t="s">
        <v>1329</v>
      </c>
      <c r="H276" t="s">
        <v>613</v>
      </c>
      <c r="I276" t="s">
        <v>1166</v>
      </c>
      <c r="L276">
        <v>48</v>
      </c>
      <c r="M276">
        <v>11040</v>
      </c>
      <c r="N276">
        <v>-48</v>
      </c>
      <c r="O276">
        <v>-11040</v>
      </c>
      <c r="Z276" s="3">
        <f t="shared" si="4"/>
        <v>230</v>
      </c>
    </row>
    <row r="277" spans="1:26" hidden="1">
      <c r="A277" t="s">
        <v>706</v>
      </c>
      <c r="B277" s="6">
        <v>44287</v>
      </c>
      <c r="C277" s="6">
        <v>44651</v>
      </c>
      <c r="D277">
        <v>20210401</v>
      </c>
      <c r="E277">
        <v>20220331</v>
      </c>
      <c r="F277" t="s">
        <v>1330</v>
      </c>
      <c r="G277" t="s">
        <v>1331</v>
      </c>
      <c r="H277" t="s">
        <v>613</v>
      </c>
      <c r="I277" t="s">
        <v>805</v>
      </c>
      <c r="J277">
        <v>929</v>
      </c>
      <c r="K277">
        <v>149569</v>
      </c>
      <c r="N277">
        <v>-8</v>
      </c>
      <c r="O277">
        <v>-1288</v>
      </c>
      <c r="X277">
        <v>921</v>
      </c>
      <c r="Y277">
        <v>148281</v>
      </c>
      <c r="Z277" s="3">
        <f t="shared" si="4"/>
        <v>161</v>
      </c>
    </row>
    <row r="278" spans="1:26" hidden="1">
      <c r="A278" t="s">
        <v>706</v>
      </c>
      <c r="B278" s="6">
        <v>44287</v>
      </c>
      <c r="C278" s="6">
        <v>44651</v>
      </c>
      <c r="D278">
        <v>20210401</v>
      </c>
      <c r="E278">
        <v>20220331</v>
      </c>
      <c r="F278" t="s">
        <v>1332</v>
      </c>
      <c r="G278" t="s">
        <v>1333</v>
      </c>
      <c r="H278" t="s">
        <v>613</v>
      </c>
      <c r="I278" t="s">
        <v>1191</v>
      </c>
      <c r="J278">
        <v>210</v>
      </c>
      <c r="K278">
        <v>74549.91</v>
      </c>
      <c r="L278">
        <v>1250</v>
      </c>
      <c r="M278">
        <v>493250</v>
      </c>
      <c r="N278">
        <v>-1329</v>
      </c>
      <c r="O278">
        <v>-512505.29</v>
      </c>
      <c r="X278">
        <v>131</v>
      </c>
      <c r="Y278">
        <v>55294.62</v>
      </c>
      <c r="Z278" s="3">
        <f t="shared" si="4"/>
        <v>385.63227238525207</v>
      </c>
    </row>
    <row r="279" spans="1:26" hidden="1">
      <c r="A279" t="s">
        <v>706</v>
      </c>
      <c r="B279" s="6">
        <v>44287</v>
      </c>
      <c r="C279" s="6">
        <v>44651</v>
      </c>
      <c r="D279">
        <v>20210401</v>
      </c>
      <c r="E279">
        <v>20220331</v>
      </c>
      <c r="F279" t="s">
        <v>1334</v>
      </c>
      <c r="G279" t="s">
        <v>1335</v>
      </c>
      <c r="H279" t="s">
        <v>613</v>
      </c>
      <c r="I279" t="s">
        <v>805</v>
      </c>
      <c r="J279">
        <v>480</v>
      </c>
      <c r="K279">
        <v>1583.92</v>
      </c>
      <c r="L279">
        <v>13760</v>
      </c>
      <c r="M279">
        <v>45408</v>
      </c>
      <c r="N279">
        <v>-13880</v>
      </c>
      <c r="O279">
        <v>-45804</v>
      </c>
      <c r="R279">
        <v>-40</v>
      </c>
      <c r="S279">
        <v>-132</v>
      </c>
      <c r="X279">
        <v>320</v>
      </c>
      <c r="Y279">
        <v>1055.92</v>
      </c>
      <c r="Z279" s="3">
        <f t="shared" si="4"/>
        <v>3.3</v>
      </c>
    </row>
    <row r="280" spans="1:26" hidden="1">
      <c r="A280" t="s">
        <v>706</v>
      </c>
      <c r="B280" s="6">
        <v>44287</v>
      </c>
      <c r="C280" s="6">
        <v>44651</v>
      </c>
      <c r="D280">
        <v>20210401</v>
      </c>
      <c r="E280">
        <v>20220331</v>
      </c>
      <c r="F280" t="s">
        <v>1336</v>
      </c>
      <c r="G280" t="s">
        <v>1337</v>
      </c>
      <c r="H280" t="s">
        <v>613</v>
      </c>
      <c r="I280" t="s">
        <v>805</v>
      </c>
      <c r="J280">
        <v>100</v>
      </c>
      <c r="K280">
        <v>6599.99</v>
      </c>
      <c r="L280">
        <v>450</v>
      </c>
      <c r="M280">
        <v>31200</v>
      </c>
      <c r="N280">
        <v>-400</v>
      </c>
      <c r="O280">
        <v>-27200</v>
      </c>
      <c r="X280">
        <v>150</v>
      </c>
      <c r="Y280">
        <v>10599.99</v>
      </c>
      <c r="Z280" s="3">
        <f t="shared" si="4"/>
        <v>68</v>
      </c>
    </row>
    <row r="281" spans="1:26" hidden="1">
      <c r="A281" t="s">
        <v>706</v>
      </c>
      <c r="B281" s="6">
        <v>44287</v>
      </c>
      <c r="C281" s="6">
        <v>44651</v>
      </c>
      <c r="D281">
        <v>20210401</v>
      </c>
      <c r="E281">
        <v>20220331</v>
      </c>
      <c r="F281" t="s">
        <v>1338</v>
      </c>
      <c r="G281" t="s">
        <v>1339</v>
      </c>
      <c r="H281" t="s">
        <v>613</v>
      </c>
      <c r="I281" t="s">
        <v>1166</v>
      </c>
      <c r="J281">
        <v>45</v>
      </c>
      <c r="K281">
        <v>9900</v>
      </c>
      <c r="N281">
        <v>-3</v>
      </c>
      <c r="O281">
        <v>-660</v>
      </c>
      <c r="X281">
        <v>42</v>
      </c>
      <c r="Y281">
        <v>9240</v>
      </c>
      <c r="Z281" s="3">
        <f t="shared" si="4"/>
        <v>220</v>
      </c>
    </row>
    <row r="282" spans="1:26" hidden="1">
      <c r="A282" t="s">
        <v>706</v>
      </c>
      <c r="B282" s="6">
        <v>44287</v>
      </c>
      <c r="C282" s="6">
        <v>44651</v>
      </c>
      <c r="D282">
        <v>20210401</v>
      </c>
      <c r="E282">
        <v>20220331</v>
      </c>
      <c r="F282" t="s">
        <v>1340</v>
      </c>
      <c r="G282" t="s">
        <v>1341</v>
      </c>
      <c r="H282" t="s">
        <v>613</v>
      </c>
      <c r="I282" t="s">
        <v>1166</v>
      </c>
      <c r="J282">
        <v>51</v>
      </c>
      <c r="K282">
        <v>9180</v>
      </c>
      <c r="X282">
        <v>51</v>
      </c>
      <c r="Y282">
        <v>9180</v>
      </c>
      <c r="Z282" s="3">
        <f t="shared" si="4"/>
        <v>180</v>
      </c>
    </row>
    <row r="283" spans="1:26" hidden="1">
      <c r="A283" t="s">
        <v>706</v>
      </c>
      <c r="B283" s="6">
        <v>44287</v>
      </c>
      <c r="C283" s="6">
        <v>44651</v>
      </c>
      <c r="D283">
        <v>20210401</v>
      </c>
      <c r="E283">
        <v>20220331</v>
      </c>
      <c r="F283" t="s">
        <v>1342</v>
      </c>
      <c r="G283" t="s">
        <v>1343</v>
      </c>
      <c r="H283" t="s">
        <v>613</v>
      </c>
      <c r="I283" t="s">
        <v>1166</v>
      </c>
      <c r="J283">
        <v>11.5</v>
      </c>
      <c r="K283">
        <v>2760</v>
      </c>
      <c r="L283">
        <v>775</v>
      </c>
      <c r="M283">
        <v>279950</v>
      </c>
      <c r="N283">
        <v>-711.5</v>
      </c>
      <c r="O283">
        <v>-254209.98</v>
      </c>
      <c r="R283">
        <v>-75</v>
      </c>
      <c r="S283">
        <v>-28500</v>
      </c>
      <c r="Y283">
        <v>0.02</v>
      </c>
      <c r="Z283" s="3">
        <f t="shared" si="4"/>
        <v>357.28739283204499</v>
      </c>
    </row>
    <row r="284" spans="1:26" hidden="1">
      <c r="A284" t="s">
        <v>706</v>
      </c>
      <c r="B284" s="6">
        <v>44287</v>
      </c>
      <c r="C284" s="6">
        <v>44651</v>
      </c>
      <c r="D284">
        <v>20210401</v>
      </c>
      <c r="E284">
        <v>20220331</v>
      </c>
      <c r="F284" t="s">
        <v>1344</v>
      </c>
      <c r="G284" t="s">
        <v>1345</v>
      </c>
      <c r="H284" t="s">
        <v>613</v>
      </c>
      <c r="I284" t="s">
        <v>1166</v>
      </c>
      <c r="J284">
        <v>7</v>
      </c>
      <c r="K284">
        <v>1855</v>
      </c>
      <c r="N284">
        <v>-7</v>
      </c>
      <c r="O284">
        <v>-1855</v>
      </c>
      <c r="Z284" s="3">
        <f t="shared" si="4"/>
        <v>265</v>
      </c>
    </row>
    <row r="285" spans="1:26" hidden="1">
      <c r="A285" t="s">
        <v>706</v>
      </c>
      <c r="B285" s="6">
        <v>44287</v>
      </c>
      <c r="C285" s="6">
        <v>44651</v>
      </c>
      <c r="D285">
        <v>20210401</v>
      </c>
      <c r="E285">
        <v>20220331</v>
      </c>
      <c r="F285" t="s">
        <v>1346</v>
      </c>
      <c r="G285" t="s">
        <v>1347</v>
      </c>
      <c r="H285" t="s">
        <v>613</v>
      </c>
      <c r="I285" t="s">
        <v>1166</v>
      </c>
      <c r="J285">
        <v>25</v>
      </c>
      <c r="K285">
        <v>5250</v>
      </c>
      <c r="X285">
        <v>25</v>
      </c>
      <c r="Y285">
        <v>5250</v>
      </c>
      <c r="Z285" s="3">
        <f t="shared" si="4"/>
        <v>210</v>
      </c>
    </row>
    <row r="286" spans="1:26" hidden="1">
      <c r="A286" t="s">
        <v>706</v>
      </c>
      <c r="B286" s="6">
        <v>44287</v>
      </c>
      <c r="C286" s="6">
        <v>44651</v>
      </c>
      <c r="D286">
        <v>20210401</v>
      </c>
      <c r="E286">
        <v>20220331</v>
      </c>
      <c r="F286" t="s">
        <v>1348</v>
      </c>
      <c r="G286" t="s">
        <v>1349</v>
      </c>
      <c r="H286" t="s">
        <v>613</v>
      </c>
      <c r="I286" t="s">
        <v>1166</v>
      </c>
      <c r="J286">
        <v>74.760000000000005</v>
      </c>
      <c r="K286">
        <v>6354.6</v>
      </c>
      <c r="N286">
        <v>-74.760000000000005</v>
      </c>
      <c r="O286">
        <v>-6354.6</v>
      </c>
      <c r="Z286" s="3">
        <f t="shared" si="4"/>
        <v>85</v>
      </c>
    </row>
    <row r="287" spans="1:26" hidden="1">
      <c r="A287" t="s">
        <v>706</v>
      </c>
      <c r="B287" s="6">
        <v>44287</v>
      </c>
      <c r="C287" s="6">
        <v>44651</v>
      </c>
      <c r="D287">
        <v>20210401</v>
      </c>
      <c r="E287">
        <v>20220331</v>
      </c>
      <c r="F287" t="s">
        <v>1350</v>
      </c>
      <c r="G287" t="s">
        <v>1351</v>
      </c>
      <c r="H287" t="s">
        <v>613</v>
      </c>
      <c r="I287" t="s">
        <v>1166</v>
      </c>
      <c r="L287">
        <v>50</v>
      </c>
      <c r="M287">
        <v>12500</v>
      </c>
      <c r="N287">
        <v>-19.875</v>
      </c>
      <c r="O287">
        <v>-4829.72</v>
      </c>
      <c r="X287">
        <v>30.125</v>
      </c>
      <c r="Y287">
        <v>7670.28</v>
      </c>
      <c r="Z287" s="3">
        <f t="shared" si="4"/>
        <v>243.00477987421385</v>
      </c>
    </row>
    <row r="288" spans="1:26" hidden="1">
      <c r="A288" t="s">
        <v>706</v>
      </c>
      <c r="B288" s="6">
        <v>44287</v>
      </c>
      <c r="C288" s="6">
        <v>44651</v>
      </c>
      <c r="D288">
        <v>20210401</v>
      </c>
      <c r="E288">
        <v>20220331</v>
      </c>
      <c r="F288" t="s">
        <v>1352</v>
      </c>
      <c r="G288" t="s">
        <v>1353</v>
      </c>
      <c r="H288" t="s">
        <v>590</v>
      </c>
      <c r="I288" t="s">
        <v>774</v>
      </c>
      <c r="P288">
        <v>1</v>
      </c>
      <c r="R288">
        <v>-1</v>
      </c>
      <c r="Z288" s="3">
        <f t="shared" si="4"/>
        <v>0</v>
      </c>
    </row>
    <row r="289" spans="1:26" hidden="1">
      <c r="A289" t="s">
        <v>706</v>
      </c>
      <c r="B289" s="6">
        <v>44287</v>
      </c>
      <c r="C289" s="6">
        <v>44651</v>
      </c>
      <c r="D289">
        <v>20210401</v>
      </c>
      <c r="E289">
        <v>20220331</v>
      </c>
      <c r="F289" t="s">
        <v>1354</v>
      </c>
      <c r="G289" t="s">
        <v>1355</v>
      </c>
      <c r="H289" t="s">
        <v>590</v>
      </c>
      <c r="I289" t="s">
        <v>774</v>
      </c>
      <c r="P289">
        <v>1</v>
      </c>
      <c r="R289">
        <v>-1</v>
      </c>
      <c r="Z289" s="3">
        <f t="shared" si="4"/>
        <v>0</v>
      </c>
    </row>
    <row r="290" spans="1:26" hidden="1">
      <c r="A290" t="s">
        <v>706</v>
      </c>
      <c r="B290" s="6">
        <v>44287</v>
      </c>
      <c r="C290" s="6">
        <v>44651</v>
      </c>
      <c r="D290">
        <v>20210401</v>
      </c>
      <c r="E290">
        <v>20220331</v>
      </c>
      <c r="F290" t="s">
        <v>1356</v>
      </c>
      <c r="G290" t="s">
        <v>1357</v>
      </c>
      <c r="H290" t="s">
        <v>590</v>
      </c>
      <c r="I290" t="s">
        <v>774</v>
      </c>
      <c r="L290">
        <v>1</v>
      </c>
      <c r="M290">
        <v>60000</v>
      </c>
      <c r="N290">
        <v>-1</v>
      </c>
      <c r="O290">
        <v>-60000</v>
      </c>
      <c r="P290">
        <v>1</v>
      </c>
      <c r="Q290">
        <v>60000</v>
      </c>
      <c r="R290">
        <v>-1</v>
      </c>
      <c r="S290">
        <v>-60000</v>
      </c>
      <c r="Z290" s="3" t="e">
        <f t="shared" si="4"/>
        <v>#DIV/0!</v>
      </c>
    </row>
    <row r="291" spans="1:26" hidden="1">
      <c r="A291" t="s">
        <v>706</v>
      </c>
      <c r="B291" s="6">
        <v>44287</v>
      </c>
      <c r="C291" s="6">
        <v>44651</v>
      </c>
      <c r="D291">
        <v>20210401</v>
      </c>
      <c r="E291">
        <v>20220331</v>
      </c>
      <c r="F291" t="s">
        <v>1358</v>
      </c>
      <c r="G291" t="s">
        <v>1359</v>
      </c>
      <c r="H291" t="s">
        <v>613</v>
      </c>
      <c r="I291" t="s">
        <v>805</v>
      </c>
      <c r="J291">
        <v>594.34</v>
      </c>
      <c r="K291">
        <v>41462.720000000001</v>
      </c>
      <c r="L291">
        <v>2500</v>
      </c>
      <c r="M291">
        <v>187500</v>
      </c>
      <c r="N291">
        <v>-1491.3610000000001</v>
      </c>
      <c r="O291">
        <v>-111201.52</v>
      </c>
      <c r="P291">
        <v>20.657</v>
      </c>
      <c r="Q291">
        <v>1548.09</v>
      </c>
      <c r="R291">
        <v>-1235.5</v>
      </c>
      <c r="S291">
        <v>-92133.8</v>
      </c>
      <c r="X291">
        <v>388.13600000000002</v>
      </c>
      <c r="Y291">
        <v>27175.49</v>
      </c>
      <c r="Z291" s="3">
        <f t="shared" si="4"/>
        <v>74.55846315778021</v>
      </c>
    </row>
    <row r="292" spans="1:26" hidden="1">
      <c r="A292" t="s">
        <v>706</v>
      </c>
      <c r="B292" s="6">
        <v>44287</v>
      </c>
      <c r="C292" s="6">
        <v>44651</v>
      </c>
      <c r="D292">
        <v>20210401</v>
      </c>
      <c r="E292">
        <v>20220331</v>
      </c>
      <c r="F292" t="s">
        <v>1360</v>
      </c>
      <c r="G292" t="s">
        <v>1361</v>
      </c>
      <c r="H292" t="s">
        <v>590</v>
      </c>
      <c r="I292" t="s">
        <v>1362</v>
      </c>
      <c r="J292">
        <v>7</v>
      </c>
      <c r="K292">
        <v>169.37</v>
      </c>
      <c r="N292">
        <v>-7</v>
      </c>
      <c r="O292">
        <v>-169.37</v>
      </c>
      <c r="Z292" s="3">
        <f t="shared" si="4"/>
        <v>24.195714285714285</v>
      </c>
    </row>
    <row r="293" spans="1:26" hidden="1">
      <c r="A293" t="s">
        <v>706</v>
      </c>
      <c r="B293" s="6">
        <v>44287</v>
      </c>
      <c r="C293" s="6">
        <v>44651</v>
      </c>
      <c r="D293">
        <v>20210401</v>
      </c>
      <c r="E293">
        <v>20220331</v>
      </c>
      <c r="F293" t="s">
        <v>1363</v>
      </c>
      <c r="G293" t="s">
        <v>1364</v>
      </c>
      <c r="H293" t="s">
        <v>1365</v>
      </c>
      <c r="I293" t="s">
        <v>805</v>
      </c>
      <c r="J293">
        <v>200</v>
      </c>
      <c r="K293">
        <v>13500.06</v>
      </c>
      <c r="L293">
        <v>11742</v>
      </c>
      <c r="M293">
        <v>834733.57</v>
      </c>
      <c r="N293">
        <v>-8242</v>
      </c>
      <c r="O293">
        <v>-585669.44999999995</v>
      </c>
      <c r="R293">
        <v>-3300</v>
      </c>
      <c r="S293">
        <v>-234162.24</v>
      </c>
      <c r="X293">
        <v>400</v>
      </c>
      <c r="Y293">
        <v>28401.94</v>
      </c>
      <c r="Z293" s="3">
        <f t="shared" si="4"/>
        <v>71.059142198495508</v>
      </c>
    </row>
    <row r="294" spans="1:26" hidden="1">
      <c r="A294" t="s">
        <v>706</v>
      </c>
      <c r="B294" s="6">
        <v>44287</v>
      </c>
      <c r="C294" s="6">
        <v>44651</v>
      </c>
      <c r="D294">
        <v>20210401</v>
      </c>
      <c r="E294">
        <v>20220331</v>
      </c>
      <c r="F294" t="s">
        <v>1366</v>
      </c>
      <c r="G294" t="s">
        <v>1367</v>
      </c>
      <c r="H294" t="s">
        <v>590</v>
      </c>
      <c r="I294" t="s">
        <v>805</v>
      </c>
      <c r="J294">
        <v>8</v>
      </c>
      <c r="K294">
        <v>1559.69</v>
      </c>
      <c r="L294">
        <v>83</v>
      </c>
      <c r="M294">
        <v>14525</v>
      </c>
      <c r="N294">
        <v>-91</v>
      </c>
      <c r="O294">
        <v>-15925</v>
      </c>
      <c r="Y294">
        <v>159.69</v>
      </c>
      <c r="Z294" s="3">
        <f t="shared" si="4"/>
        <v>175</v>
      </c>
    </row>
    <row r="295" spans="1:26" hidden="1">
      <c r="A295" t="s">
        <v>706</v>
      </c>
      <c r="B295" s="6">
        <v>44287</v>
      </c>
      <c r="C295" s="6">
        <v>44651</v>
      </c>
      <c r="D295">
        <v>20210401</v>
      </c>
      <c r="E295">
        <v>20220331</v>
      </c>
      <c r="F295" t="s">
        <v>1368</v>
      </c>
      <c r="G295" t="s">
        <v>1369</v>
      </c>
      <c r="H295" t="s">
        <v>613</v>
      </c>
      <c r="I295" t="s">
        <v>805</v>
      </c>
      <c r="J295">
        <v>100</v>
      </c>
      <c r="K295">
        <v>1900</v>
      </c>
      <c r="L295">
        <v>6500</v>
      </c>
      <c r="M295">
        <v>128200</v>
      </c>
      <c r="N295">
        <v>-6400</v>
      </c>
      <c r="O295">
        <v>-126000</v>
      </c>
      <c r="R295">
        <v>-50</v>
      </c>
      <c r="S295">
        <v>-950</v>
      </c>
      <c r="X295">
        <v>150</v>
      </c>
      <c r="Y295">
        <v>3150</v>
      </c>
      <c r="Z295" s="3">
        <f t="shared" si="4"/>
        <v>19.6875</v>
      </c>
    </row>
    <row r="296" spans="1:26" hidden="1">
      <c r="A296" t="s">
        <v>706</v>
      </c>
      <c r="B296" s="6">
        <v>44287</v>
      </c>
      <c r="C296" s="6">
        <v>44651</v>
      </c>
      <c r="D296">
        <v>20210401</v>
      </c>
      <c r="E296">
        <v>20220331</v>
      </c>
      <c r="F296" t="s">
        <v>1370</v>
      </c>
      <c r="G296" t="s">
        <v>1371</v>
      </c>
      <c r="H296" t="s">
        <v>613</v>
      </c>
      <c r="I296" t="s">
        <v>805</v>
      </c>
      <c r="J296">
        <v>15.5</v>
      </c>
      <c r="K296">
        <v>45.37</v>
      </c>
      <c r="X296">
        <v>15.5</v>
      </c>
      <c r="Y296">
        <v>45.37</v>
      </c>
      <c r="Z296" s="3">
        <f t="shared" si="4"/>
        <v>2.9270967741935481</v>
      </c>
    </row>
    <row r="297" spans="1:26" hidden="1">
      <c r="A297" t="s">
        <v>706</v>
      </c>
      <c r="B297" s="6">
        <v>44287</v>
      </c>
      <c r="C297" s="6">
        <v>44651</v>
      </c>
      <c r="D297">
        <v>20210401</v>
      </c>
      <c r="E297">
        <v>20220331</v>
      </c>
      <c r="F297" t="s">
        <v>1372</v>
      </c>
      <c r="G297" t="s">
        <v>1373</v>
      </c>
      <c r="H297" t="s">
        <v>590</v>
      </c>
      <c r="I297" t="s">
        <v>805</v>
      </c>
      <c r="L297">
        <v>20</v>
      </c>
      <c r="M297">
        <v>84700</v>
      </c>
      <c r="N297">
        <v>-20</v>
      </c>
      <c r="O297">
        <v>-84700</v>
      </c>
      <c r="Z297" s="3">
        <f t="shared" si="4"/>
        <v>4235</v>
      </c>
    </row>
    <row r="298" spans="1:26" hidden="1">
      <c r="A298" t="s">
        <v>706</v>
      </c>
      <c r="B298" s="6">
        <v>44287</v>
      </c>
      <c r="C298" s="6">
        <v>44651</v>
      </c>
      <c r="D298">
        <v>20210401</v>
      </c>
      <c r="E298">
        <v>20220331</v>
      </c>
      <c r="F298" t="s">
        <v>1374</v>
      </c>
      <c r="G298" t="s">
        <v>1375</v>
      </c>
      <c r="H298" t="s">
        <v>590</v>
      </c>
      <c r="I298" t="s">
        <v>805</v>
      </c>
      <c r="J298">
        <v>26</v>
      </c>
      <c r="K298">
        <v>46996.92</v>
      </c>
      <c r="L298">
        <v>370</v>
      </c>
      <c r="M298">
        <v>818262.29</v>
      </c>
      <c r="N298">
        <v>-256</v>
      </c>
      <c r="O298">
        <v>-563437.5</v>
      </c>
      <c r="R298">
        <v>-132</v>
      </c>
      <c r="S298">
        <v>-287861.62</v>
      </c>
      <c r="X298">
        <v>8</v>
      </c>
      <c r="Y298">
        <v>13960.09</v>
      </c>
      <c r="Z298" s="3">
        <f t="shared" si="4"/>
        <v>2200.927734375</v>
      </c>
    </row>
    <row r="299" spans="1:26" hidden="1">
      <c r="A299" t="s">
        <v>706</v>
      </c>
      <c r="B299" s="6">
        <v>44287</v>
      </c>
      <c r="C299" s="6">
        <v>44651</v>
      </c>
      <c r="D299">
        <v>20210401</v>
      </c>
      <c r="E299">
        <v>20220331</v>
      </c>
      <c r="F299" t="s">
        <v>1376</v>
      </c>
      <c r="G299" t="s">
        <v>1377</v>
      </c>
      <c r="H299" t="s">
        <v>590</v>
      </c>
      <c r="I299" t="s">
        <v>805</v>
      </c>
      <c r="J299">
        <v>9</v>
      </c>
      <c r="K299">
        <v>42835.41</v>
      </c>
      <c r="L299">
        <v>50</v>
      </c>
      <c r="M299">
        <v>266533.09999999998</v>
      </c>
      <c r="N299">
        <v>-54</v>
      </c>
      <c r="O299">
        <v>-282113.43</v>
      </c>
      <c r="X299">
        <v>5</v>
      </c>
      <c r="Y299">
        <v>27255.08</v>
      </c>
      <c r="Z299" s="3">
        <f t="shared" si="4"/>
        <v>5224.3227777777774</v>
      </c>
    </row>
    <row r="300" spans="1:26" hidden="1">
      <c r="A300" t="s">
        <v>706</v>
      </c>
      <c r="B300" s="6">
        <v>44287</v>
      </c>
      <c r="C300" s="6">
        <v>44651</v>
      </c>
      <c r="D300">
        <v>20210401</v>
      </c>
      <c r="E300">
        <v>20220331</v>
      </c>
      <c r="F300" t="s">
        <v>1378</v>
      </c>
      <c r="G300" t="s">
        <v>1379</v>
      </c>
      <c r="H300" t="s">
        <v>590</v>
      </c>
      <c r="I300" t="s">
        <v>805</v>
      </c>
      <c r="J300">
        <v>198</v>
      </c>
      <c r="K300">
        <v>918.94</v>
      </c>
      <c r="L300">
        <v>400</v>
      </c>
      <c r="M300">
        <v>3800</v>
      </c>
      <c r="N300">
        <v>-298</v>
      </c>
      <c r="O300">
        <v>-1869</v>
      </c>
      <c r="X300">
        <v>300</v>
      </c>
      <c r="Y300">
        <v>2849.94</v>
      </c>
      <c r="Z300" s="3">
        <f t="shared" si="4"/>
        <v>6.2718120805369129</v>
      </c>
    </row>
    <row r="301" spans="1:26" hidden="1">
      <c r="A301" t="s">
        <v>706</v>
      </c>
      <c r="B301" s="6">
        <v>44287</v>
      </c>
      <c r="C301" s="6">
        <v>44651</v>
      </c>
      <c r="D301">
        <v>20210401</v>
      </c>
      <c r="E301">
        <v>20220331</v>
      </c>
      <c r="F301" t="s">
        <v>1380</v>
      </c>
      <c r="G301" t="s">
        <v>1381</v>
      </c>
      <c r="H301" t="s">
        <v>613</v>
      </c>
      <c r="I301" t="s">
        <v>805</v>
      </c>
      <c r="J301">
        <v>250</v>
      </c>
      <c r="K301">
        <v>5749.74</v>
      </c>
      <c r="L301">
        <v>40200</v>
      </c>
      <c r="M301">
        <v>974550</v>
      </c>
      <c r="N301">
        <v>-37000</v>
      </c>
      <c r="O301">
        <v>-894466.18</v>
      </c>
      <c r="R301">
        <v>-2450</v>
      </c>
      <c r="S301">
        <v>-58333.7</v>
      </c>
      <c r="X301">
        <v>1000</v>
      </c>
      <c r="Y301">
        <v>27499.86</v>
      </c>
      <c r="Z301" s="3">
        <f t="shared" si="4"/>
        <v>24.174761621621624</v>
      </c>
    </row>
    <row r="302" spans="1:26" hidden="1">
      <c r="A302" t="s">
        <v>706</v>
      </c>
      <c r="B302" s="6">
        <v>44287</v>
      </c>
      <c r="C302" s="6">
        <v>44651</v>
      </c>
      <c r="D302">
        <v>20210401</v>
      </c>
      <c r="E302">
        <v>20220331</v>
      </c>
      <c r="F302" t="s">
        <v>1382</v>
      </c>
      <c r="G302" t="s">
        <v>1383</v>
      </c>
      <c r="H302" t="s">
        <v>590</v>
      </c>
      <c r="I302" t="s">
        <v>805</v>
      </c>
      <c r="J302">
        <v>11</v>
      </c>
      <c r="K302">
        <v>31913.27</v>
      </c>
      <c r="L302">
        <v>108</v>
      </c>
      <c r="M302">
        <v>342046.58</v>
      </c>
      <c r="N302">
        <v>-58</v>
      </c>
      <c r="O302">
        <v>-182561.25</v>
      </c>
      <c r="R302">
        <v>-29</v>
      </c>
      <c r="S302">
        <v>-88704.94</v>
      </c>
      <c r="X302">
        <v>32</v>
      </c>
      <c r="Y302">
        <v>102693.66</v>
      </c>
      <c r="Z302" s="3">
        <f t="shared" si="4"/>
        <v>3147.6077586206898</v>
      </c>
    </row>
    <row r="303" spans="1:26" hidden="1">
      <c r="A303" t="s">
        <v>706</v>
      </c>
      <c r="B303" s="6">
        <v>44287</v>
      </c>
      <c r="C303" s="6">
        <v>44651</v>
      </c>
      <c r="D303">
        <v>20210401</v>
      </c>
      <c r="E303">
        <v>20220331</v>
      </c>
      <c r="F303" t="s">
        <v>1384</v>
      </c>
      <c r="G303" t="s">
        <v>1385</v>
      </c>
      <c r="H303" t="s">
        <v>613</v>
      </c>
      <c r="I303" t="s">
        <v>805</v>
      </c>
      <c r="L303">
        <v>25</v>
      </c>
      <c r="M303">
        <v>11550</v>
      </c>
      <c r="N303">
        <v>-15</v>
      </c>
      <c r="O303">
        <v>-6950</v>
      </c>
      <c r="X303">
        <v>10</v>
      </c>
      <c r="Y303">
        <v>4600</v>
      </c>
      <c r="Z303" s="3">
        <f t="shared" si="4"/>
        <v>463.33333333333331</v>
      </c>
    </row>
    <row r="304" spans="1:26" hidden="1">
      <c r="A304" t="s">
        <v>706</v>
      </c>
      <c r="B304" s="6">
        <v>44287</v>
      </c>
      <c r="C304" s="6">
        <v>44651</v>
      </c>
      <c r="D304">
        <v>20210401</v>
      </c>
      <c r="E304">
        <v>20220331</v>
      </c>
      <c r="F304" t="s">
        <v>1386</v>
      </c>
      <c r="G304" t="s">
        <v>1387</v>
      </c>
      <c r="H304" t="s">
        <v>590</v>
      </c>
      <c r="I304" t="s">
        <v>805</v>
      </c>
      <c r="L304">
        <v>89</v>
      </c>
      <c r="M304">
        <v>162425</v>
      </c>
      <c r="N304">
        <v>-89</v>
      </c>
      <c r="O304">
        <v>125977.59</v>
      </c>
      <c r="Y304">
        <v>288402.59000000003</v>
      </c>
      <c r="Z304" s="3">
        <f t="shared" si="4"/>
        <v>-1415.4785393258426</v>
      </c>
    </row>
    <row r="305" spans="1:26" hidden="1">
      <c r="A305" t="s">
        <v>706</v>
      </c>
      <c r="B305" s="6">
        <v>44287</v>
      </c>
      <c r="C305" s="6">
        <v>44651</v>
      </c>
      <c r="D305">
        <v>20210401</v>
      </c>
      <c r="E305">
        <v>20220331</v>
      </c>
      <c r="F305" t="s">
        <v>1388</v>
      </c>
      <c r="G305" t="s">
        <v>1389</v>
      </c>
      <c r="H305" t="s">
        <v>613</v>
      </c>
      <c r="I305" t="s">
        <v>805</v>
      </c>
      <c r="L305">
        <v>4400</v>
      </c>
      <c r="M305">
        <v>395750</v>
      </c>
      <c r="N305">
        <v>-4250</v>
      </c>
      <c r="O305">
        <v>-380750</v>
      </c>
      <c r="X305">
        <v>150</v>
      </c>
      <c r="Y305">
        <v>15000</v>
      </c>
      <c r="Z305" s="3">
        <f t="shared" si="4"/>
        <v>89.588235294117652</v>
      </c>
    </row>
    <row r="306" spans="1:26" hidden="1">
      <c r="A306" t="s">
        <v>706</v>
      </c>
      <c r="B306" s="6">
        <v>44287</v>
      </c>
      <c r="C306" s="6">
        <v>44651</v>
      </c>
      <c r="D306">
        <v>20210401</v>
      </c>
      <c r="E306">
        <v>20220331</v>
      </c>
      <c r="F306" t="s">
        <v>1390</v>
      </c>
      <c r="G306" t="s">
        <v>1391</v>
      </c>
      <c r="H306" t="s">
        <v>613</v>
      </c>
      <c r="I306" t="s">
        <v>805</v>
      </c>
      <c r="L306">
        <v>400</v>
      </c>
      <c r="M306">
        <v>3600</v>
      </c>
      <c r="N306">
        <v>-400</v>
      </c>
      <c r="O306">
        <v>-3600</v>
      </c>
      <c r="Z306" s="3">
        <f t="shared" si="4"/>
        <v>9</v>
      </c>
    </row>
    <row r="307" spans="1:26" hidden="1">
      <c r="A307" t="s">
        <v>706</v>
      </c>
      <c r="B307" s="6">
        <v>44287</v>
      </c>
      <c r="C307" s="6">
        <v>44651</v>
      </c>
      <c r="D307">
        <v>20210401</v>
      </c>
      <c r="E307">
        <v>20220331</v>
      </c>
      <c r="F307" t="s">
        <v>1392</v>
      </c>
      <c r="G307" t="s">
        <v>1393</v>
      </c>
      <c r="H307" t="s">
        <v>590</v>
      </c>
      <c r="I307" t="s">
        <v>805</v>
      </c>
      <c r="J307">
        <v>14</v>
      </c>
      <c r="K307">
        <v>30075</v>
      </c>
      <c r="L307">
        <v>20</v>
      </c>
      <c r="M307">
        <v>81900</v>
      </c>
      <c r="N307">
        <v>-34</v>
      </c>
      <c r="O307">
        <v>-111975</v>
      </c>
      <c r="Z307" s="3">
        <f t="shared" si="4"/>
        <v>3293.3823529411766</v>
      </c>
    </row>
    <row r="308" spans="1:26" hidden="1">
      <c r="A308" t="s">
        <v>706</v>
      </c>
      <c r="B308" s="6">
        <v>44287</v>
      </c>
      <c r="C308" s="6">
        <v>44651</v>
      </c>
      <c r="D308">
        <v>20210401</v>
      </c>
      <c r="E308">
        <v>20220331</v>
      </c>
      <c r="F308" t="s">
        <v>1394</v>
      </c>
      <c r="G308" t="s">
        <v>1395</v>
      </c>
      <c r="H308" t="s">
        <v>590</v>
      </c>
      <c r="I308" t="s">
        <v>805</v>
      </c>
      <c r="J308">
        <v>10</v>
      </c>
      <c r="K308">
        <v>2299.7600000000002</v>
      </c>
      <c r="L308">
        <v>259</v>
      </c>
      <c r="M308">
        <v>59570</v>
      </c>
      <c r="N308">
        <v>-269</v>
      </c>
      <c r="O308">
        <v>-61870</v>
      </c>
      <c r="Y308">
        <v>-0.24</v>
      </c>
      <c r="Z308" s="3">
        <f t="shared" si="4"/>
        <v>230</v>
      </c>
    </row>
    <row r="309" spans="1:26" hidden="1">
      <c r="A309" t="s">
        <v>706</v>
      </c>
      <c r="B309" s="6">
        <v>44287</v>
      </c>
      <c r="C309" s="6">
        <v>44651</v>
      </c>
      <c r="D309">
        <v>20210401</v>
      </c>
      <c r="E309">
        <v>20220331</v>
      </c>
      <c r="F309" t="s">
        <v>1396</v>
      </c>
      <c r="G309" t="s">
        <v>1397</v>
      </c>
      <c r="H309" t="s">
        <v>590</v>
      </c>
      <c r="I309" t="s">
        <v>805</v>
      </c>
      <c r="J309">
        <v>12</v>
      </c>
      <c r="K309">
        <v>3051.41</v>
      </c>
      <c r="L309">
        <v>26</v>
      </c>
      <c r="M309">
        <v>6850</v>
      </c>
      <c r="N309">
        <v>-30</v>
      </c>
      <c r="O309">
        <v>-7768.13</v>
      </c>
      <c r="X309">
        <v>8</v>
      </c>
      <c r="Y309">
        <v>2133.2800000000002</v>
      </c>
      <c r="Z309" s="3">
        <f t="shared" si="4"/>
        <v>258.93766666666664</v>
      </c>
    </row>
    <row r="310" spans="1:26" hidden="1">
      <c r="A310" t="s">
        <v>706</v>
      </c>
      <c r="B310" s="6">
        <v>44287</v>
      </c>
      <c r="C310" s="6">
        <v>44651</v>
      </c>
      <c r="D310">
        <v>20210401</v>
      </c>
      <c r="E310">
        <v>20220331</v>
      </c>
      <c r="F310" t="s">
        <v>1398</v>
      </c>
      <c r="G310" t="s">
        <v>1399</v>
      </c>
      <c r="H310" t="s">
        <v>590</v>
      </c>
      <c r="I310" t="s">
        <v>805</v>
      </c>
      <c r="K310">
        <v>1030</v>
      </c>
      <c r="L310">
        <v>3</v>
      </c>
      <c r="M310">
        <v>13200</v>
      </c>
      <c r="N310">
        <v>-3</v>
      </c>
      <c r="O310">
        <v>-14230</v>
      </c>
      <c r="Z310" s="3">
        <f t="shared" si="4"/>
        <v>4743.333333333333</v>
      </c>
    </row>
    <row r="311" spans="1:26" hidden="1">
      <c r="A311" t="s">
        <v>706</v>
      </c>
      <c r="B311" s="6">
        <v>44287</v>
      </c>
      <c r="C311" s="6">
        <v>44651</v>
      </c>
      <c r="D311">
        <v>20210401</v>
      </c>
      <c r="E311">
        <v>20220331</v>
      </c>
      <c r="F311" t="s">
        <v>1400</v>
      </c>
      <c r="G311" t="s">
        <v>1401</v>
      </c>
      <c r="H311" t="s">
        <v>590</v>
      </c>
      <c r="I311" t="s">
        <v>805</v>
      </c>
      <c r="J311">
        <v>449</v>
      </c>
      <c r="K311">
        <v>12644.63</v>
      </c>
      <c r="N311">
        <v>-449</v>
      </c>
      <c r="O311">
        <v>-10426.77</v>
      </c>
      <c r="Y311">
        <v>2217.86</v>
      </c>
      <c r="Z311" s="3">
        <f t="shared" si="4"/>
        <v>23.222204899777285</v>
      </c>
    </row>
    <row r="312" spans="1:26" hidden="1">
      <c r="A312" t="s">
        <v>706</v>
      </c>
      <c r="B312" s="6">
        <v>44287</v>
      </c>
      <c r="C312" s="6">
        <v>44651</v>
      </c>
      <c r="D312">
        <v>20210401</v>
      </c>
      <c r="E312">
        <v>20220331</v>
      </c>
      <c r="F312" t="s">
        <v>1402</v>
      </c>
      <c r="G312" t="s">
        <v>1403</v>
      </c>
      <c r="H312" t="s">
        <v>590</v>
      </c>
      <c r="I312" t="s">
        <v>805</v>
      </c>
      <c r="L312">
        <v>30</v>
      </c>
      <c r="M312">
        <v>247.5</v>
      </c>
      <c r="N312">
        <v>-30</v>
      </c>
      <c r="O312">
        <v>-247.5</v>
      </c>
      <c r="Z312" s="3">
        <f t="shared" si="4"/>
        <v>8.25</v>
      </c>
    </row>
    <row r="313" spans="1:26" hidden="1">
      <c r="A313" t="s">
        <v>706</v>
      </c>
      <c r="B313" s="6">
        <v>44287</v>
      </c>
      <c r="C313" s="6">
        <v>44651</v>
      </c>
      <c r="D313">
        <v>20210401</v>
      </c>
      <c r="E313">
        <v>20220331</v>
      </c>
      <c r="F313" t="s">
        <v>1404</v>
      </c>
      <c r="G313" t="s">
        <v>1405</v>
      </c>
      <c r="H313" t="s">
        <v>590</v>
      </c>
      <c r="I313" t="s">
        <v>805</v>
      </c>
      <c r="L313">
        <v>15</v>
      </c>
      <c r="M313">
        <v>4275</v>
      </c>
      <c r="N313">
        <v>-15</v>
      </c>
      <c r="O313">
        <v>-4275</v>
      </c>
      <c r="Z313" s="3">
        <f t="shared" si="4"/>
        <v>285</v>
      </c>
    </row>
    <row r="314" spans="1:26" hidden="1">
      <c r="A314" t="s">
        <v>706</v>
      </c>
      <c r="B314" s="6">
        <v>44287</v>
      </c>
      <c r="C314" s="6">
        <v>44651</v>
      </c>
      <c r="D314">
        <v>20210401</v>
      </c>
      <c r="E314">
        <v>20220331</v>
      </c>
      <c r="F314" t="s">
        <v>1406</v>
      </c>
      <c r="G314" t="s">
        <v>1407</v>
      </c>
      <c r="H314" t="s">
        <v>590</v>
      </c>
      <c r="I314" t="s">
        <v>805</v>
      </c>
      <c r="J314">
        <v>2</v>
      </c>
      <c r="K314">
        <v>4300.01</v>
      </c>
      <c r="L314">
        <v>45</v>
      </c>
      <c r="M314">
        <v>123750</v>
      </c>
      <c r="N314">
        <v>-47</v>
      </c>
      <c r="O314">
        <v>-128050</v>
      </c>
      <c r="Y314">
        <v>0.01</v>
      </c>
      <c r="Z314" s="3">
        <f t="shared" si="4"/>
        <v>2724.4680851063831</v>
      </c>
    </row>
    <row r="315" spans="1:26" hidden="1">
      <c r="A315" t="s">
        <v>706</v>
      </c>
      <c r="B315" s="6">
        <v>44287</v>
      </c>
      <c r="C315" s="6">
        <v>44651</v>
      </c>
      <c r="D315">
        <v>20210401</v>
      </c>
      <c r="E315">
        <v>20220331</v>
      </c>
      <c r="F315" t="s">
        <v>1408</v>
      </c>
      <c r="G315" t="s">
        <v>1409</v>
      </c>
      <c r="H315" t="s">
        <v>590</v>
      </c>
      <c r="I315" t="s">
        <v>805</v>
      </c>
      <c r="L315">
        <v>2</v>
      </c>
      <c r="M315">
        <v>1100</v>
      </c>
      <c r="N315">
        <v>-2</v>
      </c>
      <c r="O315">
        <v>-1100</v>
      </c>
      <c r="Z315" s="3">
        <f t="shared" si="4"/>
        <v>550</v>
      </c>
    </row>
    <row r="316" spans="1:26" hidden="1">
      <c r="A316" t="s">
        <v>706</v>
      </c>
      <c r="B316" s="6">
        <v>44287</v>
      </c>
      <c r="C316" s="6">
        <v>44651</v>
      </c>
      <c r="D316">
        <v>20210401</v>
      </c>
      <c r="E316">
        <v>20220331</v>
      </c>
      <c r="F316" t="s">
        <v>1410</v>
      </c>
      <c r="G316" t="s">
        <v>1411</v>
      </c>
      <c r="H316" t="s">
        <v>590</v>
      </c>
      <c r="I316" t="s">
        <v>805</v>
      </c>
      <c r="L316">
        <v>60</v>
      </c>
      <c r="M316">
        <v>115200</v>
      </c>
      <c r="N316">
        <v>-60</v>
      </c>
      <c r="O316">
        <v>-115200</v>
      </c>
      <c r="Z316" s="3">
        <f t="shared" si="4"/>
        <v>1920</v>
      </c>
    </row>
    <row r="317" spans="1:26" hidden="1">
      <c r="A317" t="s">
        <v>706</v>
      </c>
      <c r="B317" s="6">
        <v>44287</v>
      </c>
      <c r="C317" s="6">
        <v>44651</v>
      </c>
      <c r="D317">
        <v>20210401</v>
      </c>
      <c r="E317">
        <v>20220331</v>
      </c>
      <c r="F317" t="s">
        <v>1412</v>
      </c>
      <c r="G317" t="s">
        <v>1413</v>
      </c>
      <c r="H317" t="s">
        <v>590</v>
      </c>
      <c r="I317" t="s">
        <v>805</v>
      </c>
      <c r="L317">
        <v>20</v>
      </c>
      <c r="M317">
        <v>52000</v>
      </c>
      <c r="N317">
        <v>-20</v>
      </c>
      <c r="O317">
        <v>-52000</v>
      </c>
      <c r="Z317" s="3">
        <f t="shared" si="4"/>
        <v>2600</v>
      </c>
    </row>
    <row r="318" spans="1:26" hidden="1">
      <c r="A318" t="s">
        <v>706</v>
      </c>
      <c r="B318" s="6">
        <v>44287</v>
      </c>
      <c r="C318" s="6">
        <v>44651</v>
      </c>
      <c r="D318">
        <v>20210401</v>
      </c>
      <c r="E318">
        <v>20220331</v>
      </c>
      <c r="F318" t="s">
        <v>1414</v>
      </c>
      <c r="G318" t="s">
        <v>1415</v>
      </c>
      <c r="H318" t="s">
        <v>590</v>
      </c>
      <c r="I318" t="s">
        <v>805</v>
      </c>
      <c r="L318">
        <v>3</v>
      </c>
      <c r="M318">
        <v>6300</v>
      </c>
      <c r="N318">
        <v>-3</v>
      </c>
      <c r="O318">
        <v>-6300</v>
      </c>
      <c r="Z318" s="3">
        <f t="shared" si="4"/>
        <v>2100</v>
      </c>
    </row>
    <row r="319" spans="1:26" hidden="1">
      <c r="A319" t="s">
        <v>706</v>
      </c>
      <c r="B319" s="6">
        <v>44287</v>
      </c>
      <c r="C319" s="6">
        <v>44651</v>
      </c>
      <c r="D319">
        <v>20210401</v>
      </c>
      <c r="E319">
        <v>20220331</v>
      </c>
      <c r="F319" t="s">
        <v>1416</v>
      </c>
      <c r="G319" t="s">
        <v>1417</v>
      </c>
      <c r="H319" t="s">
        <v>590</v>
      </c>
      <c r="I319" t="s">
        <v>805</v>
      </c>
      <c r="L319">
        <v>10</v>
      </c>
      <c r="M319">
        <v>11710</v>
      </c>
      <c r="N319">
        <v>-10</v>
      </c>
      <c r="O319">
        <v>-11710</v>
      </c>
      <c r="Z319" s="3">
        <f t="shared" si="4"/>
        <v>1171</v>
      </c>
    </row>
    <row r="320" spans="1:26">
      <c r="A320" t="s">
        <v>706</v>
      </c>
      <c r="B320" s="6">
        <v>44287</v>
      </c>
      <c r="C320" s="6">
        <v>44651</v>
      </c>
      <c r="D320">
        <v>20210401</v>
      </c>
      <c r="E320">
        <v>20220331</v>
      </c>
      <c r="F320" t="s">
        <v>1418</v>
      </c>
      <c r="G320" t="s">
        <v>1419</v>
      </c>
      <c r="H320" t="s">
        <v>613</v>
      </c>
      <c r="I320" t="s">
        <v>837</v>
      </c>
      <c r="L320">
        <v>15</v>
      </c>
      <c r="M320">
        <v>15</v>
      </c>
      <c r="X320">
        <v>15</v>
      </c>
      <c r="Y320">
        <v>15</v>
      </c>
      <c r="Z320" s="3">
        <f t="shared" si="4"/>
        <v>1</v>
      </c>
    </row>
    <row r="321" spans="1:26">
      <c r="A321" t="s">
        <v>706</v>
      </c>
      <c r="B321" s="6">
        <v>44287</v>
      </c>
      <c r="C321" s="6">
        <v>44651</v>
      </c>
      <c r="D321">
        <v>20210401</v>
      </c>
      <c r="E321">
        <v>20220331</v>
      </c>
      <c r="F321" t="s">
        <v>1420</v>
      </c>
      <c r="G321" t="s">
        <v>1421</v>
      </c>
      <c r="H321" t="s">
        <v>613</v>
      </c>
      <c r="I321" t="s">
        <v>837</v>
      </c>
      <c r="L321">
        <v>100</v>
      </c>
      <c r="M321">
        <v>5500</v>
      </c>
      <c r="X321">
        <v>100</v>
      </c>
      <c r="Y321">
        <v>5500</v>
      </c>
      <c r="Z321" s="3">
        <f t="shared" si="4"/>
        <v>55</v>
      </c>
    </row>
    <row r="322" spans="1:26" hidden="1">
      <c r="A322" t="s">
        <v>706</v>
      </c>
      <c r="B322" s="6">
        <v>44287</v>
      </c>
      <c r="C322" s="6">
        <v>44651</v>
      </c>
      <c r="D322">
        <v>20210401</v>
      </c>
      <c r="E322">
        <v>20220331</v>
      </c>
      <c r="F322" t="s">
        <v>1422</v>
      </c>
      <c r="G322" t="s">
        <v>1423</v>
      </c>
      <c r="H322" t="s">
        <v>613</v>
      </c>
      <c r="I322" t="s">
        <v>805</v>
      </c>
      <c r="L322">
        <v>1374.2</v>
      </c>
      <c r="M322">
        <v>86552</v>
      </c>
      <c r="N322">
        <v>-1374.2</v>
      </c>
      <c r="O322">
        <v>-86552</v>
      </c>
      <c r="Z322" s="3">
        <f t="shared" si="4"/>
        <v>62.983554067821274</v>
      </c>
    </row>
    <row r="323" spans="1:26" hidden="1">
      <c r="A323" t="s">
        <v>706</v>
      </c>
      <c r="B323" s="6">
        <v>44287</v>
      </c>
      <c r="C323" s="6">
        <v>44651</v>
      </c>
      <c r="D323">
        <v>20210401</v>
      </c>
      <c r="E323">
        <v>20220331</v>
      </c>
      <c r="F323" t="s">
        <v>1424</v>
      </c>
      <c r="G323" t="s">
        <v>1425</v>
      </c>
      <c r="H323" t="s">
        <v>590</v>
      </c>
      <c r="I323" t="s">
        <v>805</v>
      </c>
      <c r="L323">
        <v>3</v>
      </c>
      <c r="M323">
        <v>2714.56</v>
      </c>
      <c r="N323">
        <v>-3</v>
      </c>
      <c r="O323">
        <v>-2714.56</v>
      </c>
      <c r="Z323" s="3">
        <f t="shared" ref="Z323:Z386" si="5">IFERROR((O323+Q323)/(N323+P323),Y323/X323)</f>
        <v>904.85333333333335</v>
      </c>
    </row>
    <row r="324" spans="1:26" hidden="1">
      <c r="A324" t="s">
        <v>706</v>
      </c>
      <c r="B324" s="6">
        <v>44287</v>
      </c>
      <c r="C324" s="6">
        <v>44651</v>
      </c>
      <c r="D324">
        <v>20210401</v>
      </c>
      <c r="E324">
        <v>20220331</v>
      </c>
      <c r="F324" t="s">
        <v>1426</v>
      </c>
      <c r="G324" t="s">
        <v>1427</v>
      </c>
      <c r="H324" t="s">
        <v>590</v>
      </c>
      <c r="I324" t="s">
        <v>805</v>
      </c>
      <c r="L324">
        <v>50</v>
      </c>
      <c r="M324">
        <v>500</v>
      </c>
      <c r="N324">
        <v>-50</v>
      </c>
      <c r="O324">
        <v>-500</v>
      </c>
      <c r="Z324" s="3">
        <f t="shared" si="5"/>
        <v>10</v>
      </c>
    </row>
    <row r="325" spans="1:26" hidden="1">
      <c r="A325" t="s">
        <v>706</v>
      </c>
      <c r="B325" s="6">
        <v>44287</v>
      </c>
      <c r="C325" s="6">
        <v>44651</v>
      </c>
      <c r="D325">
        <v>20210401</v>
      </c>
      <c r="E325">
        <v>20220331</v>
      </c>
      <c r="F325" t="s">
        <v>1428</v>
      </c>
      <c r="G325" t="s">
        <v>1429</v>
      </c>
      <c r="H325" t="s">
        <v>590</v>
      </c>
      <c r="I325" t="s">
        <v>875</v>
      </c>
      <c r="J325">
        <v>7.9</v>
      </c>
      <c r="K325">
        <v>355.5</v>
      </c>
      <c r="N325">
        <v>-7.9</v>
      </c>
      <c r="O325">
        <v>-355.5</v>
      </c>
      <c r="Z325" s="3">
        <f t="shared" si="5"/>
        <v>45</v>
      </c>
    </row>
    <row r="326" spans="1:26" hidden="1">
      <c r="A326" t="s">
        <v>706</v>
      </c>
      <c r="B326" s="6">
        <v>44287</v>
      </c>
      <c r="C326" s="6">
        <v>44651</v>
      </c>
      <c r="D326">
        <v>20210401</v>
      </c>
      <c r="E326">
        <v>20220331</v>
      </c>
      <c r="F326" t="s">
        <v>1430</v>
      </c>
      <c r="G326" t="s">
        <v>1431</v>
      </c>
      <c r="H326" t="s">
        <v>613</v>
      </c>
      <c r="I326" t="s">
        <v>875</v>
      </c>
      <c r="J326">
        <v>298.8</v>
      </c>
      <c r="K326">
        <v>13446</v>
      </c>
      <c r="N326">
        <v>-298.8</v>
      </c>
      <c r="O326">
        <v>-13446</v>
      </c>
      <c r="Z326" s="3">
        <f t="shared" si="5"/>
        <v>45</v>
      </c>
    </row>
    <row r="327" spans="1:26" hidden="1">
      <c r="A327" t="s">
        <v>706</v>
      </c>
      <c r="B327" s="6">
        <v>44287</v>
      </c>
      <c r="C327" s="6">
        <v>44651</v>
      </c>
      <c r="D327">
        <v>20210401</v>
      </c>
      <c r="E327">
        <v>20220331</v>
      </c>
      <c r="F327" t="s">
        <v>1432</v>
      </c>
      <c r="G327" t="s">
        <v>1433</v>
      </c>
      <c r="H327" t="s">
        <v>613</v>
      </c>
      <c r="I327" t="s">
        <v>805</v>
      </c>
      <c r="L327">
        <v>909</v>
      </c>
      <c r="M327">
        <v>993341</v>
      </c>
      <c r="N327">
        <v>-909</v>
      </c>
      <c r="O327">
        <v>-993341</v>
      </c>
      <c r="Z327" s="3">
        <f t="shared" si="5"/>
        <v>1092.7843784378438</v>
      </c>
    </row>
    <row r="328" spans="1:26" hidden="1">
      <c r="A328" t="s">
        <v>706</v>
      </c>
      <c r="B328" s="6">
        <v>44287</v>
      </c>
      <c r="C328" s="6">
        <v>44651</v>
      </c>
      <c r="D328">
        <v>20210401</v>
      </c>
      <c r="E328">
        <v>20220331</v>
      </c>
      <c r="F328" t="s">
        <v>1434</v>
      </c>
      <c r="G328" t="s">
        <v>1435</v>
      </c>
      <c r="H328" t="s">
        <v>613</v>
      </c>
      <c r="I328" t="s">
        <v>805</v>
      </c>
      <c r="L328">
        <v>461</v>
      </c>
      <c r="M328">
        <v>34035</v>
      </c>
      <c r="N328">
        <v>-461</v>
      </c>
      <c r="O328">
        <v>-34034.99</v>
      </c>
      <c r="Y328">
        <v>0.01</v>
      </c>
      <c r="Z328" s="3">
        <f t="shared" si="5"/>
        <v>73.828611713665936</v>
      </c>
    </row>
    <row r="329" spans="1:26" hidden="1">
      <c r="A329" t="s">
        <v>706</v>
      </c>
      <c r="B329" s="6">
        <v>44287</v>
      </c>
      <c r="C329" s="6">
        <v>44651</v>
      </c>
      <c r="D329">
        <v>20210401</v>
      </c>
      <c r="E329">
        <v>20220331</v>
      </c>
      <c r="F329" t="s">
        <v>1436</v>
      </c>
      <c r="G329" t="s">
        <v>1437</v>
      </c>
      <c r="H329" t="s">
        <v>613</v>
      </c>
      <c r="I329" t="s">
        <v>805</v>
      </c>
      <c r="J329">
        <v>200</v>
      </c>
      <c r="K329">
        <v>13829.5</v>
      </c>
      <c r="L329">
        <v>118</v>
      </c>
      <c r="M329">
        <v>8260</v>
      </c>
      <c r="N329">
        <v>-268</v>
      </c>
      <c r="O329">
        <v>-18603.599999999999</v>
      </c>
      <c r="X329">
        <v>50</v>
      </c>
      <c r="Y329">
        <v>3485.9</v>
      </c>
      <c r="Z329" s="3">
        <f t="shared" si="5"/>
        <v>69.416417910447763</v>
      </c>
    </row>
    <row r="330" spans="1:26" hidden="1">
      <c r="A330" t="s">
        <v>706</v>
      </c>
      <c r="B330" s="6">
        <v>44287</v>
      </c>
      <c r="C330" s="6">
        <v>44651</v>
      </c>
      <c r="D330">
        <v>20210401</v>
      </c>
      <c r="E330">
        <v>20220331</v>
      </c>
      <c r="F330" t="s">
        <v>1438</v>
      </c>
      <c r="G330" t="s">
        <v>1439</v>
      </c>
      <c r="H330" t="s">
        <v>613</v>
      </c>
      <c r="I330" t="s">
        <v>805</v>
      </c>
      <c r="L330">
        <v>61</v>
      </c>
      <c r="M330">
        <v>3538</v>
      </c>
      <c r="N330">
        <v>-61</v>
      </c>
      <c r="O330">
        <v>-3538</v>
      </c>
      <c r="Z330" s="3">
        <f t="shared" si="5"/>
        <v>58</v>
      </c>
    </row>
    <row r="331" spans="1:26" hidden="1">
      <c r="A331" t="s">
        <v>706</v>
      </c>
      <c r="B331" s="6">
        <v>44287</v>
      </c>
      <c r="C331" s="6">
        <v>44651</v>
      </c>
      <c r="D331">
        <v>20210401</v>
      </c>
      <c r="E331">
        <v>20220331</v>
      </c>
      <c r="F331" t="s">
        <v>1440</v>
      </c>
      <c r="G331" t="s">
        <v>1441</v>
      </c>
      <c r="H331" t="s">
        <v>613</v>
      </c>
      <c r="I331" t="s">
        <v>875</v>
      </c>
      <c r="L331">
        <v>20.9</v>
      </c>
      <c r="M331">
        <v>4974.2</v>
      </c>
      <c r="N331">
        <v>-20.9</v>
      </c>
      <c r="O331">
        <v>-4974.2</v>
      </c>
      <c r="Z331" s="3">
        <f t="shared" si="5"/>
        <v>238</v>
      </c>
    </row>
    <row r="332" spans="1:26" hidden="1">
      <c r="A332" t="s">
        <v>706</v>
      </c>
      <c r="B332" s="6">
        <v>44287</v>
      </c>
      <c r="C332" s="6">
        <v>44651</v>
      </c>
      <c r="D332">
        <v>20210401</v>
      </c>
      <c r="E332">
        <v>20220331</v>
      </c>
      <c r="F332" t="s">
        <v>1442</v>
      </c>
      <c r="G332" t="s">
        <v>1443</v>
      </c>
      <c r="H332" t="s">
        <v>613</v>
      </c>
      <c r="I332" t="s">
        <v>805</v>
      </c>
      <c r="J332">
        <v>266.39999999999998</v>
      </c>
      <c r="K332">
        <v>62850.5</v>
      </c>
      <c r="L332">
        <v>245.5</v>
      </c>
      <c r="M332">
        <v>88890</v>
      </c>
      <c r="N332">
        <v>-511.9</v>
      </c>
      <c r="O332">
        <v>-151740.5</v>
      </c>
      <c r="Z332" s="3">
        <f t="shared" si="5"/>
        <v>296.42605977730028</v>
      </c>
    </row>
    <row r="333" spans="1:26" hidden="1">
      <c r="A333" t="s">
        <v>706</v>
      </c>
      <c r="B333" s="6">
        <v>44287</v>
      </c>
      <c r="C333" s="6">
        <v>44651</v>
      </c>
      <c r="D333">
        <v>20210401</v>
      </c>
      <c r="E333">
        <v>20220331</v>
      </c>
      <c r="F333" t="s">
        <v>1444</v>
      </c>
      <c r="G333" t="s">
        <v>1445</v>
      </c>
      <c r="H333" t="s">
        <v>613</v>
      </c>
      <c r="I333" t="s">
        <v>875</v>
      </c>
      <c r="L333">
        <v>20.5</v>
      </c>
      <c r="M333">
        <v>1599</v>
      </c>
      <c r="N333">
        <v>-20.5</v>
      </c>
      <c r="O333">
        <v>-1599</v>
      </c>
      <c r="Z333" s="3">
        <f t="shared" si="5"/>
        <v>78</v>
      </c>
    </row>
    <row r="334" spans="1:26" hidden="1">
      <c r="A334" t="s">
        <v>706</v>
      </c>
      <c r="B334" s="6">
        <v>44287</v>
      </c>
      <c r="C334" s="6">
        <v>44651</v>
      </c>
      <c r="D334">
        <v>20210401</v>
      </c>
      <c r="E334">
        <v>20220331</v>
      </c>
      <c r="F334" t="s">
        <v>1446</v>
      </c>
      <c r="G334" t="s">
        <v>1447</v>
      </c>
      <c r="H334" t="s">
        <v>613</v>
      </c>
      <c r="I334" t="s">
        <v>875</v>
      </c>
      <c r="J334">
        <v>16.399999999999999</v>
      </c>
      <c r="K334">
        <v>2870</v>
      </c>
      <c r="N334">
        <v>-16.3</v>
      </c>
      <c r="O334">
        <v>-2852.5</v>
      </c>
      <c r="X334">
        <v>0.1</v>
      </c>
      <c r="Y334">
        <v>17.5</v>
      </c>
      <c r="Z334" s="3">
        <f t="shared" si="5"/>
        <v>175</v>
      </c>
    </row>
    <row r="335" spans="1:26" hidden="1">
      <c r="A335" t="s">
        <v>706</v>
      </c>
      <c r="B335" s="6">
        <v>44287</v>
      </c>
      <c r="C335" s="6">
        <v>44651</v>
      </c>
      <c r="D335">
        <v>20210401</v>
      </c>
      <c r="E335">
        <v>20220331</v>
      </c>
      <c r="F335" t="s">
        <v>1448</v>
      </c>
      <c r="G335" t="s">
        <v>1449</v>
      </c>
      <c r="H335" t="s">
        <v>613</v>
      </c>
      <c r="I335" t="s">
        <v>805</v>
      </c>
      <c r="J335">
        <v>76</v>
      </c>
      <c r="K335">
        <v>17157.05</v>
      </c>
      <c r="L335">
        <v>1210.75</v>
      </c>
      <c r="M335">
        <v>317984.65000000002</v>
      </c>
      <c r="N335">
        <v>-1286.75</v>
      </c>
      <c r="O335">
        <v>-335697.79</v>
      </c>
      <c r="Y335">
        <v>-556.09</v>
      </c>
      <c r="Z335" s="3">
        <f t="shared" si="5"/>
        <v>260.88812123567124</v>
      </c>
    </row>
    <row r="336" spans="1:26" hidden="1">
      <c r="A336" t="s">
        <v>706</v>
      </c>
      <c r="B336" s="6">
        <v>44287</v>
      </c>
      <c r="C336" s="6">
        <v>44651</v>
      </c>
      <c r="D336">
        <v>20210401</v>
      </c>
      <c r="E336">
        <v>20220331</v>
      </c>
      <c r="F336" t="s">
        <v>1450</v>
      </c>
      <c r="G336" t="s">
        <v>1451</v>
      </c>
      <c r="H336" t="s">
        <v>613</v>
      </c>
      <c r="I336" t="s">
        <v>805</v>
      </c>
      <c r="L336">
        <v>44.1</v>
      </c>
      <c r="M336">
        <v>13946.5</v>
      </c>
      <c r="N336">
        <v>-44.1</v>
      </c>
      <c r="O336">
        <v>-13946.5</v>
      </c>
      <c r="Z336" s="3">
        <f t="shared" si="5"/>
        <v>316.24716553287982</v>
      </c>
    </row>
    <row r="337" spans="1:26" hidden="1">
      <c r="A337" t="s">
        <v>706</v>
      </c>
      <c r="B337" s="6">
        <v>44287</v>
      </c>
      <c r="C337" s="6">
        <v>44651</v>
      </c>
      <c r="D337">
        <v>20210401</v>
      </c>
      <c r="E337">
        <v>20220331</v>
      </c>
      <c r="F337" t="s">
        <v>1452</v>
      </c>
      <c r="G337" t="s">
        <v>1453</v>
      </c>
      <c r="I337" t="s">
        <v>805</v>
      </c>
      <c r="L337">
        <v>11.7</v>
      </c>
      <c r="M337">
        <v>6189.3</v>
      </c>
      <c r="N337">
        <v>-11.7</v>
      </c>
      <c r="O337">
        <v>-6189.3</v>
      </c>
      <c r="Z337" s="3">
        <f t="shared" si="5"/>
        <v>529</v>
      </c>
    </row>
    <row r="338" spans="1:26" hidden="1">
      <c r="A338" t="s">
        <v>706</v>
      </c>
      <c r="B338" s="6">
        <v>44287</v>
      </c>
      <c r="C338" s="6">
        <v>44651</v>
      </c>
      <c r="D338">
        <v>20210401</v>
      </c>
      <c r="E338">
        <v>20220331</v>
      </c>
      <c r="F338" t="s">
        <v>1454</v>
      </c>
      <c r="G338" t="s">
        <v>1455</v>
      </c>
      <c r="H338" t="s">
        <v>613</v>
      </c>
      <c r="I338" t="s">
        <v>805</v>
      </c>
      <c r="J338">
        <v>228.42</v>
      </c>
      <c r="K338">
        <v>10278.9</v>
      </c>
      <c r="N338">
        <v>-228.42</v>
      </c>
      <c r="O338">
        <v>-10278.9</v>
      </c>
      <c r="Z338" s="3">
        <f t="shared" si="5"/>
        <v>45</v>
      </c>
    </row>
    <row r="339" spans="1:26" hidden="1">
      <c r="A339" t="s">
        <v>706</v>
      </c>
      <c r="B339" s="6">
        <v>44287</v>
      </c>
      <c r="C339" s="6">
        <v>44651</v>
      </c>
      <c r="D339">
        <v>20210401</v>
      </c>
      <c r="E339">
        <v>20220331</v>
      </c>
      <c r="F339" t="s">
        <v>1456</v>
      </c>
      <c r="G339" t="s">
        <v>1457</v>
      </c>
      <c r="H339" t="s">
        <v>590</v>
      </c>
      <c r="I339" t="s">
        <v>805</v>
      </c>
      <c r="L339">
        <v>20</v>
      </c>
      <c r="M339">
        <v>100</v>
      </c>
      <c r="N339">
        <v>-20</v>
      </c>
      <c r="O339">
        <v>-100</v>
      </c>
      <c r="Z339" s="3">
        <f t="shared" si="5"/>
        <v>5</v>
      </c>
    </row>
    <row r="340" spans="1:26" hidden="1">
      <c r="A340" t="s">
        <v>706</v>
      </c>
      <c r="B340" s="6">
        <v>44287</v>
      </c>
      <c r="C340" s="6">
        <v>44651</v>
      </c>
      <c r="D340">
        <v>20210401</v>
      </c>
      <c r="E340">
        <v>20220331</v>
      </c>
      <c r="F340" t="s">
        <v>1458</v>
      </c>
      <c r="G340" t="s">
        <v>1459</v>
      </c>
      <c r="H340" t="s">
        <v>590</v>
      </c>
      <c r="I340" t="s">
        <v>805</v>
      </c>
      <c r="L340">
        <v>20</v>
      </c>
      <c r="M340">
        <v>110</v>
      </c>
      <c r="N340">
        <v>-20</v>
      </c>
      <c r="O340">
        <v>-110</v>
      </c>
      <c r="Z340" s="3">
        <f t="shared" si="5"/>
        <v>5.5</v>
      </c>
    </row>
    <row r="341" spans="1:26" hidden="1">
      <c r="A341" t="s">
        <v>706</v>
      </c>
      <c r="B341" s="6">
        <v>44287</v>
      </c>
      <c r="C341" s="6">
        <v>44651</v>
      </c>
      <c r="D341">
        <v>20210401</v>
      </c>
      <c r="E341">
        <v>20220331</v>
      </c>
      <c r="F341" t="s">
        <v>1460</v>
      </c>
      <c r="G341" t="s">
        <v>1461</v>
      </c>
      <c r="H341" t="s">
        <v>613</v>
      </c>
      <c r="I341" t="s">
        <v>1462</v>
      </c>
      <c r="J341">
        <v>2</v>
      </c>
      <c r="K341">
        <v>1000</v>
      </c>
      <c r="N341">
        <v>-2</v>
      </c>
      <c r="O341">
        <v>-1000</v>
      </c>
      <c r="Z341" s="3">
        <f t="shared" si="5"/>
        <v>500</v>
      </c>
    </row>
    <row r="342" spans="1:26" hidden="1">
      <c r="A342" t="s">
        <v>706</v>
      </c>
      <c r="B342" s="6">
        <v>44287</v>
      </c>
      <c r="C342" s="6">
        <v>44651</v>
      </c>
      <c r="D342">
        <v>20210401</v>
      </c>
      <c r="E342">
        <v>20220331</v>
      </c>
      <c r="F342" t="s">
        <v>1463</v>
      </c>
      <c r="G342" t="s">
        <v>1464</v>
      </c>
      <c r="H342" t="s">
        <v>590</v>
      </c>
      <c r="I342" t="s">
        <v>805</v>
      </c>
      <c r="J342">
        <v>13</v>
      </c>
      <c r="K342">
        <v>2087.41</v>
      </c>
      <c r="N342">
        <v>-13</v>
      </c>
      <c r="O342">
        <v>-2087.41</v>
      </c>
      <c r="Z342" s="3">
        <f t="shared" si="5"/>
        <v>160.57</v>
      </c>
    </row>
    <row r="343" spans="1:26" hidden="1">
      <c r="A343" t="s">
        <v>706</v>
      </c>
      <c r="B343" s="6">
        <v>44287</v>
      </c>
      <c r="C343" s="6">
        <v>44651</v>
      </c>
      <c r="D343">
        <v>20210401</v>
      </c>
      <c r="E343">
        <v>20220331</v>
      </c>
      <c r="F343" t="s">
        <v>1465</v>
      </c>
      <c r="G343" t="s">
        <v>1466</v>
      </c>
      <c r="H343" t="s">
        <v>613</v>
      </c>
      <c r="I343" t="s">
        <v>805</v>
      </c>
      <c r="J343">
        <v>3.7370000000000001</v>
      </c>
      <c r="K343">
        <v>840.82</v>
      </c>
      <c r="N343">
        <v>-3.7370000000000001</v>
      </c>
      <c r="O343">
        <v>-840.83</v>
      </c>
      <c r="Y343">
        <v>-0.01</v>
      </c>
      <c r="Z343" s="3">
        <f t="shared" si="5"/>
        <v>225.001337971635</v>
      </c>
    </row>
    <row r="344" spans="1:26" hidden="1">
      <c r="A344" t="s">
        <v>706</v>
      </c>
      <c r="B344" s="6">
        <v>44287</v>
      </c>
      <c r="C344" s="6">
        <v>44651</v>
      </c>
      <c r="D344">
        <v>20210401</v>
      </c>
      <c r="E344">
        <v>20220331</v>
      </c>
      <c r="F344" t="s">
        <v>1467</v>
      </c>
      <c r="G344" t="s">
        <v>1468</v>
      </c>
      <c r="H344" t="s">
        <v>590</v>
      </c>
      <c r="I344" t="s">
        <v>805</v>
      </c>
      <c r="L344">
        <v>10</v>
      </c>
      <c r="M344">
        <v>140</v>
      </c>
      <c r="N344">
        <v>-10</v>
      </c>
      <c r="O344">
        <v>-140</v>
      </c>
      <c r="Z344" s="3">
        <f t="shared" si="5"/>
        <v>14</v>
      </c>
    </row>
    <row r="345" spans="1:26" hidden="1">
      <c r="A345" t="s">
        <v>706</v>
      </c>
      <c r="B345" s="6">
        <v>44287</v>
      </c>
      <c r="C345" s="6">
        <v>44651</v>
      </c>
      <c r="D345">
        <v>20210401</v>
      </c>
      <c r="E345">
        <v>20220331</v>
      </c>
      <c r="F345" t="s">
        <v>1469</v>
      </c>
      <c r="G345" t="s">
        <v>1470</v>
      </c>
      <c r="H345" t="s">
        <v>613</v>
      </c>
      <c r="I345" t="s">
        <v>805</v>
      </c>
      <c r="L345">
        <v>17619.14</v>
      </c>
      <c r="M345">
        <v>1110378.3999999999</v>
      </c>
      <c r="N345">
        <v>-17119.14</v>
      </c>
      <c r="O345">
        <v>-1073559.53</v>
      </c>
      <c r="X345">
        <v>500</v>
      </c>
      <c r="Y345">
        <v>36818.870000000003</v>
      </c>
      <c r="Z345" s="3">
        <f t="shared" si="5"/>
        <v>62.711066677414877</v>
      </c>
    </row>
    <row r="346" spans="1:26" hidden="1">
      <c r="A346" t="s">
        <v>706</v>
      </c>
      <c r="B346" s="6">
        <v>44287</v>
      </c>
      <c r="C346" s="6">
        <v>44651</v>
      </c>
      <c r="D346">
        <v>20210401</v>
      </c>
      <c r="E346">
        <v>20220331</v>
      </c>
      <c r="F346" t="s">
        <v>1471</v>
      </c>
      <c r="G346" t="s">
        <v>1472</v>
      </c>
      <c r="H346" t="s">
        <v>590</v>
      </c>
      <c r="I346" t="s">
        <v>1462</v>
      </c>
      <c r="L346">
        <v>4</v>
      </c>
      <c r="M346">
        <v>431.52</v>
      </c>
      <c r="N346">
        <v>-4</v>
      </c>
      <c r="O346">
        <v>-431.52</v>
      </c>
      <c r="Z346" s="3">
        <f t="shared" si="5"/>
        <v>107.88</v>
      </c>
    </row>
    <row r="347" spans="1:26" hidden="1">
      <c r="A347" t="s">
        <v>706</v>
      </c>
      <c r="B347" s="6">
        <v>44287</v>
      </c>
      <c r="C347" s="6">
        <v>44651</v>
      </c>
      <c r="D347">
        <v>20210401</v>
      </c>
      <c r="E347">
        <v>20220331</v>
      </c>
      <c r="F347" t="s">
        <v>1473</v>
      </c>
      <c r="G347" t="s">
        <v>1474</v>
      </c>
      <c r="H347" t="s">
        <v>613</v>
      </c>
      <c r="I347" t="s">
        <v>1462</v>
      </c>
      <c r="L347">
        <v>55</v>
      </c>
      <c r="M347">
        <v>4125</v>
      </c>
      <c r="N347">
        <v>-55</v>
      </c>
      <c r="O347">
        <v>-4125</v>
      </c>
      <c r="Z347" s="3">
        <f t="shared" si="5"/>
        <v>75</v>
      </c>
    </row>
    <row r="348" spans="1:26" hidden="1">
      <c r="A348" t="s">
        <v>706</v>
      </c>
      <c r="B348" s="6">
        <v>44287</v>
      </c>
      <c r="C348" s="6">
        <v>44651</v>
      </c>
      <c r="D348">
        <v>20210401</v>
      </c>
      <c r="E348">
        <v>20220331</v>
      </c>
      <c r="F348" t="s">
        <v>1475</v>
      </c>
      <c r="G348" t="s">
        <v>1476</v>
      </c>
      <c r="H348" t="s">
        <v>590</v>
      </c>
      <c r="I348" t="s">
        <v>1462</v>
      </c>
      <c r="L348">
        <v>15</v>
      </c>
      <c r="M348">
        <v>780</v>
      </c>
      <c r="N348">
        <v>-15</v>
      </c>
      <c r="O348">
        <v>-780</v>
      </c>
      <c r="Z348" s="3">
        <f t="shared" si="5"/>
        <v>52</v>
      </c>
    </row>
    <row r="349" spans="1:26" hidden="1">
      <c r="A349" t="s">
        <v>706</v>
      </c>
      <c r="B349" s="6">
        <v>44287</v>
      </c>
      <c r="C349" s="6">
        <v>44651</v>
      </c>
      <c r="D349">
        <v>20210401</v>
      </c>
      <c r="E349">
        <v>20220331</v>
      </c>
      <c r="F349" t="s">
        <v>1477</v>
      </c>
      <c r="G349" t="s">
        <v>1478</v>
      </c>
      <c r="H349" t="s">
        <v>590</v>
      </c>
      <c r="I349" t="s">
        <v>805</v>
      </c>
      <c r="J349">
        <v>630</v>
      </c>
      <c r="K349">
        <v>913.5</v>
      </c>
      <c r="L349">
        <v>12500</v>
      </c>
      <c r="M349">
        <v>21158.400000000001</v>
      </c>
      <c r="N349">
        <v>-13500</v>
      </c>
      <c r="O349">
        <v>-22347.9</v>
      </c>
      <c r="P349">
        <v>370</v>
      </c>
      <c r="Q349">
        <v>275.95</v>
      </c>
      <c r="Y349">
        <v>-0.05</v>
      </c>
      <c r="Z349" s="3">
        <f t="shared" si="5"/>
        <v>1.6810319878141662</v>
      </c>
    </row>
    <row r="350" spans="1:26" hidden="1">
      <c r="A350" t="s">
        <v>706</v>
      </c>
      <c r="B350" s="6">
        <v>44287</v>
      </c>
      <c r="C350" s="6">
        <v>44651</v>
      </c>
      <c r="D350">
        <v>20210401</v>
      </c>
      <c r="E350">
        <v>20220331</v>
      </c>
      <c r="F350" t="s">
        <v>1479</v>
      </c>
      <c r="G350" t="s">
        <v>1480</v>
      </c>
      <c r="H350" t="s">
        <v>590</v>
      </c>
      <c r="I350" t="s">
        <v>805</v>
      </c>
      <c r="L350">
        <v>1</v>
      </c>
      <c r="M350">
        <v>1984.5</v>
      </c>
      <c r="N350">
        <v>-1</v>
      </c>
      <c r="O350">
        <v>-1984.5</v>
      </c>
      <c r="Z350" s="3">
        <f t="shared" si="5"/>
        <v>1984.5</v>
      </c>
    </row>
    <row r="351" spans="1:26" hidden="1">
      <c r="A351" t="s">
        <v>706</v>
      </c>
      <c r="B351" s="6">
        <v>44287</v>
      </c>
      <c r="C351" s="6">
        <v>44651</v>
      </c>
      <c r="D351">
        <v>20210401</v>
      </c>
      <c r="E351">
        <v>20220331</v>
      </c>
      <c r="F351" t="s">
        <v>1481</v>
      </c>
      <c r="G351" t="s">
        <v>1482</v>
      </c>
      <c r="H351" t="s">
        <v>590</v>
      </c>
      <c r="I351" t="s">
        <v>1462</v>
      </c>
      <c r="L351">
        <v>1</v>
      </c>
      <c r="M351">
        <v>6715.53</v>
      </c>
      <c r="N351">
        <v>-1</v>
      </c>
      <c r="O351">
        <v>-6715.53</v>
      </c>
      <c r="Z351" s="3">
        <f t="shared" si="5"/>
        <v>6715.53</v>
      </c>
    </row>
    <row r="352" spans="1:26" hidden="1">
      <c r="A352" t="s">
        <v>706</v>
      </c>
      <c r="B352" s="6">
        <v>44287</v>
      </c>
      <c r="C352" s="6">
        <v>44651</v>
      </c>
      <c r="D352">
        <v>20210401</v>
      </c>
      <c r="E352">
        <v>20220331</v>
      </c>
      <c r="F352" t="s">
        <v>1483</v>
      </c>
      <c r="G352" t="s">
        <v>1484</v>
      </c>
      <c r="H352" t="s">
        <v>613</v>
      </c>
      <c r="I352" t="s">
        <v>805</v>
      </c>
      <c r="L352">
        <v>35.950000000000003</v>
      </c>
      <c r="M352">
        <v>9526.75</v>
      </c>
      <c r="N352">
        <v>-35.950000000000003</v>
      </c>
      <c r="O352">
        <v>-9526.75</v>
      </c>
      <c r="Z352" s="3">
        <f t="shared" si="5"/>
        <v>265</v>
      </c>
    </row>
    <row r="353" spans="1:26" hidden="1">
      <c r="A353" t="s">
        <v>706</v>
      </c>
      <c r="B353" s="6">
        <v>44287</v>
      </c>
      <c r="C353" s="6">
        <v>44651</v>
      </c>
      <c r="D353">
        <v>20210401</v>
      </c>
      <c r="E353">
        <v>20220331</v>
      </c>
      <c r="F353" t="s">
        <v>1485</v>
      </c>
      <c r="G353" t="s">
        <v>1486</v>
      </c>
      <c r="H353" t="s">
        <v>590</v>
      </c>
      <c r="I353" t="s">
        <v>805</v>
      </c>
      <c r="L353">
        <v>300</v>
      </c>
      <c r="M353">
        <v>16500</v>
      </c>
      <c r="N353">
        <v>-300</v>
      </c>
      <c r="O353">
        <v>-16500</v>
      </c>
      <c r="Z353" s="3">
        <f t="shared" si="5"/>
        <v>55</v>
      </c>
    </row>
    <row r="354" spans="1:26" hidden="1">
      <c r="A354" t="s">
        <v>706</v>
      </c>
      <c r="B354" s="6">
        <v>44287</v>
      </c>
      <c r="C354" s="6">
        <v>44651</v>
      </c>
      <c r="D354">
        <v>20210401</v>
      </c>
      <c r="E354">
        <v>20220331</v>
      </c>
      <c r="F354" t="s">
        <v>1487</v>
      </c>
      <c r="G354" t="s">
        <v>1488</v>
      </c>
      <c r="H354" t="s">
        <v>613</v>
      </c>
      <c r="I354" t="s">
        <v>875</v>
      </c>
      <c r="J354">
        <v>107</v>
      </c>
      <c r="K354">
        <v>13924.98</v>
      </c>
      <c r="N354">
        <v>-107</v>
      </c>
      <c r="O354">
        <v>-13924.98</v>
      </c>
      <c r="Z354" s="3">
        <f t="shared" si="5"/>
        <v>130.13999999999999</v>
      </c>
    </row>
    <row r="355" spans="1:26" hidden="1">
      <c r="A355" t="s">
        <v>706</v>
      </c>
      <c r="B355" s="6">
        <v>44287</v>
      </c>
      <c r="C355" s="6">
        <v>44651</v>
      </c>
      <c r="D355">
        <v>20210401</v>
      </c>
      <c r="E355">
        <v>20220331</v>
      </c>
      <c r="F355" t="s">
        <v>1489</v>
      </c>
      <c r="G355" t="s">
        <v>1490</v>
      </c>
      <c r="H355" t="s">
        <v>590</v>
      </c>
      <c r="I355" t="s">
        <v>805</v>
      </c>
      <c r="L355">
        <v>145</v>
      </c>
      <c r="M355">
        <v>2670</v>
      </c>
      <c r="N355">
        <v>-147</v>
      </c>
      <c r="O355">
        <v>-2704</v>
      </c>
      <c r="P355">
        <v>2</v>
      </c>
      <c r="Q355">
        <v>34</v>
      </c>
      <c r="Z355" s="3">
        <f t="shared" si="5"/>
        <v>18.413793103448278</v>
      </c>
    </row>
    <row r="356" spans="1:26" hidden="1">
      <c r="A356" t="s">
        <v>706</v>
      </c>
      <c r="B356" s="6">
        <v>44287</v>
      </c>
      <c r="C356" s="6">
        <v>44651</v>
      </c>
      <c r="D356">
        <v>20210401</v>
      </c>
      <c r="E356">
        <v>20220331</v>
      </c>
      <c r="F356" t="s">
        <v>1491</v>
      </c>
      <c r="G356" t="s">
        <v>1492</v>
      </c>
      <c r="H356" t="s">
        <v>590</v>
      </c>
      <c r="I356" t="s">
        <v>805</v>
      </c>
      <c r="L356">
        <v>40</v>
      </c>
      <c r="M356">
        <v>520</v>
      </c>
      <c r="N356">
        <v>-48</v>
      </c>
      <c r="O356">
        <v>-644</v>
      </c>
      <c r="P356">
        <v>8</v>
      </c>
      <c r="Q356">
        <v>124</v>
      </c>
      <c r="Z356" s="3">
        <f t="shared" si="5"/>
        <v>13</v>
      </c>
    </row>
    <row r="357" spans="1:26" hidden="1">
      <c r="A357" t="s">
        <v>706</v>
      </c>
      <c r="B357" s="6">
        <v>44287</v>
      </c>
      <c r="C357" s="6">
        <v>44651</v>
      </c>
      <c r="D357">
        <v>20210401</v>
      </c>
      <c r="E357">
        <v>20220331</v>
      </c>
      <c r="F357" t="s">
        <v>1493</v>
      </c>
      <c r="G357" t="s">
        <v>1494</v>
      </c>
      <c r="H357" t="s">
        <v>590</v>
      </c>
      <c r="I357" t="s">
        <v>1462</v>
      </c>
      <c r="L357">
        <v>20</v>
      </c>
      <c r="M357">
        <v>700</v>
      </c>
      <c r="N357">
        <v>-20</v>
      </c>
      <c r="O357">
        <v>-700</v>
      </c>
      <c r="Z357" s="3">
        <f t="shared" si="5"/>
        <v>35</v>
      </c>
    </row>
    <row r="358" spans="1:26" hidden="1">
      <c r="A358" t="s">
        <v>706</v>
      </c>
      <c r="B358" s="6">
        <v>44287</v>
      </c>
      <c r="C358" s="6">
        <v>44651</v>
      </c>
      <c r="D358">
        <v>20210401</v>
      </c>
      <c r="E358">
        <v>20220331</v>
      </c>
      <c r="F358" t="s">
        <v>1495</v>
      </c>
      <c r="G358" t="s">
        <v>1496</v>
      </c>
      <c r="H358" t="s">
        <v>590</v>
      </c>
      <c r="I358" t="s">
        <v>1462</v>
      </c>
      <c r="L358">
        <v>20</v>
      </c>
      <c r="M358">
        <v>1000</v>
      </c>
      <c r="N358">
        <v>-20</v>
      </c>
      <c r="O358">
        <v>-1000</v>
      </c>
      <c r="Z358" s="3">
        <f t="shared" si="5"/>
        <v>50</v>
      </c>
    </row>
    <row r="359" spans="1:26" hidden="1">
      <c r="A359" t="s">
        <v>706</v>
      </c>
      <c r="B359" s="6">
        <v>44287</v>
      </c>
      <c r="C359" s="6">
        <v>44651</v>
      </c>
      <c r="D359">
        <v>20210401</v>
      </c>
      <c r="E359">
        <v>20220331</v>
      </c>
      <c r="F359" t="s">
        <v>1497</v>
      </c>
      <c r="G359" t="s">
        <v>1498</v>
      </c>
      <c r="H359" t="s">
        <v>590</v>
      </c>
      <c r="I359" t="s">
        <v>1462</v>
      </c>
      <c r="L359">
        <v>1</v>
      </c>
      <c r="M359">
        <v>325</v>
      </c>
      <c r="N359">
        <v>-1</v>
      </c>
      <c r="O359">
        <v>-325</v>
      </c>
      <c r="Z359" s="3">
        <f t="shared" si="5"/>
        <v>325</v>
      </c>
    </row>
    <row r="360" spans="1:26" hidden="1">
      <c r="A360" t="s">
        <v>706</v>
      </c>
      <c r="B360" s="6">
        <v>44287</v>
      </c>
      <c r="C360" s="6">
        <v>44651</v>
      </c>
      <c r="D360">
        <v>20210401</v>
      </c>
      <c r="E360">
        <v>20220331</v>
      </c>
      <c r="F360" t="s">
        <v>1499</v>
      </c>
      <c r="G360" t="s">
        <v>1500</v>
      </c>
      <c r="H360" t="s">
        <v>590</v>
      </c>
      <c r="I360" t="s">
        <v>1462</v>
      </c>
      <c r="L360">
        <v>1</v>
      </c>
      <c r="M360">
        <v>360</v>
      </c>
      <c r="N360">
        <v>-1</v>
      </c>
      <c r="O360">
        <v>-360</v>
      </c>
      <c r="Z360" s="3">
        <f t="shared" si="5"/>
        <v>360</v>
      </c>
    </row>
    <row r="361" spans="1:26" hidden="1">
      <c r="A361" t="s">
        <v>706</v>
      </c>
      <c r="B361" s="6">
        <v>44287</v>
      </c>
      <c r="C361" s="6">
        <v>44651</v>
      </c>
      <c r="D361">
        <v>20210401</v>
      </c>
      <c r="E361">
        <v>20220331</v>
      </c>
      <c r="F361" t="s">
        <v>1501</v>
      </c>
      <c r="G361" t="s">
        <v>1502</v>
      </c>
      <c r="H361" t="s">
        <v>590</v>
      </c>
      <c r="I361" t="s">
        <v>1462</v>
      </c>
      <c r="L361">
        <v>2</v>
      </c>
      <c r="M361">
        <v>480</v>
      </c>
      <c r="N361">
        <v>-2</v>
      </c>
      <c r="O361">
        <v>-480</v>
      </c>
      <c r="Z361" s="3">
        <f t="shared" si="5"/>
        <v>240</v>
      </c>
    </row>
    <row r="362" spans="1:26" hidden="1">
      <c r="A362" t="s">
        <v>706</v>
      </c>
      <c r="B362" s="6">
        <v>44287</v>
      </c>
      <c r="C362" s="6">
        <v>44651</v>
      </c>
      <c r="D362">
        <v>20210401</v>
      </c>
      <c r="E362">
        <v>20220331</v>
      </c>
      <c r="F362" t="s">
        <v>1503</v>
      </c>
      <c r="G362" t="s">
        <v>1504</v>
      </c>
      <c r="H362" t="s">
        <v>590</v>
      </c>
      <c r="I362" t="s">
        <v>805</v>
      </c>
      <c r="L362">
        <v>2</v>
      </c>
      <c r="M362">
        <v>2210</v>
      </c>
      <c r="N362">
        <v>-2</v>
      </c>
      <c r="O362">
        <v>-2210</v>
      </c>
      <c r="Z362" s="3">
        <f t="shared" si="5"/>
        <v>1105</v>
      </c>
    </row>
    <row r="363" spans="1:26" hidden="1">
      <c r="A363" t="s">
        <v>706</v>
      </c>
      <c r="B363" s="6">
        <v>44287</v>
      </c>
      <c r="C363" s="6">
        <v>44651</v>
      </c>
      <c r="D363">
        <v>20210401</v>
      </c>
      <c r="E363">
        <v>20220331</v>
      </c>
      <c r="F363" t="s">
        <v>1505</v>
      </c>
      <c r="G363" t="s">
        <v>1506</v>
      </c>
      <c r="H363" t="s">
        <v>590</v>
      </c>
      <c r="I363" t="s">
        <v>805</v>
      </c>
      <c r="J363">
        <v>21</v>
      </c>
      <c r="K363">
        <v>10433.65</v>
      </c>
      <c r="N363">
        <v>-21</v>
      </c>
      <c r="O363">
        <v>-9639</v>
      </c>
      <c r="Y363">
        <v>794.65</v>
      </c>
      <c r="Z363" s="3">
        <f t="shared" si="5"/>
        <v>459</v>
      </c>
    </row>
    <row r="364" spans="1:26" hidden="1">
      <c r="A364" t="s">
        <v>706</v>
      </c>
      <c r="B364" s="6">
        <v>44287</v>
      </c>
      <c r="C364" s="6">
        <v>44651</v>
      </c>
      <c r="D364">
        <v>20210401</v>
      </c>
      <c r="E364">
        <v>20220331</v>
      </c>
      <c r="F364" t="s">
        <v>1507</v>
      </c>
      <c r="G364" t="s">
        <v>1508</v>
      </c>
      <c r="H364" t="s">
        <v>590</v>
      </c>
      <c r="I364" t="s">
        <v>805</v>
      </c>
      <c r="L364">
        <v>4</v>
      </c>
      <c r="M364">
        <v>2850</v>
      </c>
      <c r="N364">
        <v>-4</v>
      </c>
      <c r="O364">
        <v>-2850</v>
      </c>
      <c r="Z364" s="3">
        <f t="shared" si="5"/>
        <v>712.5</v>
      </c>
    </row>
    <row r="365" spans="1:26" hidden="1">
      <c r="A365" t="s">
        <v>706</v>
      </c>
      <c r="B365" s="6">
        <v>44287</v>
      </c>
      <c r="C365" s="6">
        <v>44651</v>
      </c>
      <c r="D365">
        <v>20210401</v>
      </c>
      <c r="E365">
        <v>20220331</v>
      </c>
      <c r="F365" t="s">
        <v>1509</v>
      </c>
      <c r="G365" t="s">
        <v>1510</v>
      </c>
      <c r="H365" t="s">
        <v>590</v>
      </c>
      <c r="I365" t="s">
        <v>805</v>
      </c>
      <c r="L365">
        <v>3</v>
      </c>
      <c r="M365">
        <v>425</v>
      </c>
      <c r="N365">
        <v>-3</v>
      </c>
      <c r="O365">
        <v>-417.5</v>
      </c>
      <c r="Y365">
        <v>7.5</v>
      </c>
      <c r="Z365" s="3">
        <f t="shared" si="5"/>
        <v>139.16666666666666</v>
      </c>
    </row>
    <row r="366" spans="1:26" hidden="1">
      <c r="A366" t="s">
        <v>706</v>
      </c>
      <c r="B366" s="6">
        <v>44287</v>
      </c>
      <c r="C366" s="6">
        <v>44651</v>
      </c>
      <c r="D366">
        <v>20210401</v>
      </c>
      <c r="E366">
        <v>20220331</v>
      </c>
      <c r="F366" t="s">
        <v>1511</v>
      </c>
      <c r="G366" t="s">
        <v>1512</v>
      </c>
      <c r="H366" t="s">
        <v>590</v>
      </c>
      <c r="I366" t="s">
        <v>805</v>
      </c>
      <c r="L366">
        <v>69</v>
      </c>
      <c r="M366">
        <v>55700</v>
      </c>
      <c r="N366">
        <v>-69</v>
      </c>
      <c r="O366">
        <v>-55700</v>
      </c>
      <c r="Z366" s="3">
        <f t="shared" si="5"/>
        <v>807.24637681159425</v>
      </c>
    </row>
    <row r="367" spans="1:26" hidden="1">
      <c r="A367" t="s">
        <v>706</v>
      </c>
      <c r="B367" s="6">
        <v>44287</v>
      </c>
      <c r="C367" s="6">
        <v>44651</v>
      </c>
      <c r="D367">
        <v>20210401</v>
      </c>
      <c r="E367">
        <v>20220331</v>
      </c>
      <c r="F367" t="s">
        <v>1513</v>
      </c>
      <c r="G367" t="s">
        <v>1514</v>
      </c>
      <c r="H367" t="s">
        <v>590</v>
      </c>
      <c r="I367" t="s">
        <v>805</v>
      </c>
      <c r="L367">
        <v>1</v>
      </c>
      <c r="M367">
        <v>225</v>
      </c>
      <c r="N367">
        <v>-1</v>
      </c>
      <c r="O367">
        <v>-225</v>
      </c>
      <c r="Z367" s="3">
        <f t="shared" si="5"/>
        <v>225</v>
      </c>
    </row>
    <row r="368" spans="1:26" hidden="1">
      <c r="A368" t="s">
        <v>706</v>
      </c>
      <c r="B368" s="6">
        <v>44287</v>
      </c>
      <c r="C368" s="6">
        <v>44651</v>
      </c>
      <c r="D368">
        <v>20210401</v>
      </c>
      <c r="E368">
        <v>20220331</v>
      </c>
      <c r="F368" t="s">
        <v>1515</v>
      </c>
      <c r="G368" t="s">
        <v>1516</v>
      </c>
      <c r="H368" t="s">
        <v>590</v>
      </c>
      <c r="I368" t="s">
        <v>805</v>
      </c>
      <c r="L368">
        <v>71</v>
      </c>
      <c r="M368">
        <v>15921.75</v>
      </c>
      <c r="N368">
        <v>-71</v>
      </c>
      <c r="O368">
        <v>-15906.38</v>
      </c>
      <c r="Y368">
        <v>15.37</v>
      </c>
      <c r="Z368" s="3">
        <f t="shared" si="5"/>
        <v>224.03352112676055</v>
      </c>
    </row>
    <row r="369" spans="1:26" hidden="1">
      <c r="A369" t="s">
        <v>706</v>
      </c>
      <c r="B369" s="6">
        <v>44287</v>
      </c>
      <c r="C369" s="6">
        <v>44651</v>
      </c>
      <c r="D369">
        <v>20210401</v>
      </c>
      <c r="E369">
        <v>20220331</v>
      </c>
      <c r="F369" t="s">
        <v>1517</v>
      </c>
      <c r="G369" t="s">
        <v>1518</v>
      </c>
      <c r="H369" t="s">
        <v>590</v>
      </c>
      <c r="I369" t="s">
        <v>805</v>
      </c>
      <c r="L369">
        <v>20</v>
      </c>
      <c r="M369">
        <v>270</v>
      </c>
      <c r="N369">
        <v>-20</v>
      </c>
      <c r="O369">
        <v>-270</v>
      </c>
      <c r="Z369" s="3">
        <f t="shared" si="5"/>
        <v>13.5</v>
      </c>
    </row>
    <row r="370" spans="1:26" hidden="1">
      <c r="A370" t="s">
        <v>706</v>
      </c>
      <c r="B370" s="6">
        <v>44287</v>
      </c>
      <c r="C370" s="6">
        <v>44651</v>
      </c>
      <c r="D370">
        <v>20210401</v>
      </c>
      <c r="E370">
        <v>20220331</v>
      </c>
      <c r="F370" t="s">
        <v>1519</v>
      </c>
      <c r="G370" t="s">
        <v>1520</v>
      </c>
      <c r="H370" t="s">
        <v>590</v>
      </c>
      <c r="I370" t="s">
        <v>805</v>
      </c>
      <c r="L370">
        <v>1</v>
      </c>
      <c r="M370">
        <v>1591.5</v>
      </c>
      <c r="N370">
        <v>-1</v>
      </c>
      <c r="O370">
        <v>-1591.5</v>
      </c>
      <c r="Z370" s="3">
        <f t="shared" si="5"/>
        <v>1591.5</v>
      </c>
    </row>
    <row r="371" spans="1:26" hidden="1">
      <c r="A371" t="s">
        <v>706</v>
      </c>
      <c r="B371" s="6">
        <v>44287</v>
      </c>
      <c r="C371" s="6">
        <v>44651</v>
      </c>
      <c r="D371">
        <v>20210401</v>
      </c>
      <c r="E371">
        <v>20220331</v>
      </c>
      <c r="F371" t="s">
        <v>1521</v>
      </c>
      <c r="G371" t="s">
        <v>1522</v>
      </c>
      <c r="H371" t="s">
        <v>1523</v>
      </c>
      <c r="I371" t="s">
        <v>805</v>
      </c>
      <c r="L371">
        <v>9</v>
      </c>
      <c r="M371">
        <v>48375</v>
      </c>
      <c r="N371">
        <v>-9</v>
      </c>
      <c r="O371">
        <v>-48375</v>
      </c>
      <c r="Z371" s="3">
        <f t="shared" si="5"/>
        <v>5375</v>
      </c>
    </row>
    <row r="372" spans="1:26" hidden="1">
      <c r="A372" t="s">
        <v>706</v>
      </c>
      <c r="B372" s="6">
        <v>44287</v>
      </c>
      <c r="C372" s="6">
        <v>44651</v>
      </c>
      <c r="D372">
        <v>20210401</v>
      </c>
      <c r="E372">
        <v>20220331</v>
      </c>
      <c r="F372" t="s">
        <v>1524</v>
      </c>
      <c r="G372" t="s">
        <v>1525</v>
      </c>
      <c r="H372" t="s">
        <v>1173</v>
      </c>
      <c r="I372" t="s">
        <v>805</v>
      </c>
      <c r="J372">
        <v>24</v>
      </c>
      <c r="K372">
        <v>3289.59</v>
      </c>
      <c r="L372">
        <v>636</v>
      </c>
      <c r="M372">
        <v>89815</v>
      </c>
      <c r="N372">
        <v>-627</v>
      </c>
      <c r="O372">
        <v>-88332.12</v>
      </c>
      <c r="X372">
        <v>33</v>
      </c>
      <c r="Y372">
        <v>4772.47</v>
      </c>
      <c r="Z372" s="3">
        <f t="shared" si="5"/>
        <v>140.88057416267941</v>
      </c>
    </row>
    <row r="373" spans="1:26" hidden="1">
      <c r="A373" t="s">
        <v>706</v>
      </c>
      <c r="B373" s="6">
        <v>44287</v>
      </c>
      <c r="C373" s="6">
        <v>44651</v>
      </c>
      <c r="D373">
        <v>20210401</v>
      </c>
      <c r="E373">
        <v>20220331</v>
      </c>
      <c r="F373" t="s">
        <v>1526</v>
      </c>
      <c r="G373" t="s">
        <v>1527</v>
      </c>
      <c r="H373" t="s">
        <v>590</v>
      </c>
      <c r="I373" t="s">
        <v>805</v>
      </c>
      <c r="L373">
        <v>1</v>
      </c>
      <c r="M373">
        <v>2082.5</v>
      </c>
      <c r="N373">
        <v>-1</v>
      </c>
      <c r="O373">
        <v>-2082.5</v>
      </c>
      <c r="Z373" s="3">
        <f t="shared" si="5"/>
        <v>2082.5</v>
      </c>
    </row>
    <row r="374" spans="1:26" hidden="1">
      <c r="A374" t="s">
        <v>706</v>
      </c>
      <c r="B374" s="6">
        <v>44287</v>
      </c>
      <c r="C374" s="6">
        <v>44651</v>
      </c>
      <c r="D374">
        <v>20210401</v>
      </c>
      <c r="E374">
        <v>20220331</v>
      </c>
      <c r="F374" t="s">
        <v>1528</v>
      </c>
      <c r="G374" t="s">
        <v>1529</v>
      </c>
      <c r="H374" t="s">
        <v>590</v>
      </c>
      <c r="I374" t="s">
        <v>805</v>
      </c>
      <c r="L374">
        <v>1</v>
      </c>
      <c r="M374">
        <v>2082.5</v>
      </c>
      <c r="N374">
        <v>-1</v>
      </c>
      <c r="O374">
        <v>-2082.5</v>
      </c>
      <c r="Z374" s="3">
        <f t="shared" si="5"/>
        <v>2082.5</v>
      </c>
    </row>
    <row r="375" spans="1:26" hidden="1">
      <c r="A375" t="s">
        <v>706</v>
      </c>
      <c r="B375" s="6">
        <v>44287</v>
      </c>
      <c r="C375" s="6">
        <v>44651</v>
      </c>
      <c r="D375">
        <v>20210401</v>
      </c>
      <c r="E375">
        <v>20220331</v>
      </c>
      <c r="F375" t="s">
        <v>1530</v>
      </c>
      <c r="G375" t="s">
        <v>1531</v>
      </c>
      <c r="H375" t="s">
        <v>590</v>
      </c>
      <c r="I375" t="s">
        <v>805</v>
      </c>
      <c r="L375">
        <v>1</v>
      </c>
      <c r="M375">
        <v>225</v>
      </c>
      <c r="N375">
        <v>-1</v>
      </c>
      <c r="O375">
        <v>-225</v>
      </c>
      <c r="Z375" s="3">
        <f t="shared" si="5"/>
        <v>225</v>
      </c>
    </row>
    <row r="376" spans="1:26" hidden="1">
      <c r="A376" t="s">
        <v>706</v>
      </c>
      <c r="B376" s="6">
        <v>44287</v>
      </c>
      <c r="C376" s="6">
        <v>44651</v>
      </c>
      <c r="D376">
        <v>20210401</v>
      </c>
      <c r="E376">
        <v>20220331</v>
      </c>
      <c r="F376" t="s">
        <v>1532</v>
      </c>
      <c r="G376" t="s">
        <v>1533</v>
      </c>
      <c r="H376" t="s">
        <v>590</v>
      </c>
      <c r="I376" t="s">
        <v>805</v>
      </c>
      <c r="L376">
        <v>10</v>
      </c>
      <c r="M376">
        <v>526</v>
      </c>
      <c r="N376">
        <v>-10</v>
      </c>
      <c r="O376">
        <v>-526</v>
      </c>
      <c r="Z376" s="3">
        <f t="shared" si="5"/>
        <v>52.6</v>
      </c>
    </row>
    <row r="377" spans="1:26" hidden="1">
      <c r="A377" t="s">
        <v>706</v>
      </c>
      <c r="B377" s="6">
        <v>44287</v>
      </c>
      <c r="C377" s="6">
        <v>44651</v>
      </c>
      <c r="D377">
        <v>20210401</v>
      </c>
      <c r="E377">
        <v>20220331</v>
      </c>
      <c r="F377" t="s">
        <v>1534</v>
      </c>
      <c r="G377" t="s">
        <v>1535</v>
      </c>
      <c r="H377" t="s">
        <v>590</v>
      </c>
      <c r="I377" t="s">
        <v>805</v>
      </c>
      <c r="J377">
        <v>1</v>
      </c>
      <c r="K377">
        <v>494.46</v>
      </c>
      <c r="L377">
        <v>1</v>
      </c>
      <c r="M377">
        <v>598.6</v>
      </c>
      <c r="N377">
        <v>-2</v>
      </c>
      <c r="O377">
        <v>-1093.06</v>
      </c>
      <c r="Z377" s="3">
        <f t="shared" si="5"/>
        <v>546.53</v>
      </c>
    </row>
    <row r="378" spans="1:26" hidden="1">
      <c r="A378" t="s">
        <v>706</v>
      </c>
      <c r="B378" s="6">
        <v>44287</v>
      </c>
      <c r="C378" s="6">
        <v>44651</v>
      </c>
      <c r="D378">
        <v>20210401</v>
      </c>
      <c r="E378">
        <v>20220331</v>
      </c>
      <c r="F378" t="s">
        <v>1536</v>
      </c>
      <c r="G378" t="s">
        <v>1537</v>
      </c>
      <c r="H378" t="s">
        <v>590</v>
      </c>
      <c r="I378" t="s">
        <v>805</v>
      </c>
      <c r="L378">
        <v>5</v>
      </c>
      <c r="M378">
        <v>2000</v>
      </c>
      <c r="N378">
        <v>-5</v>
      </c>
      <c r="O378">
        <v>-2000</v>
      </c>
      <c r="Z378" s="3">
        <f t="shared" si="5"/>
        <v>400</v>
      </c>
    </row>
    <row r="379" spans="1:26" hidden="1">
      <c r="A379" t="s">
        <v>706</v>
      </c>
      <c r="B379" s="6">
        <v>44287</v>
      </c>
      <c r="C379" s="6">
        <v>44651</v>
      </c>
      <c r="D379">
        <v>20210401</v>
      </c>
      <c r="E379">
        <v>20220331</v>
      </c>
      <c r="F379" t="s">
        <v>1538</v>
      </c>
      <c r="G379" t="s">
        <v>1539</v>
      </c>
      <c r="H379" t="s">
        <v>590</v>
      </c>
      <c r="I379" t="s">
        <v>805</v>
      </c>
      <c r="L379">
        <v>9</v>
      </c>
      <c r="M379">
        <v>1248.75</v>
      </c>
      <c r="N379">
        <v>-9</v>
      </c>
      <c r="O379">
        <v>-1248.75</v>
      </c>
      <c r="Z379" s="3">
        <f t="shared" si="5"/>
        <v>138.75</v>
      </c>
    </row>
    <row r="380" spans="1:26" hidden="1">
      <c r="A380" t="s">
        <v>706</v>
      </c>
      <c r="B380" s="6">
        <v>44287</v>
      </c>
      <c r="C380" s="6">
        <v>44651</v>
      </c>
      <c r="D380">
        <v>20210401</v>
      </c>
      <c r="E380">
        <v>20220331</v>
      </c>
      <c r="F380" t="s">
        <v>1540</v>
      </c>
      <c r="G380" t="s">
        <v>1541</v>
      </c>
      <c r="H380" t="s">
        <v>590</v>
      </c>
      <c r="I380" t="s">
        <v>1462</v>
      </c>
      <c r="L380">
        <v>1</v>
      </c>
      <c r="M380">
        <v>13387.5</v>
      </c>
      <c r="N380">
        <v>-1</v>
      </c>
      <c r="O380">
        <v>-13387.5</v>
      </c>
      <c r="Z380" s="3">
        <f t="shared" si="5"/>
        <v>13387.5</v>
      </c>
    </row>
    <row r="381" spans="1:26" hidden="1">
      <c r="A381" t="s">
        <v>706</v>
      </c>
      <c r="B381" s="6">
        <v>44287</v>
      </c>
      <c r="C381" s="6">
        <v>44651</v>
      </c>
      <c r="D381">
        <v>20210401</v>
      </c>
      <c r="E381">
        <v>20220331</v>
      </c>
      <c r="F381" t="s">
        <v>1542</v>
      </c>
      <c r="G381" t="s">
        <v>1543</v>
      </c>
      <c r="H381" t="s">
        <v>590</v>
      </c>
      <c r="I381" t="s">
        <v>805</v>
      </c>
      <c r="L381">
        <v>3</v>
      </c>
      <c r="M381">
        <v>117</v>
      </c>
      <c r="N381">
        <v>-3</v>
      </c>
      <c r="O381">
        <v>-117</v>
      </c>
      <c r="Z381" s="3">
        <f t="shared" si="5"/>
        <v>39</v>
      </c>
    </row>
    <row r="382" spans="1:26" hidden="1">
      <c r="A382" t="s">
        <v>706</v>
      </c>
      <c r="B382" s="6">
        <v>44287</v>
      </c>
      <c r="C382" s="6">
        <v>44651</v>
      </c>
      <c r="D382">
        <v>20210401</v>
      </c>
      <c r="E382">
        <v>20220331</v>
      </c>
      <c r="F382" t="s">
        <v>1544</v>
      </c>
      <c r="G382" t="s">
        <v>1545</v>
      </c>
      <c r="H382" t="s">
        <v>590</v>
      </c>
      <c r="I382" t="s">
        <v>805</v>
      </c>
      <c r="L382">
        <v>16</v>
      </c>
      <c r="M382">
        <v>854.5</v>
      </c>
      <c r="N382">
        <v>-16</v>
      </c>
      <c r="O382">
        <v>-854.5</v>
      </c>
      <c r="Z382" s="3">
        <f t="shared" si="5"/>
        <v>53.40625</v>
      </c>
    </row>
    <row r="383" spans="1:26" hidden="1">
      <c r="A383" t="s">
        <v>706</v>
      </c>
      <c r="B383" s="6">
        <v>44287</v>
      </c>
      <c r="C383" s="6">
        <v>44651</v>
      </c>
      <c r="D383">
        <v>20210401</v>
      </c>
      <c r="E383">
        <v>20220331</v>
      </c>
      <c r="F383" t="s">
        <v>1546</v>
      </c>
      <c r="G383" t="s">
        <v>1547</v>
      </c>
      <c r="H383" t="s">
        <v>590</v>
      </c>
      <c r="I383" t="s">
        <v>805</v>
      </c>
      <c r="L383">
        <v>1</v>
      </c>
      <c r="M383">
        <v>3315</v>
      </c>
      <c r="N383">
        <v>-1</v>
      </c>
      <c r="O383">
        <v>-3315</v>
      </c>
      <c r="Z383" s="3">
        <f t="shared" si="5"/>
        <v>3315</v>
      </c>
    </row>
    <row r="384" spans="1:26" hidden="1">
      <c r="A384" t="s">
        <v>706</v>
      </c>
      <c r="B384" s="6">
        <v>44287</v>
      </c>
      <c r="C384" s="6">
        <v>44651</v>
      </c>
      <c r="D384">
        <v>20210401</v>
      </c>
      <c r="E384">
        <v>20220331</v>
      </c>
      <c r="F384" t="s">
        <v>1548</v>
      </c>
      <c r="G384" t="s">
        <v>1549</v>
      </c>
      <c r="H384" t="s">
        <v>590</v>
      </c>
      <c r="I384" t="s">
        <v>805</v>
      </c>
      <c r="L384">
        <v>1</v>
      </c>
      <c r="M384">
        <v>3315</v>
      </c>
      <c r="N384">
        <v>-1</v>
      </c>
      <c r="O384">
        <v>-3315</v>
      </c>
      <c r="Z384" s="3">
        <f t="shared" si="5"/>
        <v>3315</v>
      </c>
    </row>
    <row r="385" spans="1:26" hidden="1">
      <c r="A385" t="s">
        <v>706</v>
      </c>
      <c r="B385" s="6">
        <v>44287</v>
      </c>
      <c r="C385" s="6">
        <v>44651</v>
      </c>
      <c r="D385">
        <v>20210401</v>
      </c>
      <c r="E385">
        <v>20220331</v>
      </c>
      <c r="F385" t="s">
        <v>1550</v>
      </c>
      <c r="G385" t="s">
        <v>1551</v>
      </c>
      <c r="H385" t="s">
        <v>590</v>
      </c>
      <c r="I385" t="s">
        <v>805</v>
      </c>
      <c r="L385">
        <v>6</v>
      </c>
      <c r="M385">
        <v>630</v>
      </c>
      <c r="N385">
        <v>-6</v>
      </c>
      <c r="O385">
        <v>-630</v>
      </c>
      <c r="Z385" s="3">
        <f t="shared" si="5"/>
        <v>105</v>
      </c>
    </row>
    <row r="386" spans="1:26" hidden="1">
      <c r="A386" t="s">
        <v>706</v>
      </c>
      <c r="B386" s="6">
        <v>44287</v>
      </c>
      <c r="C386" s="6">
        <v>44651</v>
      </c>
      <c r="D386">
        <v>20210401</v>
      </c>
      <c r="E386">
        <v>20220331</v>
      </c>
      <c r="F386" t="s">
        <v>1552</v>
      </c>
      <c r="G386" t="s">
        <v>1553</v>
      </c>
      <c r="H386" t="s">
        <v>590</v>
      </c>
      <c r="I386" t="s">
        <v>805</v>
      </c>
      <c r="L386">
        <v>1</v>
      </c>
      <c r="M386">
        <v>3315</v>
      </c>
      <c r="N386">
        <v>-1</v>
      </c>
      <c r="O386">
        <v>-3315</v>
      </c>
      <c r="Z386" s="3">
        <f t="shared" si="5"/>
        <v>3315</v>
      </c>
    </row>
    <row r="387" spans="1:26" hidden="1">
      <c r="A387" t="s">
        <v>706</v>
      </c>
      <c r="B387" s="6">
        <v>44287</v>
      </c>
      <c r="C387" s="6">
        <v>44651</v>
      </c>
      <c r="D387">
        <v>20210401</v>
      </c>
      <c r="E387">
        <v>20220331</v>
      </c>
      <c r="F387" t="s">
        <v>1554</v>
      </c>
      <c r="G387" t="s">
        <v>1555</v>
      </c>
      <c r="H387" t="s">
        <v>1556</v>
      </c>
      <c r="I387" t="s">
        <v>805</v>
      </c>
      <c r="L387">
        <v>19.22</v>
      </c>
      <c r="M387">
        <v>3363.5</v>
      </c>
      <c r="N387">
        <v>-19.22</v>
      </c>
      <c r="O387">
        <v>-3363.5</v>
      </c>
      <c r="Z387" s="3">
        <f t="shared" ref="Z387:Z450" si="6">IFERROR((O387+Q387)/(N387+P387),Y387/X387)</f>
        <v>175</v>
      </c>
    </row>
    <row r="388" spans="1:26" hidden="1">
      <c r="A388" t="s">
        <v>706</v>
      </c>
      <c r="B388" s="6">
        <v>44287</v>
      </c>
      <c r="C388" s="6">
        <v>44651</v>
      </c>
      <c r="D388">
        <v>20210401</v>
      </c>
      <c r="E388">
        <v>20220331</v>
      </c>
      <c r="F388" t="s">
        <v>1557</v>
      </c>
      <c r="G388" t="s">
        <v>1558</v>
      </c>
      <c r="H388" t="s">
        <v>590</v>
      </c>
      <c r="I388" t="s">
        <v>805</v>
      </c>
      <c r="L388">
        <v>8</v>
      </c>
      <c r="M388">
        <v>946.2</v>
      </c>
      <c r="N388">
        <v>-8</v>
      </c>
      <c r="O388">
        <v>-946.2</v>
      </c>
      <c r="Z388" s="3">
        <f t="shared" si="6"/>
        <v>118.27500000000001</v>
      </c>
    </row>
    <row r="389" spans="1:26" hidden="1">
      <c r="A389" t="s">
        <v>706</v>
      </c>
      <c r="B389" s="6">
        <v>44287</v>
      </c>
      <c r="C389" s="6">
        <v>44651</v>
      </c>
      <c r="D389">
        <v>20210401</v>
      </c>
      <c r="E389">
        <v>20220331</v>
      </c>
      <c r="F389" t="s">
        <v>1559</v>
      </c>
      <c r="G389" t="s">
        <v>1560</v>
      </c>
      <c r="H389" t="s">
        <v>590</v>
      </c>
      <c r="I389" t="s">
        <v>805</v>
      </c>
      <c r="L389">
        <v>6</v>
      </c>
      <c r="M389">
        <v>364.5</v>
      </c>
      <c r="N389">
        <v>-6</v>
      </c>
      <c r="O389">
        <v>-364.5</v>
      </c>
      <c r="Z389" s="3">
        <f t="shared" si="6"/>
        <v>60.75</v>
      </c>
    </row>
    <row r="390" spans="1:26" hidden="1">
      <c r="A390" t="s">
        <v>706</v>
      </c>
      <c r="B390" s="6">
        <v>44287</v>
      </c>
      <c r="C390" s="6">
        <v>44651</v>
      </c>
      <c r="D390">
        <v>20210401</v>
      </c>
      <c r="E390">
        <v>20220331</v>
      </c>
      <c r="F390" t="s">
        <v>1561</v>
      </c>
      <c r="G390" t="s">
        <v>1562</v>
      </c>
      <c r="H390" t="s">
        <v>590</v>
      </c>
      <c r="I390" t="s">
        <v>805</v>
      </c>
      <c r="L390">
        <v>6</v>
      </c>
      <c r="M390">
        <v>405</v>
      </c>
      <c r="N390">
        <v>-6</v>
      </c>
      <c r="O390">
        <v>-405</v>
      </c>
      <c r="Z390" s="3">
        <f t="shared" si="6"/>
        <v>67.5</v>
      </c>
    </row>
    <row r="391" spans="1:26" hidden="1">
      <c r="A391" t="s">
        <v>706</v>
      </c>
      <c r="B391" s="6">
        <v>44287</v>
      </c>
      <c r="C391" s="6">
        <v>44651</v>
      </c>
      <c r="D391">
        <v>20210401</v>
      </c>
      <c r="E391">
        <v>20220331</v>
      </c>
      <c r="F391" t="s">
        <v>1563</v>
      </c>
      <c r="G391" t="s">
        <v>1564</v>
      </c>
      <c r="H391" t="s">
        <v>590</v>
      </c>
      <c r="I391" t="s">
        <v>805</v>
      </c>
      <c r="J391">
        <v>20</v>
      </c>
      <c r="K391">
        <v>3361.99</v>
      </c>
      <c r="N391">
        <v>-20</v>
      </c>
      <c r="O391">
        <v>-3362</v>
      </c>
      <c r="Y391">
        <v>-0.01</v>
      </c>
      <c r="Z391" s="3">
        <f t="shared" si="6"/>
        <v>168.1</v>
      </c>
    </row>
    <row r="392" spans="1:26" hidden="1">
      <c r="A392" t="s">
        <v>706</v>
      </c>
      <c r="B392" s="6">
        <v>44287</v>
      </c>
      <c r="C392" s="6">
        <v>44651</v>
      </c>
      <c r="D392">
        <v>20210401</v>
      </c>
      <c r="E392">
        <v>20220331</v>
      </c>
      <c r="F392" t="s">
        <v>1565</v>
      </c>
      <c r="G392" t="s">
        <v>1566</v>
      </c>
      <c r="H392" t="s">
        <v>590</v>
      </c>
      <c r="I392" t="s">
        <v>805</v>
      </c>
      <c r="J392">
        <v>24</v>
      </c>
      <c r="K392">
        <v>11108.63</v>
      </c>
      <c r="N392">
        <v>-24</v>
      </c>
      <c r="O392">
        <v>-11227.62</v>
      </c>
      <c r="Y392">
        <v>-118.99</v>
      </c>
      <c r="Z392" s="3">
        <f t="shared" si="6"/>
        <v>467.81750000000005</v>
      </c>
    </row>
    <row r="393" spans="1:26" hidden="1">
      <c r="A393" t="s">
        <v>706</v>
      </c>
      <c r="B393" s="6">
        <v>44287</v>
      </c>
      <c r="C393" s="6">
        <v>44651</v>
      </c>
      <c r="D393">
        <v>20210401</v>
      </c>
      <c r="E393">
        <v>20220331</v>
      </c>
      <c r="F393" t="s">
        <v>1567</v>
      </c>
      <c r="G393" t="s">
        <v>1568</v>
      </c>
      <c r="H393" t="s">
        <v>590</v>
      </c>
      <c r="I393" t="s">
        <v>805</v>
      </c>
      <c r="L393">
        <v>6</v>
      </c>
      <c r="M393">
        <v>387</v>
      </c>
      <c r="N393">
        <v>-6</v>
      </c>
      <c r="O393">
        <v>-387</v>
      </c>
      <c r="Z393" s="3">
        <f t="shared" si="6"/>
        <v>64.5</v>
      </c>
    </row>
    <row r="394" spans="1:26" hidden="1">
      <c r="A394" t="s">
        <v>706</v>
      </c>
      <c r="B394" s="6">
        <v>44287</v>
      </c>
      <c r="C394" s="6">
        <v>44651</v>
      </c>
      <c r="D394">
        <v>20210401</v>
      </c>
      <c r="E394">
        <v>20220331</v>
      </c>
      <c r="F394" t="s">
        <v>1569</v>
      </c>
      <c r="G394" t="s">
        <v>1570</v>
      </c>
      <c r="H394" t="s">
        <v>590</v>
      </c>
      <c r="I394" t="s">
        <v>805</v>
      </c>
      <c r="L394">
        <v>1</v>
      </c>
      <c r="M394">
        <v>750</v>
      </c>
      <c r="N394">
        <v>-1</v>
      </c>
      <c r="O394">
        <v>-750</v>
      </c>
      <c r="Z394" s="3">
        <f t="shared" si="6"/>
        <v>750</v>
      </c>
    </row>
    <row r="395" spans="1:26" hidden="1">
      <c r="A395" t="s">
        <v>706</v>
      </c>
      <c r="B395" s="6">
        <v>44287</v>
      </c>
      <c r="C395" s="6">
        <v>44651</v>
      </c>
      <c r="D395">
        <v>20210401</v>
      </c>
      <c r="E395">
        <v>20220331</v>
      </c>
      <c r="F395" t="s">
        <v>1571</v>
      </c>
      <c r="G395" t="s">
        <v>1572</v>
      </c>
      <c r="H395" t="s">
        <v>590</v>
      </c>
      <c r="I395" t="s">
        <v>805</v>
      </c>
      <c r="J395">
        <v>36</v>
      </c>
      <c r="K395">
        <v>1044</v>
      </c>
      <c r="N395">
        <v>-36</v>
      </c>
      <c r="O395">
        <v>-1044</v>
      </c>
      <c r="Z395" s="3">
        <f t="shared" si="6"/>
        <v>29</v>
      </c>
    </row>
    <row r="396" spans="1:26" hidden="1">
      <c r="A396" t="s">
        <v>706</v>
      </c>
      <c r="B396" s="6">
        <v>44287</v>
      </c>
      <c r="C396" s="6">
        <v>44651</v>
      </c>
      <c r="D396">
        <v>20210401</v>
      </c>
      <c r="E396">
        <v>20220331</v>
      </c>
      <c r="F396" t="s">
        <v>1573</v>
      </c>
      <c r="G396" t="s">
        <v>1574</v>
      </c>
      <c r="H396" t="s">
        <v>1173</v>
      </c>
      <c r="I396" t="s">
        <v>805</v>
      </c>
      <c r="J396">
        <v>4</v>
      </c>
      <c r="K396">
        <v>900.55</v>
      </c>
      <c r="L396">
        <v>41</v>
      </c>
      <c r="M396">
        <v>9185</v>
      </c>
      <c r="N396">
        <v>-36</v>
      </c>
      <c r="O396">
        <v>-8068.85</v>
      </c>
      <c r="X396">
        <v>9</v>
      </c>
      <c r="Y396">
        <v>2016.7</v>
      </c>
      <c r="Z396" s="3">
        <f t="shared" si="6"/>
        <v>224.13472222222222</v>
      </c>
    </row>
    <row r="397" spans="1:26" hidden="1">
      <c r="A397" t="s">
        <v>706</v>
      </c>
      <c r="B397" s="6">
        <v>44287</v>
      </c>
      <c r="C397" s="6">
        <v>44651</v>
      </c>
      <c r="D397">
        <v>20210401</v>
      </c>
      <c r="E397">
        <v>20220331</v>
      </c>
      <c r="F397" t="s">
        <v>1575</v>
      </c>
      <c r="G397" t="s">
        <v>1576</v>
      </c>
      <c r="H397" t="s">
        <v>590</v>
      </c>
      <c r="I397" t="s">
        <v>1462</v>
      </c>
      <c r="L397">
        <v>1</v>
      </c>
      <c r="M397">
        <v>468.6</v>
      </c>
      <c r="N397">
        <v>-1</v>
      </c>
      <c r="O397">
        <v>-468.6</v>
      </c>
      <c r="Z397" s="3">
        <f t="shared" si="6"/>
        <v>468.6</v>
      </c>
    </row>
    <row r="398" spans="1:26" hidden="1">
      <c r="A398" t="s">
        <v>706</v>
      </c>
      <c r="B398" s="6">
        <v>44287</v>
      </c>
      <c r="C398" s="6">
        <v>44651</v>
      </c>
      <c r="D398">
        <v>20210401</v>
      </c>
      <c r="E398">
        <v>20220331</v>
      </c>
      <c r="F398" t="s">
        <v>1577</v>
      </c>
      <c r="G398" t="s">
        <v>1578</v>
      </c>
      <c r="H398" t="s">
        <v>590</v>
      </c>
      <c r="I398" t="s">
        <v>1462</v>
      </c>
      <c r="L398">
        <v>1</v>
      </c>
      <c r="M398">
        <v>920</v>
      </c>
      <c r="N398">
        <v>-1</v>
      </c>
      <c r="O398">
        <v>-920</v>
      </c>
      <c r="Z398" s="3">
        <f t="shared" si="6"/>
        <v>920</v>
      </c>
    </row>
    <row r="399" spans="1:26" hidden="1">
      <c r="A399" t="s">
        <v>706</v>
      </c>
      <c r="B399" s="6">
        <v>44287</v>
      </c>
      <c r="C399" s="6">
        <v>44651</v>
      </c>
      <c r="D399">
        <v>20210401</v>
      </c>
      <c r="E399">
        <v>20220331</v>
      </c>
      <c r="F399" t="s">
        <v>1579</v>
      </c>
      <c r="G399" t="s">
        <v>1580</v>
      </c>
      <c r="H399" t="s">
        <v>590</v>
      </c>
      <c r="I399" t="s">
        <v>1462</v>
      </c>
      <c r="L399">
        <v>8</v>
      </c>
      <c r="M399">
        <v>13504</v>
      </c>
      <c r="N399">
        <v>-8</v>
      </c>
      <c r="O399">
        <v>-13504</v>
      </c>
      <c r="Z399" s="3">
        <f t="shared" si="6"/>
        <v>1688</v>
      </c>
    </row>
    <row r="400" spans="1:26" hidden="1">
      <c r="A400" t="s">
        <v>706</v>
      </c>
      <c r="B400" s="6">
        <v>44287</v>
      </c>
      <c r="C400" s="6">
        <v>44651</v>
      </c>
      <c r="D400">
        <v>20210401</v>
      </c>
      <c r="E400">
        <v>20220331</v>
      </c>
      <c r="F400" t="s">
        <v>1581</v>
      </c>
      <c r="G400" t="s">
        <v>1582</v>
      </c>
      <c r="H400" t="s">
        <v>613</v>
      </c>
      <c r="I400" t="s">
        <v>805</v>
      </c>
      <c r="L400">
        <v>650</v>
      </c>
      <c r="M400">
        <v>3170</v>
      </c>
      <c r="N400">
        <v>-650</v>
      </c>
      <c r="O400">
        <v>-3170</v>
      </c>
      <c r="Z400" s="3">
        <f t="shared" si="6"/>
        <v>4.8769230769230774</v>
      </c>
    </row>
    <row r="401" spans="1:26" hidden="1">
      <c r="A401" t="s">
        <v>706</v>
      </c>
      <c r="B401" s="6">
        <v>44287</v>
      </c>
      <c r="C401" s="6">
        <v>44651</v>
      </c>
      <c r="D401">
        <v>20210401</v>
      </c>
      <c r="E401">
        <v>20220331</v>
      </c>
      <c r="F401" t="s">
        <v>1583</v>
      </c>
      <c r="G401" t="s">
        <v>1584</v>
      </c>
      <c r="H401" t="s">
        <v>1585</v>
      </c>
      <c r="I401" t="s">
        <v>805</v>
      </c>
      <c r="K401">
        <v>0.01</v>
      </c>
      <c r="L401">
        <v>150</v>
      </c>
      <c r="M401">
        <v>14700</v>
      </c>
      <c r="N401">
        <v>-144</v>
      </c>
      <c r="O401">
        <v>-14100</v>
      </c>
      <c r="X401">
        <v>6</v>
      </c>
      <c r="Y401">
        <v>600.01</v>
      </c>
      <c r="Z401" s="3">
        <f t="shared" si="6"/>
        <v>97.916666666666671</v>
      </c>
    </row>
    <row r="402" spans="1:26" hidden="1">
      <c r="A402" t="s">
        <v>706</v>
      </c>
      <c r="B402" s="6">
        <v>44287</v>
      </c>
      <c r="C402" s="6">
        <v>44651</v>
      </c>
      <c r="D402">
        <v>20210401</v>
      </c>
      <c r="E402">
        <v>20220331</v>
      </c>
      <c r="F402" t="s">
        <v>1586</v>
      </c>
      <c r="G402" t="s">
        <v>1587</v>
      </c>
      <c r="H402" t="s">
        <v>590</v>
      </c>
      <c r="I402" t="s">
        <v>805</v>
      </c>
      <c r="J402">
        <v>7</v>
      </c>
      <c r="K402">
        <v>1260.03</v>
      </c>
      <c r="L402">
        <v>64</v>
      </c>
      <c r="M402">
        <v>11520</v>
      </c>
      <c r="N402">
        <v>-54</v>
      </c>
      <c r="O402">
        <v>-9720</v>
      </c>
      <c r="X402">
        <v>17</v>
      </c>
      <c r="Y402">
        <v>3060.03</v>
      </c>
      <c r="Z402" s="3">
        <f t="shared" si="6"/>
        <v>180</v>
      </c>
    </row>
    <row r="403" spans="1:26" hidden="1">
      <c r="A403" t="s">
        <v>706</v>
      </c>
      <c r="B403" s="6">
        <v>44287</v>
      </c>
      <c r="C403" s="6">
        <v>44651</v>
      </c>
      <c r="D403">
        <v>20210401</v>
      </c>
      <c r="E403">
        <v>20220331</v>
      </c>
      <c r="F403" t="s">
        <v>1588</v>
      </c>
      <c r="G403" t="s">
        <v>1589</v>
      </c>
      <c r="H403" t="s">
        <v>590</v>
      </c>
      <c r="I403" t="s">
        <v>805</v>
      </c>
      <c r="L403">
        <v>113</v>
      </c>
      <c r="M403">
        <v>22035</v>
      </c>
      <c r="N403">
        <v>-100</v>
      </c>
      <c r="O403">
        <v>-19500</v>
      </c>
      <c r="X403">
        <v>13</v>
      </c>
      <c r="Y403">
        <v>2535</v>
      </c>
      <c r="Z403" s="3">
        <f t="shared" si="6"/>
        <v>195</v>
      </c>
    </row>
    <row r="404" spans="1:26" hidden="1">
      <c r="A404" t="s">
        <v>706</v>
      </c>
      <c r="B404" s="6">
        <v>44287</v>
      </c>
      <c r="C404" s="6">
        <v>44651</v>
      </c>
      <c r="D404">
        <v>20210401</v>
      </c>
      <c r="E404">
        <v>20220331</v>
      </c>
      <c r="F404" t="s">
        <v>1590</v>
      </c>
      <c r="G404" t="s">
        <v>1591</v>
      </c>
      <c r="H404" t="s">
        <v>590</v>
      </c>
      <c r="I404" t="s">
        <v>805</v>
      </c>
      <c r="J404">
        <v>34</v>
      </c>
      <c r="K404">
        <v>11640.43</v>
      </c>
      <c r="L404">
        <v>90</v>
      </c>
      <c r="M404">
        <v>1620</v>
      </c>
      <c r="N404">
        <v>-112</v>
      </c>
      <c r="O404">
        <v>-2968.14</v>
      </c>
      <c r="X404">
        <v>12</v>
      </c>
      <c r="Y404">
        <v>10292.290000000001</v>
      </c>
      <c r="Z404" s="3">
        <f t="shared" si="6"/>
        <v>26.501249999999999</v>
      </c>
    </row>
    <row r="405" spans="1:26" hidden="1">
      <c r="A405" t="s">
        <v>706</v>
      </c>
      <c r="B405" s="6">
        <v>44287</v>
      </c>
      <c r="C405" s="6">
        <v>44651</v>
      </c>
      <c r="D405">
        <v>20210401</v>
      </c>
      <c r="E405">
        <v>20220331</v>
      </c>
      <c r="F405" t="s">
        <v>1592</v>
      </c>
      <c r="G405" t="s">
        <v>1593</v>
      </c>
      <c r="H405" t="s">
        <v>590</v>
      </c>
      <c r="I405" t="s">
        <v>805</v>
      </c>
      <c r="J405">
        <v>3</v>
      </c>
      <c r="K405">
        <v>120</v>
      </c>
      <c r="L405">
        <v>28</v>
      </c>
      <c r="M405">
        <v>1120</v>
      </c>
      <c r="N405">
        <v>-23</v>
      </c>
      <c r="O405">
        <v>-920</v>
      </c>
      <c r="X405">
        <v>8</v>
      </c>
      <c r="Y405">
        <v>320</v>
      </c>
      <c r="Z405" s="3">
        <f t="shared" si="6"/>
        <v>40</v>
      </c>
    </row>
    <row r="406" spans="1:26" hidden="1">
      <c r="A406" t="s">
        <v>706</v>
      </c>
      <c r="B406" s="6">
        <v>44287</v>
      </c>
      <c r="C406" s="6">
        <v>44651</v>
      </c>
      <c r="D406">
        <v>20210401</v>
      </c>
      <c r="E406">
        <v>20220331</v>
      </c>
      <c r="F406" t="s">
        <v>1594</v>
      </c>
      <c r="G406" t="s">
        <v>1595</v>
      </c>
      <c r="H406" t="s">
        <v>590</v>
      </c>
      <c r="I406" t="s">
        <v>805</v>
      </c>
      <c r="L406">
        <v>6</v>
      </c>
      <c r="M406">
        <v>1530</v>
      </c>
      <c r="N406">
        <v>-5</v>
      </c>
      <c r="O406">
        <v>-1275</v>
      </c>
      <c r="X406">
        <v>1</v>
      </c>
      <c r="Y406">
        <v>255</v>
      </c>
      <c r="Z406" s="3">
        <f t="shared" si="6"/>
        <v>255</v>
      </c>
    </row>
    <row r="407" spans="1:26" hidden="1">
      <c r="A407" t="s">
        <v>706</v>
      </c>
      <c r="B407" s="6">
        <v>44287</v>
      </c>
      <c r="C407" s="6">
        <v>44651</v>
      </c>
      <c r="D407">
        <v>20210401</v>
      </c>
      <c r="E407">
        <v>20220331</v>
      </c>
      <c r="F407" t="s">
        <v>1596</v>
      </c>
      <c r="G407" t="s">
        <v>1597</v>
      </c>
      <c r="H407" t="s">
        <v>590</v>
      </c>
      <c r="I407" t="s">
        <v>805</v>
      </c>
      <c r="J407">
        <v>4</v>
      </c>
      <c r="K407">
        <v>447.68</v>
      </c>
      <c r="N407">
        <v>-4</v>
      </c>
      <c r="O407">
        <v>-441.62</v>
      </c>
      <c r="Y407">
        <v>6.06</v>
      </c>
      <c r="Z407" s="3">
        <f t="shared" si="6"/>
        <v>110.405</v>
      </c>
    </row>
    <row r="408" spans="1:26" hidden="1">
      <c r="A408" t="s">
        <v>706</v>
      </c>
      <c r="B408" s="6">
        <v>44287</v>
      </c>
      <c r="C408" s="6">
        <v>44651</v>
      </c>
      <c r="D408">
        <v>20210401</v>
      </c>
      <c r="E408">
        <v>20220331</v>
      </c>
      <c r="F408" t="s">
        <v>1598</v>
      </c>
      <c r="G408" t="s">
        <v>1599</v>
      </c>
      <c r="H408" t="s">
        <v>1585</v>
      </c>
      <c r="I408" t="s">
        <v>805</v>
      </c>
      <c r="J408">
        <v>124</v>
      </c>
      <c r="K408">
        <v>29759.61</v>
      </c>
      <c r="L408">
        <v>200</v>
      </c>
      <c r="M408">
        <v>51000</v>
      </c>
      <c r="N408">
        <v>-179</v>
      </c>
      <c r="O408">
        <v>-44015.8</v>
      </c>
      <c r="X408">
        <v>145</v>
      </c>
      <c r="Y408">
        <v>36743.81</v>
      </c>
      <c r="Z408" s="3">
        <f t="shared" si="6"/>
        <v>245.89832402234637</v>
      </c>
    </row>
    <row r="409" spans="1:26" hidden="1">
      <c r="A409" t="s">
        <v>706</v>
      </c>
      <c r="B409" s="6">
        <v>44287</v>
      </c>
      <c r="C409" s="6">
        <v>44651</v>
      </c>
      <c r="D409">
        <v>20210401</v>
      </c>
      <c r="E409">
        <v>20220331</v>
      </c>
      <c r="F409" t="s">
        <v>1600</v>
      </c>
      <c r="G409" t="s">
        <v>1601</v>
      </c>
      <c r="H409" t="s">
        <v>590</v>
      </c>
      <c r="I409" t="s">
        <v>805</v>
      </c>
      <c r="J409">
        <v>11</v>
      </c>
      <c r="K409">
        <v>1312.07</v>
      </c>
      <c r="L409">
        <v>38</v>
      </c>
      <c r="M409">
        <v>4370</v>
      </c>
      <c r="N409">
        <v>-49</v>
      </c>
      <c r="O409">
        <v>-5682.07</v>
      </c>
      <c r="Z409" s="3">
        <f t="shared" si="6"/>
        <v>115.96061224489796</v>
      </c>
    </row>
    <row r="410" spans="1:26" hidden="1">
      <c r="A410" t="s">
        <v>706</v>
      </c>
      <c r="B410" s="6">
        <v>44287</v>
      </c>
      <c r="C410" s="6">
        <v>44651</v>
      </c>
      <c r="D410">
        <v>20210401</v>
      </c>
      <c r="E410">
        <v>20220331</v>
      </c>
      <c r="F410" t="s">
        <v>1602</v>
      </c>
      <c r="G410" t="s">
        <v>1603</v>
      </c>
      <c r="H410" t="s">
        <v>1585</v>
      </c>
      <c r="I410" t="s">
        <v>805</v>
      </c>
      <c r="J410">
        <v>260</v>
      </c>
      <c r="K410">
        <v>30365.4</v>
      </c>
      <c r="L410">
        <v>8438</v>
      </c>
      <c r="M410">
        <v>1029436</v>
      </c>
      <c r="N410">
        <v>-8498</v>
      </c>
      <c r="O410">
        <v>-1036756</v>
      </c>
      <c r="X410">
        <v>200</v>
      </c>
      <c r="Y410">
        <v>23045.4</v>
      </c>
      <c r="Z410" s="3">
        <f t="shared" si="6"/>
        <v>122</v>
      </c>
    </row>
    <row r="411" spans="1:26" hidden="1">
      <c r="A411" t="s">
        <v>706</v>
      </c>
      <c r="B411" s="6">
        <v>44287</v>
      </c>
      <c r="C411" s="6">
        <v>44651</v>
      </c>
      <c r="D411">
        <v>20210401</v>
      </c>
      <c r="E411">
        <v>20220331</v>
      </c>
      <c r="F411" t="s">
        <v>1604</v>
      </c>
      <c r="G411" t="s">
        <v>1605</v>
      </c>
      <c r="H411" t="s">
        <v>1585</v>
      </c>
      <c r="I411" t="s">
        <v>805</v>
      </c>
      <c r="J411">
        <v>553</v>
      </c>
      <c r="K411">
        <v>4280.18</v>
      </c>
      <c r="L411">
        <v>3105</v>
      </c>
      <c r="M411">
        <v>24063.75</v>
      </c>
      <c r="N411">
        <v>-3380</v>
      </c>
      <c r="O411">
        <v>-26195.06</v>
      </c>
      <c r="X411">
        <v>278</v>
      </c>
      <c r="Y411">
        <v>2148.87</v>
      </c>
      <c r="Z411" s="3">
        <f t="shared" si="6"/>
        <v>7.7500177514792901</v>
      </c>
    </row>
    <row r="412" spans="1:26" hidden="1">
      <c r="A412" t="s">
        <v>706</v>
      </c>
      <c r="B412" s="6">
        <v>44287</v>
      </c>
      <c r="C412" s="6">
        <v>44651</v>
      </c>
      <c r="D412">
        <v>20210401</v>
      </c>
      <c r="E412">
        <v>20220331</v>
      </c>
      <c r="F412" t="s">
        <v>1606</v>
      </c>
      <c r="G412" t="s">
        <v>1607</v>
      </c>
      <c r="H412" t="s">
        <v>590</v>
      </c>
      <c r="I412" t="s">
        <v>805</v>
      </c>
      <c r="J412">
        <v>2</v>
      </c>
      <c r="K412">
        <v>290</v>
      </c>
      <c r="L412">
        <v>63</v>
      </c>
      <c r="M412">
        <v>5415</v>
      </c>
      <c r="N412">
        <v>-46</v>
      </c>
      <c r="O412">
        <v>-4121.3500000000004</v>
      </c>
      <c r="X412">
        <v>19</v>
      </c>
      <c r="Y412">
        <v>1583.65</v>
      </c>
      <c r="Z412" s="3">
        <f t="shared" si="6"/>
        <v>89.594565217391306</v>
      </c>
    </row>
    <row r="413" spans="1:26" hidden="1">
      <c r="A413" t="s">
        <v>706</v>
      </c>
      <c r="B413" s="6">
        <v>44287</v>
      </c>
      <c r="C413" s="6">
        <v>44651</v>
      </c>
      <c r="D413">
        <v>20210401</v>
      </c>
      <c r="E413">
        <v>20220331</v>
      </c>
      <c r="F413" t="s">
        <v>1608</v>
      </c>
      <c r="G413" t="s">
        <v>1609</v>
      </c>
      <c r="H413" t="s">
        <v>590</v>
      </c>
      <c r="I413" t="s">
        <v>805</v>
      </c>
      <c r="L413">
        <v>12</v>
      </c>
      <c r="M413">
        <v>1200</v>
      </c>
      <c r="N413">
        <v>-9</v>
      </c>
      <c r="O413">
        <v>-945</v>
      </c>
      <c r="X413">
        <v>3</v>
      </c>
      <c r="Y413">
        <v>255</v>
      </c>
      <c r="Z413" s="3">
        <f t="shared" si="6"/>
        <v>105</v>
      </c>
    </row>
    <row r="414" spans="1:26" hidden="1">
      <c r="A414" t="s">
        <v>706</v>
      </c>
      <c r="B414" s="6">
        <v>44287</v>
      </c>
      <c r="C414" s="6">
        <v>44651</v>
      </c>
      <c r="D414">
        <v>20210401</v>
      </c>
      <c r="E414">
        <v>20220331</v>
      </c>
      <c r="F414" t="s">
        <v>1610</v>
      </c>
      <c r="G414" t="s">
        <v>1611</v>
      </c>
      <c r="H414" t="s">
        <v>590</v>
      </c>
      <c r="I414" t="s">
        <v>805</v>
      </c>
      <c r="J414">
        <v>736</v>
      </c>
      <c r="K414">
        <v>7548.02</v>
      </c>
      <c r="N414">
        <v>-736</v>
      </c>
      <c r="O414">
        <v>-7547.5</v>
      </c>
      <c r="Y414">
        <v>0.52</v>
      </c>
      <c r="Z414" s="3">
        <f t="shared" si="6"/>
        <v>10.254755434782609</v>
      </c>
    </row>
    <row r="415" spans="1:26" hidden="1">
      <c r="A415" t="s">
        <v>706</v>
      </c>
      <c r="B415" s="6">
        <v>44287</v>
      </c>
      <c r="C415" s="6">
        <v>44651</v>
      </c>
      <c r="D415">
        <v>20210401</v>
      </c>
      <c r="E415">
        <v>20220331</v>
      </c>
      <c r="F415" t="s">
        <v>1612</v>
      </c>
      <c r="G415" t="s">
        <v>1613</v>
      </c>
      <c r="H415" t="s">
        <v>1585</v>
      </c>
      <c r="I415" t="s">
        <v>805</v>
      </c>
      <c r="L415">
        <v>31000</v>
      </c>
      <c r="M415">
        <v>204125</v>
      </c>
      <c r="N415">
        <v>-30460</v>
      </c>
      <c r="O415">
        <v>-200778.03</v>
      </c>
      <c r="X415">
        <v>540</v>
      </c>
      <c r="Y415">
        <v>3346.97</v>
      </c>
      <c r="Z415" s="3">
        <f t="shared" si="6"/>
        <v>6.5915308601444513</v>
      </c>
    </row>
    <row r="416" spans="1:26" hidden="1">
      <c r="A416" t="s">
        <v>706</v>
      </c>
      <c r="B416" s="6">
        <v>44287</v>
      </c>
      <c r="C416" s="6">
        <v>44651</v>
      </c>
      <c r="D416">
        <v>20210401</v>
      </c>
      <c r="E416">
        <v>20220331</v>
      </c>
      <c r="F416" t="s">
        <v>1614</v>
      </c>
      <c r="G416" t="s">
        <v>1615</v>
      </c>
      <c r="H416" t="s">
        <v>1585</v>
      </c>
      <c r="I416" t="s">
        <v>805</v>
      </c>
      <c r="J416">
        <v>303</v>
      </c>
      <c r="K416">
        <v>84949.77</v>
      </c>
      <c r="L416">
        <v>2550</v>
      </c>
      <c r="M416">
        <v>828750</v>
      </c>
      <c r="N416">
        <v>-2818</v>
      </c>
      <c r="O416">
        <v>-905245</v>
      </c>
      <c r="X416">
        <v>35</v>
      </c>
      <c r="Y416">
        <v>8454.77</v>
      </c>
      <c r="Z416" s="3">
        <f t="shared" si="6"/>
        <v>321.23669268985094</v>
      </c>
    </row>
    <row r="417" spans="1:26" hidden="1">
      <c r="A417" t="s">
        <v>706</v>
      </c>
      <c r="B417" s="6">
        <v>44287</v>
      </c>
      <c r="C417" s="6">
        <v>44651</v>
      </c>
      <c r="D417">
        <v>20210401</v>
      </c>
      <c r="E417">
        <v>20220331</v>
      </c>
      <c r="F417" t="s">
        <v>1616</v>
      </c>
      <c r="G417" t="s">
        <v>1617</v>
      </c>
      <c r="H417" t="s">
        <v>1585</v>
      </c>
      <c r="I417" t="s">
        <v>805</v>
      </c>
      <c r="J417">
        <v>26</v>
      </c>
      <c r="K417">
        <v>2729.96</v>
      </c>
      <c r="L417">
        <v>125</v>
      </c>
      <c r="M417">
        <v>13125</v>
      </c>
      <c r="N417">
        <v>-118</v>
      </c>
      <c r="O417">
        <v>-12390</v>
      </c>
      <c r="X417">
        <v>33</v>
      </c>
      <c r="Y417">
        <v>3464.96</v>
      </c>
      <c r="Z417" s="3">
        <f t="shared" si="6"/>
        <v>105</v>
      </c>
    </row>
    <row r="418" spans="1:26" hidden="1">
      <c r="A418" t="s">
        <v>706</v>
      </c>
      <c r="B418" s="6">
        <v>44287</v>
      </c>
      <c r="C418" s="6">
        <v>44651</v>
      </c>
      <c r="D418">
        <v>20210401</v>
      </c>
      <c r="E418">
        <v>20220331</v>
      </c>
      <c r="F418" t="s">
        <v>1618</v>
      </c>
      <c r="G418" t="s">
        <v>1619</v>
      </c>
      <c r="H418" t="s">
        <v>590</v>
      </c>
      <c r="I418" t="s">
        <v>805</v>
      </c>
      <c r="L418">
        <v>50</v>
      </c>
      <c r="M418">
        <v>2600</v>
      </c>
      <c r="N418">
        <v>-50</v>
      </c>
      <c r="O418">
        <v>-2600</v>
      </c>
      <c r="Z418" s="3">
        <f t="shared" si="6"/>
        <v>52</v>
      </c>
    </row>
    <row r="419" spans="1:26" hidden="1">
      <c r="A419" t="s">
        <v>706</v>
      </c>
      <c r="B419" s="6">
        <v>44287</v>
      </c>
      <c r="C419" s="6">
        <v>44651</v>
      </c>
      <c r="D419">
        <v>20210401</v>
      </c>
      <c r="E419">
        <v>20220331</v>
      </c>
      <c r="F419" t="s">
        <v>1620</v>
      </c>
      <c r="G419" t="s">
        <v>1621</v>
      </c>
      <c r="H419" t="s">
        <v>590</v>
      </c>
      <c r="I419" t="s">
        <v>805</v>
      </c>
      <c r="J419">
        <v>25</v>
      </c>
      <c r="K419">
        <v>4750.07</v>
      </c>
      <c r="L419">
        <v>70</v>
      </c>
      <c r="M419">
        <v>12600</v>
      </c>
      <c r="N419">
        <v>-17</v>
      </c>
      <c r="O419">
        <v>-3111.91</v>
      </c>
      <c r="X419">
        <v>78</v>
      </c>
      <c r="Y419">
        <v>14238.16</v>
      </c>
      <c r="Z419" s="3">
        <f t="shared" si="6"/>
        <v>183.05352941176469</v>
      </c>
    </row>
    <row r="420" spans="1:26" hidden="1">
      <c r="A420" t="s">
        <v>706</v>
      </c>
      <c r="B420" s="6">
        <v>44287</v>
      </c>
      <c r="C420" s="6">
        <v>44651</v>
      </c>
      <c r="D420">
        <v>20210401</v>
      </c>
      <c r="E420">
        <v>20220331</v>
      </c>
      <c r="F420" t="s">
        <v>1622</v>
      </c>
      <c r="G420" t="s">
        <v>1623</v>
      </c>
      <c r="H420" t="s">
        <v>1585</v>
      </c>
      <c r="I420" t="s">
        <v>1462</v>
      </c>
      <c r="L420">
        <v>30</v>
      </c>
      <c r="M420">
        <v>4800</v>
      </c>
      <c r="N420">
        <v>-30</v>
      </c>
      <c r="O420">
        <v>-4800</v>
      </c>
      <c r="Z420" s="3">
        <f t="shared" si="6"/>
        <v>160</v>
      </c>
    </row>
    <row r="421" spans="1:26" hidden="1">
      <c r="A421" t="s">
        <v>706</v>
      </c>
      <c r="B421" s="6">
        <v>44287</v>
      </c>
      <c r="C421" s="6">
        <v>44651</v>
      </c>
      <c r="D421">
        <v>20210401</v>
      </c>
      <c r="E421">
        <v>20220331</v>
      </c>
      <c r="F421" t="s">
        <v>1624</v>
      </c>
      <c r="G421" t="s">
        <v>1625</v>
      </c>
      <c r="H421" t="s">
        <v>1585</v>
      </c>
      <c r="I421" t="s">
        <v>1462</v>
      </c>
      <c r="L421">
        <v>110</v>
      </c>
      <c r="M421">
        <v>16500</v>
      </c>
      <c r="N421">
        <v>-92</v>
      </c>
      <c r="O421">
        <v>-13800</v>
      </c>
      <c r="X421">
        <v>18</v>
      </c>
      <c r="Y421">
        <v>2700</v>
      </c>
      <c r="Z421" s="3">
        <f t="shared" si="6"/>
        <v>150</v>
      </c>
    </row>
    <row r="422" spans="1:26" hidden="1">
      <c r="A422" t="s">
        <v>706</v>
      </c>
      <c r="B422" s="6">
        <v>44287</v>
      </c>
      <c r="C422" s="6">
        <v>44651</v>
      </c>
      <c r="D422">
        <v>20210401</v>
      </c>
      <c r="E422">
        <v>20220331</v>
      </c>
      <c r="F422" t="s">
        <v>1626</v>
      </c>
      <c r="G422" t="s">
        <v>1627</v>
      </c>
      <c r="H422" t="s">
        <v>590</v>
      </c>
      <c r="I422" t="s">
        <v>805</v>
      </c>
      <c r="J422">
        <v>3224</v>
      </c>
      <c r="K422">
        <v>151528.32000000001</v>
      </c>
      <c r="L422">
        <v>33900</v>
      </c>
      <c r="M422">
        <v>1593300</v>
      </c>
      <c r="N422">
        <v>-29</v>
      </c>
      <c r="O422">
        <v>-1363</v>
      </c>
      <c r="R422">
        <v>-35650</v>
      </c>
      <c r="S422">
        <v>-1675550</v>
      </c>
      <c r="X422">
        <v>1445</v>
      </c>
      <c r="Y422">
        <v>67915.320000000007</v>
      </c>
      <c r="Z422" s="3">
        <f t="shared" si="6"/>
        <v>47</v>
      </c>
    </row>
    <row r="423" spans="1:26" hidden="1">
      <c r="A423" t="s">
        <v>706</v>
      </c>
      <c r="B423" s="6">
        <v>44287</v>
      </c>
      <c r="C423" s="6">
        <v>44651</v>
      </c>
      <c r="D423">
        <v>20210401</v>
      </c>
      <c r="E423">
        <v>20220331</v>
      </c>
      <c r="F423" t="s">
        <v>1628</v>
      </c>
      <c r="G423" t="s">
        <v>1629</v>
      </c>
      <c r="H423" t="s">
        <v>590</v>
      </c>
      <c r="I423" t="s">
        <v>805</v>
      </c>
      <c r="J423">
        <v>25</v>
      </c>
      <c r="K423">
        <v>607.5</v>
      </c>
      <c r="N423">
        <v>-25</v>
      </c>
      <c r="O423">
        <v>-607.5</v>
      </c>
      <c r="Z423" s="3">
        <f t="shared" si="6"/>
        <v>24.3</v>
      </c>
    </row>
    <row r="424" spans="1:26" hidden="1">
      <c r="A424" t="s">
        <v>706</v>
      </c>
      <c r="B424" s="6">
        <v>44287</v>
      </c>
      <c r="C424" s="6">
        <v>44651</v>
      </c>
      <c r="D424">
        <v>20210401</v>
      </c>
      <c r="E424">
        <v>20220331</v>
      </c>
      <c r="F424" t="s">
        <v>1630</v>
      </c>
      <c r="G424" t="s">
        <v>1631</v>
      </c>
      <c r="H424" t="s">
        <v>590</v>
      </c>
      <c r="I424" t="s">
        <v>805</v>
      </c>
      <c r="J424">
        <v>75</v>
      </c>
      <c r="K424">
        <v>4050</v>
      </c>
      <c r="L424">
        <v>500</v>
      </c>
      <c r="M424">
        <v>27720</v>
      </c>
      <c r="N424">
        <v>-575</v>
      </c>
      <c r="O424">
        <v>-31769.97</v>
      </c>
      <c r="Y424">
        <v>0.03</v>
      </c>
      <c r="Z424" s="3">
        <f t="shared" si="6"/>
        <v>55.252121739130438</v>
      </c>
    </row>
    <row r="425" spans="1:26" hidden="1">
      <c r="A425" t="s">
        <v>706</v>
      </c>
      <c r="B425" s="6">
        <v>44287</v>
      </c>
      <c r="C425" s="6">
        <v>44651</v>
      </c>
      <c r="D425">
        <v>20210401</v>
      </c>
      <c r="E425">
        <v>20220331</v>
      </c>
      <c r="F425" t="s">
        <v>1632</v>
      </c>
      <c r="G425" t="s">
        <v>1633</v>
      </c>
      <c r="H425" t="s">
        <v>590</v>
      </c>
      <c r="I425" t="s">
        <v>805</v>
      </c>
      <c r="J425">
        <v>250</v>
      </c>
      <c r="K425">
        <v>15749.89</v>
      </c>
      <c r="L425">
        <v>335</v>
      </c>
      <c r="M425">
        <v>24790</v>
      </c>
      <c r="N425">
        <v>-400</v>
      </c>
      <c r="O425">
        <v>-26850</v>
      </c>
      <c r="X425">
        <v>185</v>
      </c>
      <c r="Y425">
        <v>13689.89</v>
      </c>
      <c r="Z425" s="3">
        <f t="shared" si="6"/>
        <v>67.125</v>
      </c>
    </row>
    <row r="426" spans="1:26" hidden="1">
      <c r="A426" t="s">
        <v>706</v>
      </c>
      <c r="B426" s="6">
        <v>44287</v>
      </c>
      <c r="C426" s="6">
        <v>44651</v>
      </c>
      <c r="D426">
        <v>20210401</v>
      </c>
      <c r="E426">
        <v>20220331</v>
      </c>
      <c r="F426" t="s">
        <v>1634</v>
      </c>
      <c r="G426" t="s">
        <v>1635</v>
      </c>
      <c r="H426" t="s">
        <v>590</v>
      </c>
      <c r="I426" t="s">
        <v>805</v>
      </c>
      <c r="J426">
        <v>335</v>
      </c>
      <c r="K426">
        <v>13796.54</v>
      </c>
      <c r="L426">
        <v>2650</v>
      </c>
      <c r="M426">
        <v>186150</v>
      </c>
      <c r="N426">
        <v>-2685</v>
      </c>
      <c r="O426">
        <v>-177832.19</v>
      </c>
      <c r="X426">
        <v>300</v>
      </c>
      <c r="Y426">
        <v>22114.35</v>
      </c>
      <c r="Z426" s="3">
        <f t="shared" si="6"/>
        <v>66.23172811918063</v>
      </c>
    </row>
    <row r="427" spans="1:26" hidden="1">
      <c r="A427" t="s">
        <v>706</v>
      </c>
      <c r="B427" s="6">
        <v>44287</v>
      </c>
      <c r="C427" s="6">
        <v>44651</v>
      </c>
      <c r="D427">
        <v>20210401</v>
      </c>
      <c r="E427">
        <v>20220331</v>
      </c>
      <c r="F427" t="s">
        <v>1636</v>
      </c>
      <c r="G427" t="s">
        <v>1637</v>
      </c>
      <c r="H427" t="s">
        <v>590</v>
      </c>
      <c r="I427" t="s">
        <v>805</v>
      </c>
      <c r="K427">
        <v>10.73</v>
      </c>
      <c r="L427">
        <v>2260</v>
      </c>
      <c r="M427">
        <v>1286112.5</v>
      </c>
      <c r="N427">
        <v>-2130</v>
      </c>
      <c r="O427">
        <v>-1208038.43</v>
      </c>
      <c r="X427">
        <v>130</v>
      </c>
      <c r="Y427">
        <v>78084.800000000003</v>
      </c>
      <c r="Z427" s="3">
        <f t="shared" si="6"/>
        <v>567.15419248826288</v>
      </c>
    </row>
    <row r="428" spans="1:26" hidden="1">
      <c r="A428" t="s">
        <v>706</v>
      </c>
      <c r="B428" s="6">
        <v>44287</v>
      </c>
      <c r="C428" s="6">
        <v>44651</v>
      </c>
      <c r="D428">
        <v>20210401</v>
      </c>
      <c r="E428">
        <v>20220331</v>
      </c>
      <c r="F428" t="s">
        <v>1638</v>
      </c>
      <c r="G428" t="s">
        <v>1639</v>
      </c>
      <c r="H428" t="s">
        <v>590</v>
      </c>
      <c r="I428" t="s">
        <v>805</v>
      </c>
      <c r="J428">
        <v>42</v>
      </c>
      <c r="K428">
        <v>2310</v>
      </c>
      <c r="N428">
        <v>-42</v>
      </c>
      <c r="O428">
        <v>-2310</v>
      </c>
      <c r="Z428" s="3">
        <f t="shared" si="6"/>
        <v>55</v>
      </c>
    </row>
    <row r="429" spans="1:26" hidden="1">
      <c r="A429" t="s">
        <v>706</v>
      </c>
      <c r="B429" s="6">
        <v>44287</v>
      </c>
      <c r="C429" s="6">
        <v>44651</v>
      </c>
      <c r="D429">
        <v>20210401</v>
      </c>
      <c r="E429">
        <v>20220331</v>
      </c>
      <c r="F429" t="s">
        <v>1640</v>
      </c>
      <c r="G429" t="s">
        <v>1641</v>
      </c>
      <c r="H429" t="s">
        <v>590</v>
      </c>
      <c r="I429" t="s">
        <v>805</v>
      </c>
      <c r="J429">
        <v>5</v>
      </c>
      <c r="K429">
        <v>2416.67</v>
      </c>
      <c r="N429">
        <v>-5</v>
      </c>
      <c r="O429">
        <v>-2416.67</v>
      </c>
      <c r="Z429" s="3">
        <f t="shared" si="6"/>
        <v>483.334</v>
      </c>
    </row>
    <row r="430" spans="1:26" hidden="1">
      <c r="A430" t="s">
        <v>706</v>
      </c>
      <c r="B430" s="6">
        <v>44287</v>
      </c>
      <c r="C430" s="6">
        <v>44651</v>
      </c>
      <c r="D430">
        <v>20210401</v>
      </c>
      <c r="E430">
        <v>20220331</v>
      </c>
      <c r="F430" t="s">
        <v>1642</v>
      </c>
      <c r="G430" t="s">
        <v>1643</v>
      </c>
      <c r="H430" t="s">
        <v>590</v>
      </c>
      <c r="I430" t="s">
        <v>805</v>
      </c>
      <c r="K430">
        <v>0.02</v>
      </c>
      <c r="L430">
        <v>227</v>
      </c>
      <c r="M430">
        <v>13620</v>
      </c>
      <c r="N430">
        <v>-235</v>
      </c>
      <c r="O430">
        <v>-14100</v>
      </c>
      <c r="P430">
        <v>8</v>
      </c>
      <c r="Q430">
        <v>480</v>
      </c>
      <c r="Y430">
        <v>0.02</v>
      </c>
      <c r="Z430" s="3">
        <f t="shared" si="6"/>
        <v>60</v>
      </c>
    </row>
    <row r="431" spans="1:26" hidden="1">
      <c r="A431" t="s">
        <v>706</v>
      </c>
      <c r="B431" s="6">
        <v>44287</v>
      </c>
      <c r="C431" s="6">
        <v>44651</v>
      </c>
      <c r="D431">
        <v>20210401</v>
      </c>
      <c r="E431">
        <v>20220331</v>
      </c>
      <c r="F431" t="s">
        <v>1644</v>
      </c>
      <c r="G431" t="s">
        <v>1645</v>
      </c>
      <c r="H431" t="s">
        <v>590</v>
      </c>
      <c r="I431" t="s">
        <v>805</v>
      </c>
      <c r="K431">
        <v>0.03</v>
      </c>
      <c r="Y431">
        <v>0.03</v>
      </c>
      <c r="Z431" s="3" t="e">
        <f t="shared" si="6"/>
        <v>#DIV/0!</v>
      </c>
    </row>
    <row r="432" spans="1:26" hidden="1">
      <c r="A432" t="s">
        <v>706</v>
      </c>
      <c r="B432" s="6">
        <v>44287</v>
      </c>
      <c r="C432" s="6">
        <v>44651</v>
      </c>
      <c r="D432">
        <v>20210401</v>
      </c>
      <c r="E432">
        <v>20220331</v>
      </c>
      <c r="F432" t="s">
        <v>1646</v>
      </c>
      <c r="G432" t="s">
        <v>1647</v>
      </c>
      <c r="H432" t="s">
        <v>590</v>
      </c>
      <c r="I432" t="s">
        <v>805</v>
      </c>
      <c r="L432">
        <v>4</v>
      </c>
      <c r="M432">
        <v>1120</v>
      </c>
      <c r="N432">
        <v>-4</v>
      </c>
      <c r="O432">
        <v>-1120</v>
      </c>
      <c r="Z432" s="3">
        <f t="shared" si="6"/>
        <v>280</v>
      </c>
    </row>
    <row r="433" spans="1:26" hidden="1">
      <c r="A433" t="s">
        <v>706</v>
      </c>
      <c r="B433" s="6">
        <v>44287</v>
      </c>
      <c r="C433" s="6">
        <v>44651</v>
      </c>
      <c r="D433">
        <v>20210401</v>
      </c>
      <c r="E433">
        <v>20220331</v>
      </c>
      <c r="F433" t="s">
        <v>1648</v>
      </c>
      <c r="G433" t="s">
        <v>1649</v>
      </c>
      <c r="H433" t="s">
        <v>590</v>
      </c>
      <c r="I433" t="s">
        <v>805</v>
      </c>
      <c r="J433">
        <v>61</v>
      </c>
      <c r="K433">
        <v>5126.46</v>
      </c>
      <c r="L433">
        <v>10</v>
      </c>
      <c r="M433">
        <v>700</v>
      </c>
      <c r="N433">
        <v>-61</v>
      </c>
      <c r="O433">
        <v>-5126.45</v>
      </c>
      <c r="X433">
        <v>10</v>
      </c>
      <c r="Y433">
        <v>700.01</v>
      </c>
      <c r="Z433" s="3">
        <f t="shared" si="6"/>
        <v>84.040163934426232</v>
      </c>
    </row>
    <row r="434" spans="1:26" hidden="1">
      <c r="A434" t="s">
        <v>706</v>
      </c>
      <c r="B434" s="6">
        <v>44287</v>
      </c>
      <c r="C434" s="6">
        <v>44651</v>
      </c>
      <c r="D434">
        <v>20210401</v>
      </c>
      <c r="E434">
        <v>20220331</v>
      </c>
      <c r="F434" t="s">
        <v>1650</v>
      </c>
      <c r="G434" t="s">
        <v>1651</v>
      </c>
      <c r="H434" t="s">
        <v>590</v>
      </c>
      <c r="I434" t="s">
        <v>805</v>
      </c>
      <c r="J434">
        <v>224</v>
      </c>
      <c r="K434">
        <v>72384.06</v>
      </c>
      <c r="L434">
        <v>700</v>
      </c>
      <c r="M434">
        <v>86000</v>
      </c>
      <c r="N434">
        <v>-749</v>
      </c>
      <c r="O434">
        <v>-91252.87</v>
      </c>
      <c r="X434">
        <v>175</v>
      </c>
      <c r="Y434">
        <v>67131.19</v>
      </c>
      <c r="Z434" s="3">
        <f t="shared" si="6"/>
        <v>121.83293724966622</v>
      </c>
    </row>
    <row r="435" spans="1:26" hidden="1">
      <c r="A435" t="s">
        <v>706</v>
      </c>
      <c r="B435" s="6">
        <v>44287</v>
      </c>
      <c r="C435" s="6">
        <v>44651</v>
      </c>
      <c r="D435">
        <v>20210401</v>
      </c>
      <c r="E435">
        <v>20220331</v>
      </c>
      <c r="F435" t="s">
        <v>1652</v>
      </c>
      <c r="G435" t="s">
        <v>1653</v>
      </c>
      <c r="H435" t="s">
        <v>590</v>
      </c>
      <c r="I435" t="s">
        <v>805</v>
      </c>
      <c r="J435">
        <v>520</v>
      </c>
      <c r="K435">
        <v>242590.59</v>
      </c>
      <c r="N435">
        <v>-520</v>
      </c>
      <c r="O435">
        <v>-242590.66</v>
      </c>
      <c r="Y435">
        <v>-7.0000000000000007E-2</v>
      </c>
      <c r="Z435" s="3">
        <f t="shared" si="6"/>
        <v>466.52050000000003</v>
      </c>
    </row>
    <row r="436" spans="1:26" hidden="1">
      <c r="A436" t="s">
        <v>706</v>
      </c>
      <c r="B436" s="6">
        <v>44287</v>
      </c>
      <c r="C436" s="6">
        <v>44651</v>
      </c>
      <c r="D436">
        <v>20210401</v>
      </c>
      <c r="E436">
        <v>20220331</v>
      </c>
      <c r="F436" t="s">
        <v>1654</v>
      </c>
      <c r="G436" t="s">
        <v>1655</v>
      </c>
      <c r="H436" t="s">
        <v>590</v>
      </c>
      <c r="I436" t="s">
        <v>805</v>
      </c>
      <c r="J436">
        <v>180</v>
      </c>
      <c r="K436">
        <v>17257.36</v>
      </c>
      <c r="L436">
        <v>610</v>
      </c>
      <c r="M436">
        <v>62770</v>
      </c>
      <c r="N436">
        <v>-740</v>
      </c>
      <c r="O436">
        <v>-74965.14</v>
      </c>
      <c r="X436">
        <v>50</v>
      </c>
      <c r="Y436">
        <v>5062.22</v>
      </c>
      <c r="Z436" s="3">
        <f t="shared" si="6"/>
        <v>101.30424324324325</v>
      </c>
    </row>
    <row r="437" spans="1:26" hidden="1">
      <c r="A437" t="s">
        <v>706</v>
      </c>
      <c r="B437" s="6">
        <v>44287</v>
      </c>
      <c r="C437" s="6">
        <v>44651</v>
      </c>
      <c r="D437">
        <v>20210401</v>
      </c>
      <c r="E437">
        <v>20220331</v>
      </c>
      <c r="F437" t="s">
        <v>1656</v>
      </c>
      <c r="G437" t="s">
        <v>1657</v>
      </c>
      <c r="H437" t="s">
        <v>590</v>
      </c>
      <c r="I437" t="s">
        <v>805</v>
      </c>
      <c r="J437">
        <v>114</v>
      </c>
      <c r="K437">
        <v>3192</v>
      </c>
      <c r="L437">
        <v>3320</v>
      </c>
      <c r="M437">
        <v>92960</v>
      </c>
      <c r="N437">
        <v>-3284</v>
      </c>
      <c r="O437">
        <v>-91952</v>
      </c>
      <c r="X437">
        <v>150</v>
      </c>
      <c r="Y437">
        <v>4200</v>
      </c>
      <c r="Z437" s="3">
        <f t="shared" si="6"/>
        <v>28</v>
      </c>
    </row>
    <row r="438" spans="1:26" hidden="1">
      <c r="A438" t="s">
        <v>706</v>
      </c>
      <c r="B438" s="6">
        <v>44287</v>
      </c>
      <c r="C438" s="6">
        <v>44651</v>
      </c>
      <c r="D438">
        <v>20210401</v>
      </c>
      <c r="E438">
        <v>20220331</v>
      </c>
      <c r="F438" t="s">
        <v>1658</v>
      </c>
      <c r="G438" t="s">
        <v>1659</v>
      </c>
      <c r="H438" t="s">
        <v>590</v>
      </c>
      <c r="I438" t="s">
        <v>805</v>
      </c>
      <c r="L438">
        <v>10</v>
      </c>
      <c r="M438">
        <v>250</v>
      </c>
      <c r="N438">
        <v>-10</v>
      </c>
      <c r="O438">
        <v>-250</v>
      </c>
      <c r="Z438" s="3">
        <f t="shared" si="6"/>
        <v>25</v>
      </c>
    </row>
    <row r="439" spans="1:26" hidden="1">
      <c r="A439" t="s">
        <v>706</v>
      </c>
      <c r="B439" s="6">
        <v>44287</v>
      </c>
      <c r="C439" s="6">
        <v>44651</v>
      </c>
      <c r="D439">
        <v>20210401</v>
      </c>
      <c r="E439">
        <v>20220331</v>
      </c>
      <c r="F439" t="s">
        <v>1660</v>
      </c>
      <c r="G439" t="s">
        <v>1661</v>
      </c>
      <c r="H439" t="s">
        <v>590</v>
      </c>
      <c r="I439" t="s">
        <v>805</v>
      </c>
      <c r="L439">
        <v>10</v>
      </c>
      <c r="M439">
        <v>250</v>
      </c>
      <c r="N439">
        <v>-10</v>
      </c>
      <c r="O439">
        <v>-250</v>
      </c>
      <c r="Z439" s="3">
        <f t="shared" si="6"/>
        <v>25</v>
      </c>
    </row>
    <row r="440" spans="1:26" hidden="1">
      <c r="A440" t="s">
        <v>706</v>
      </c>
      <c r="B440" s="6">
        <v>44287</v>
      </c>
      <c r="C440" s="6">
        <v>44651</v>
      </c>
      <c r="D440">
        <v>20210401</v>
      </c>
      <c r="E440">
        <v>20220331</v>
      </c>
      <c r="F440" t="s">
        <v>1662</v>
      </c>
      <c r="G440" t="s">
        <v>1663</v>
      </c>
      <c r="H440" t="s">
        <v>590</v>
      </c>
      <c r="I440" t="s">
        <v>805</v>
      </c>
      <c r="J440">
        <v>73</v>
      </c>
      <c r="K440">
        <v>16060</v>
      </c>
      <c r="L440">
        <v>38</v>
      </c>
      <c r="M440">
        <v>9860</v>
      </c>
      <c r="N440">
        <v>-111</v>
      </c>
      <c r="O440">
        <v>-25920</v>
      </c>
      <c r="Z440" s="3">
        <f t="shared" si="6"/>
        <v>233.51351351351352</v>
      </c>
    </row>
    <row r="441" spans="1:26" hidden="1">
      <c r="A441" t="s">
        <v>706</v>
      </c>
      <c r="B441" s="6">
        <v>44287</v>
      </c>
      <c r="C441" s="6">
        <v>44651</v>
      </c>
      <c r="D441">
        <v>20210401</v>
      </c>
      <c r="E441">
        <v>20220331</v>
      </c>
      <c r="F441" t="s">
        <v>1664</v>
      </c>
      <c r="G441" t="s">
        <v>1665</v>
      </c>
      <c r="H441" t="s">
        <v>590</v>
      </c>
      <c r="I441" t="s">
        <v>805</v>
      </c>
      <c r="J441">
        <v>100</v>
      </c>
      <c r="K441">
        <v>2300</v>
      </c>
      <c r="N441">
        <v>-100</v>
      </c>
      <c r="O441">
        <v>-2300</v>
      </c>
      <c r="Z441" s="3">
        <f t="shared" si="6"/>
        <v>23</v>
      </c>
    </row>
    <row r="442" spans="1:26" hidden="1">
      <c r="A442" t="s">
        <v>706</v>
      </c>
      <c r="B442" s="6">
        <v>44287</v>
      </c>
      <c r="C442" s="6">
        <v>44651</v>
      </c>
      <c r="D442">
        <v>20210401</v>
      </c>
      <c r="E442">
        <v>20220331</v>
      </c>
      <c r="F442" t="s">
        <v>1666</v>
      </c>
      <c r="G442" t="s">
        <v>1667</v>
      </c>
      <c r="H442" t="s">
        <v>590</v>
      </c>
      <c r="I442" t="s">
        <v>805</v>
      </c>
      <c r="L442">
        <v>990</v>
      </c>
      <c r="M442">
        <v>14850</v>
      </c>
      <c r="N442">
        <v>-550</v>
      </c>
      <c r="O442">
        <v>-8250.08</v>
      </c>
      <c r="X442">
        <v>440</v>
      </c>
      <c r="Y442">
        <v>6599.92</v>
      </c>
      <c r="Z442" s="3">
        <f t="shared" si="6"/>
        <v>15.000145454545454</v>
      </c>
    </row>
    <row r="443" spans="1:26" hidden="1">
      <c r="A443" t="s">
        <v>706</v>
      </c>
      <c r="B443" s="6">
        <v>44287</v>
      </c>
      <c r="C443" s="6">
        <v>44651</v>
      </c>
      <c r="D443">
        <v>20210401</v>
      </c>
      <c r="E443">
        <v>20220331</v>
      </c>
      <c r="F443" t="s">
        <v>1668</v>
      </c>
      <c r="G443" t="s">
        <v>1669</v>
      </c>
      <c r="H443" t="s">
        <v>590</v>
      </c>
      <c r="I443" t="s">
        <v>805</v>
      </c>
      <c r="J443">
        <v>245</v>
      </c>
      <c r="K443">
        <v>2205</v>
      </c>
      <c r="L443">
        <v>2070</v>
      </c>
      <c r="M443">
        <v>18630</v>
      </c>
      <c r="N443">
        <v>-2215</v>
      </c>
      <c r="O443">
        <v>-19935</v>
      </c>
      <c r="X443">
        <v>100</v>
      </c>
      <c r="Y443">
        <v>900</v>
      </c>
      <c r="Z443" s="3">
        <f t="shared" si="6"/>
        <v>9</v>
      </c>
    </row>
    <row r="444" spans="1:26" hidden="1">
      <c r="A444" t="s">
        <v>706</v>
      </c>
      <c r="B444" s="6">
        <v>44287</v>
      </c>
      <c r="C444" s="6">
        <v>44651</v>
      </c>
      <c r="D444">
        <v>20210401</v>
      </c>
      <c r="E444">
        <v>20220331</v>
      </c>
      <c r="F444" t="s">
        <v>1670</v>
      </c>
      <c r="G444" t="s">
        <v>1671</v>
      </c>
      <c r="H444" t="s">
        <v>590</v>
      </c>
      <c r="I444" t="s">
        <v>805</v>
      </c>
      <c r="J444">
        <v>105</v>
      </c>
      <c r="K444">
        <v>4724.99</v>
      </c>
      <c r="L444">
        <v>250</v>
      </c>
      <c r="M444">
        <v>10840</v>
      </c>
      <c r="N444">
        <v>-260</v>
      </c>
      <c r="O444">
        <v>-11568.22</v>
      </c>
      <c r="X444">
        <v>95</v>
      </c>
      <c r="Y444">
        <v>3996.77</v>
      </c>
      <c r="Z444" s="3">
        <f t="shared" si="6"/>
        <v>44.493153846153845</v>
      </c>
    </row>
    <row r="445" spans="1:26" hidden="1">
      <c r="A445" t="s">
        <v>706</v>
      </c>
      <c r="B445" s="6">
        <v>44287</v>
      </c>
      <c r="C445" s="6">
        <v>44651</v>
      </c>
      <c r="D445">
        <v>20210401</v>
      </c>
      <c r="E445">
        <v>20220331</v>
      </c>
      <c r="F445" t="s">
        <v>1672</v>
      </c>
      <c r="G445" t="s">
        <v>1673</v>
      </c>
      <c r="H445" t="s">
        <v>590</v>
      </c>
      <c r="I445" t="s">
        <v>805</v>
      </c>
      <c r="J445">
        <v>401</v>
      </c>
      <c r="K445">
        <v>6014.91</v>
      </c>
      <c r="L445">
        <v>1905</v>
      </c>
      <c r="M445">
        <v>28575</v>
      </c>
      <c r="N445">
        <v>-2206</v>
      </c>
      <c r="O445">
        <v>-33090</v>
      </c>
      <c r="X445">
        <v>100</v>
      </c>
      <c r="Y445">
        <v>1499.91</v>
      </c>
      <c r="Z445" s="3">
        <f t="shared" si="6"/>
        <v>15</v>
      </c>
    </row>
    <row r="446" spans="1:26" hidden="1">
      <c r="A446" t="s">
        <v>706</v>
      </c>
      <c r="B446" s="6">
        <v>44287</v>
      </c>
      <c r="C446" s="6">
        <v>44651</v>
      </c>
      <c r="D446">
        <v>20210401</v>
      </c>
      <c r="E446">
        <v>20220331</v>
      </c>
      <c r="F446" t="s">
        <v>1674</v>
      </c>
      <c r="G446" t="s">
        <v>1675</v>
      </c>
      <c r="H446" t="s">
        <v>590</v>
      </c>
      <c r="I446" t="s">
        <v>805</v>
      </c>
      <c r="J446">
        <v>10</v>
      </c>
      <c r="K446">
        <v>3432</v>
      </c>
      <c r="L446">
        <v>120</v>
      </c>
      <c r="M446">
        <v>41184</v>
      </c>
      <c r="N446">
        <v>-130</v>
      </c>
      <c r="O446">
        <v>-44616</v>
      </c>
      <c r="Z446" s="3">
        <f t="shared" si="6"/>
        <v>343.2</v>
      </c>
    </row>
    <row r="447" spans="1:26" hidden="1">
      <c r="A447" t="s">
        <v>706</v>
      </c>
      <c r="B447" s="6">
        <v>44287</v>
      </c>
      <c r="C447" s="6">
        <v>44651</v>
      </c>
      <c r="D447">
        <v>20210401</v>
      </c>
      <c r="E447">
        <v>20220331</v>
      </c>
      <c r="F447" t="s">
        <v>1676</v>
      </c>
      <c r="G447" t="s">
        <v>1677</v>
      </c>
      <c r="H447" t="s">
        <v>590</v>
      </c>
      <c r="I447" t="s">
        <v>805</v>
      </c>
      <c r="J447">
        <v>222</v>
      </c>
      <c r="K447">
        <v>56543.87</v>
      </c>
      <c r="L447">
        <v>1010</v>
      </c>
      <c r="M447">
        <v>240380</v>
      </c>
      <c r="N447">
        <v>-1142</v>
      </c>
      <c r="O447">
        <v>-271646.26</v>
      </c>
      <c r="X447">
        <v>90</v>
      </c>
      <c r="Y447">
        <v>25277.61</v>
      </c>
      <c r="Z447" s="3">
        <f t="shared" si="6"/>
        <v>237.86887915936953</v>
      </c>
    </row>
    <row r="448" spans="1:26" hidden="1">
      <c r="A448" t="s">
        <v>706</v>
      </c>
      <c r="B448" s="6">
        <v>44287</v>
      </c>
      <c r="C448" s="6">
        <v>44651</v>
      </c>
      <c r="D448">
        <v>20210401</v>
      </c>
      <c r="E448">
        <v>20220331</v>
      </c>
      <c r="F448" t="s">
        <v>1678</v>
      </c>
      <c r="G448" t="s">
        <v>1679</v>
      </c>
      <c r="H448" t="s">
        <v>590</v>
      </c>
      <c r="I448" t="s">
        <v>805</v>
      </c>
      <c r="J448">
        <v>33</v>
      </c>
      <c r="K448">
        <v>4934.79</v>
      </c>
      <c r="L448">
        <v>60</v>
      </c>
      <c r="M448">
        <v>11400</v>
      </c>
      <c r="N448">
        <v>-76</v>
      </c>
      <c r="O448">
        <v>-13257.59</v>
      </c>
      <c r="X448">
        <v>17</v>
      </c>
      <c r="Y448">
        <v>3077.2</v>
      </c>
      <c r="Z448" s="3">
        <f t="shared" si="6"/>
        <v>174.44197368421052</v>
      </c>
    </row>
    <row r="449" spans="1:26" hidden="1">
      <c r="A449" t="s">
        <v>706</v>
      </c>
      <c r="B449" s="6">
        <v>44287</v>
      </c>
      <c r="C449" s="6">
        <v>44651</v>
      </c>
      <c r="D449">
        <v>20210401</v>
      </c>
      <c r="E449">
        <v>20220331</v>
      </c>
      <c r="F449" t="s">
        <v>1680</v>
      </c>
      <c r="G449" t="s">
        <v>1681</v>
      </c>
      <c r="H449" t="s">
        <v>590</v>
      </c>
      <c r="I449" t="s">
        <v>805</v>
      </c>
      <c r="L449">
        <v>100</v>
      </c>
      <c r="M449">
        <v>31200</v>
      </c>
      <c r="N449">
        <v>-65</v>
      </c>
      <c r="O449">
        <v>-20280</v>
      </c>
      <c r="X449">
        <v>35</v>
      </c>
      <c r="Y449">
        <v>10920</v>
      </c>
      <c r="Z449" s="3">
        <f t="shared" si="6"/>
        <v>312</v>
      </c>
    </row>
    <row r="450" spans="1:26" hidden="1">
      <c r="A450" t="s">
        <v>706</v>
      </c>
      <c r="B450" s="6">
        <v>44287</v>
      </c>
      <c r="C450" s="6">
        <v>44651</v>
      </c>
      <c r="D450">
        <v>20210401</v>
      </c>
      <c r="E450">
        <v>20220331</v>
      </c>
      <c r="F450" t="s">
        <v>1682</v>
      </c>
      <c r="G450" t="s">
        <v>1683</v>
      </c>
      <c r="H450" t="s">
        <v>590</v>
      </c>
      <c r="I450" t="s">
        <v>805</v>
      </c>
      <c r="J450">
        <v>176</v>
      </c>
      <c r="K450">
        <v>53327.27</v>
      </c>
      <c r="L450">
        <v>895</v>
      </c>
      <c r="M450">
        <v>271185</v>
      </c>
      <c r="N450">
        <v>-956</v>
      </c>
      <c r="O450">
        <v>-289667.45</v>
      </c>
      <c r="X450">
        <v>115</v>
      </c>
      <c r="Y450">
        <v>34844.82</v>
      </c>
      <c r="Z450" s="3">
        <f t="shared" si="6"/>
        <v>302.99942468619247</v>
      </c>
    </row>
    <row r="451" spans="1:26" hidden="1">
      <c r="A451" t="s">
        <v>706</v>
      </c>
      <c r="B451" s="6">
        <v>44287</v>
      </c>
      <c r="C451" s="6">
        <v>44651</v>
      </c>
      <c r="D451">
        <v>20210401</v>
      </c>
      <c r="E451">
        <v>20220331</v>
      </c>
      <c r="F451" t="s">
        <v>1684</v>
      </c>
      <c r="G451" t="s">
        <v>1685</v>
      </c>
      <c r="H451" t="s">
        <v>590</v>
      </c>
      <c r="I451" t="s">
        <v>805</v>
      </c>
      <c r="J451">
        <v>37</v>
      </c>
      <c r="K451">
        <v>10890.66</v>
      </c>
      <c r="L451">
        <v>10</v>
      </c>
      <c r="M451">
        <v>2870</v>
      </c>
      <c r="N451">
        <v>-37</v>
      </c>
      <c r="O451">
        <v>-10890.64</v>
      </c>
      <c r="X451">
        <v>10</v>
      </c>
      <c r="Y451">
        <v>2870.02</v>
      </c>
      <c r="Z451" s="3">
        <f t="shared" ref="Z451:Z514" si="7">IFERROR((O451+Q451)/(N451+P451),Y451/X451)</f>
        <v>294.34162162162158</v>
      </c>
    </row>
    <row r="452" spans="1:26" hidden="1">
      <c r="A452" t="s">
        <v>706</v>
      </c>
      <c r="B452" s="6">
        <v>44287</v>
      </c>
      <c r="C452" s="6">
        <v>44651</v>
      </c>
      <c r="D452">
        <v>20210401</v>
      </c>
      <c r="E452">
        <v>20220331</v>
      </c>
      <c r="F452" t="s">
        <v>1686</v>
      </c>
      <c r="G452" t="s">
        <v>1687</v>
      </c>
      <c r="H452" t="s">
        <v>590</v>
      </c>
      <c r="I452" t="s">
        <v>805</v>
      </c>
      <c r="J452">
        <v>9</v>
      </c>
      <c r="K452">
        <v>4967.8</v>
      </c>
      <c r="L452">
        <v>40</v>
      </c>
      <c r="M452">
        <v>22080</v>
      </c>
      <c r="N452">
        <v>-13</v>
      </c>
      <c r="O452">
        <v>-7175.81</v>
      </c>
      <c r="X452">
        <v>36</v>
      </c>
      <c r="Y452">
        <v>19871.990000000002</v>
      </c>
      <c r="Z452" s="3">
        <f t="shared" si="7"/>
        <v>551.98538461538465</v>
      </c>
    </row>
    <row r="453" spans="1:26" hidden="1">
      <c r="A453" t="s">
        <v>706</v>
      </c>
      <c r="B453" s="6">
        <v>44287</v>
      </c>
      <c r="C453" s="6">
        <v>44651</v>
      </c>
      <c r="D453">
        <v>20210401</v>
      </c>
      <c r="E453">
        <v>20220331</v>
      </c>
      <c r="F453" t="s">
        <v>1688</v>
      </c>
      <c r="G453" t="s">
        <v>1689</v>
      </c>
      <c r="H453" t="s">
        <v>590</v>
      </c>
      <c r="I453" t="s">
        <v>805</v>
      </c>
      <c r="J453">
        <v>50</v>
      </c>
      <c r="K453">
        <v>2750</v>
      </c>
      <c r="L453">
        <v>100</v>
      </c>
      <c r="M453">
        <v>5500</v>
      </c>
      <c r="N453">
        <v>-150</v>
      </c>
      <c r="O453">
        <v>-8250</v>
      </c>
      <c r="Z453" s="3">
        <f t="shared" si="7"/>
        <v>55</v>
      </c>
    </row>
    <row r="454" spans="1:26" hidden="1">
      <c r="A454" t="s">
        <v>706</v>
      </c>
      <c r="B454" s="6">
        <v>44287</v>
      </c>
      <c r="C454" s="6">
        <v>44651</v>
      </c>
      <c r="D454">
        <v>20210401</v>
      </c>
      <c r="E454">
        <v>20220331</v>
      </c>
      <c r="F454" t="s">
        <v>1690</v>
      </c>
      <c r="G454" t="s">
        <v>1691</v>
      </c>
      <c r="H454" t="s">
        <v>590</v>
      </c>
      <c r="I454" t="s">
        <v>805</v>
      </c>
      <c r="J454">
        <v>100</v>
      </c>
      <c r="K454">
        <v>22654.22</v>
      </c>
      <c r="L454">
        <v>1270</v>
      </c>
      <c r="M454">
        <v>340360</v>
      </c>
      <c r="N454">
        <v>-1311</v>
      </c>
      <c r="O454">
        <v>-350602.26</v>
      </c>
      <c r="X454">
        <v>59</v>
      </c>
      <c r="Y454">
        <v>12411.96</v>
      </c>
      <c r="Z454" s="3">
        <f t="shared" si="7"/>
        <v>267.43116704805493</v>
      </c>
    </row>
    <row r="455" spans="1:26" hidden="1">
      <c r="A455" t="s">
        <v>706</v>
      </c>
      <c r="B455" s="6">
        <v>44287</v>
      </c>
      <c r="C455" s="6">
        <v>44651</v>
      </c>
      <c r="D455">
        <v>20210401</v>
      </c>
      <c r="E455">
        <v>20220331</v>
      </c>
      <c r="F455" t="s">
        <v>1692</v>
      </c>
      <c r="G455" t="s">
        <v>1693</v>
      </c>
      <c r="H455" t="s">
        <v>590</v>
      </c>
      <c r="I455" t="s">
        <v>805</v>
      </c>
      <c r="J455">
        <v>222</v>
      </c>
      <c r="K455">
        <v>86072.83</v>
      </c>
      <c r="L455">
        <v>735</v>
      </c>
      <c r="M455">
        <v>300615</v>
      </c>
      <c r="N455">
        <v>-957</v>
      </c>
      <c r="O455">
        <v>-391370.57</v>
      </c>
      <c r="Y455">
        <v>-4682.74</v>
      </c>
      <c r="Z455" s="3">
        <f t="shared" si="7"/>
        <v>408.95566353187041</v>
      </c>
    </row>
    <row r="456" spans="1:26" hidden="1">
      <c r="A456" t="s">
        <v>706</v>
      </c>
      <c r="B456" s="6">
        <v>44287</v>
      </c>
      <c r="C456" s="6">
        <v>44651</v>
      </c>
      <c r="D456">
        <v>20210401</v>
      </c>
      <c r="E456">
        <v>20220331</v>
      </c>
      <c r="F456" t="s">
        <v>1694</v>
      </c>
      <c r="G456" t="s">
        <v>1695</v>
      </c>
      <c r="H456" t="s">
        <v>590</v>
      </c>
      <c r="I456" t="s">
        <v>805</v>
      </c>
      <c r="J456">
        <v>100</v>
      </c>
      <c r="K456">
        <v>5000</v>
      </c>
      <c r="L456">
        <v>803</v>
      </c>
      <c r="M456">
        <v>35870</v>
      </c>
      <c r="N456">
        <v>-773</v>
      </c>
      <c r="O456">
        <v>-35402.51</v>
      </c>
      <c r="X456">
        <v>130</v>
      </c>
      <c r="Y456">
        <v>5467.49</v>
      </c>
      <c r="Z456" s="3">
        <f t="shared" si="7"/>
        <v>45.798848641655887</v>
      </c>
    </row>
    <row r="457" spans="1:26" hidden="1">
      <c r="A457" t="s">
        <v>706</v>
      </c>
      <c r="B457" s="6">
        <v>44287</v>
      </c>
      <c r="C457" s="6">
        <v>44651</v>
      </c>
      <c r="D457">
        <v>20210401</v>
      </c>
      <c r="E457">
        <v>20220331</v>
      </c>
      <c r="F457" t="s">
        <v>1696</v>
      </c>
      <c r="G457" t="s">
        <v>1697</v>
      </c>
      <c r="H457" t="s">
        <v>590</v>
      </c>
      <c r="I457" t="s">
        <v>805</v>
      </c>
      <c r="J457">
        <v>390</v>
      </c>
      <c r="K457">
        <v>8735.9</v>
      </c>
      <c r="L457">
        <v>1655</v>
      </c>
      <c r="M457">
        <v>37072</v>
      </c>
      <c r="N457">
        <v>-1945</v>
      </c>
      <c r="O457">
        <v>-43567.88</v>
      </c>
      <c r="X457">
        <v>100</v>
      </c>
      <c r="Y457">
        <v>2240.02</v>
      </c>
      <c r="Z457" s="3">
        <f t="shared" si="7"/>
        <v>22.399938303341902</v>
      </c>
    </row>
    <row r="458" spans="1:26" hidden="1">
      <c r="A458" t="s">
        <v>706</v>
      </c>
      <c r="B458" s="6">
        <v>44287</v>
      </c>
      <c r="C458" s="6">
        <v>44651</v>
      </c>
      <c r="D458">
        <v>20210401</v>
      </c>
      <c r="E458">
        <v>20220331</v>
      </c>
      <c r="F458" t="s">
        <v>1698</v>
      </c>
      <c r="G458" t="s">
        <v>1699</v>
      </c>
      <c r="H458" t="s">
        <v>590</v>
      </c>
      <c r="I458" t="s">
        <v>805</v>
      </c>
      <c r="J458">
        <v>67</v>
      </c>
      <c r="K458">
        <v>1005</v>
      </c>
      <c r="N458">
        <v>-67</v>
      </c>
      <c r="O458">
        <v>-1005</v>
      </c>
      <c r="Z458" s="3">
        <f t="shared" si="7"/>
        <v>15</v>
      </c>
    </row>
    <row r="459" spans="1:26" hidden="1">
      <c r="A459" t="s">
        <v>706</v>
      </c>
      <c r="B459" s="6">
        <v>44287</v>
      </c>
      <c r="C459" s="6">
        <v>44651</v>
      </c>
      <c r="D459">
        <v>20210401</v>
      </c>
      <c r="E459">
        <v>20220331</v>
      </c>
      <c r="F459" t="s">
        <v>1700</v>
      </c>
      <c r="G459" t="s">
        <v>1701</v>
      </c>
      <c r="H459" t="s">
        <v>590</v>
      </c>
      <c r="I459" t="s">
        <v>805</v>
      </c>
      <c r="J459">
        <v>249</v>
      </c>
      <c r="K459">
        <v>6972</v>
      </c>
      <c r="L459">
        <v>995</v>
      </c>
      <c r="M459">
        <v>27860</v>
      </c>
      <c r="N459">
        <v>-1194</v>
      </c>
      <c r="O459">
        <v>-33432</v>
      </c>
      <c r="X459">
        <v>50</v>
      </c>
      <c r="Y459">
        <v>1400</v>
      </c>
      <c r="Z459" s="3">
        <f t="shared" si="7"/>
        <v>28</v>
      </c>
    </row>
    <row r="460" spans="1:26" hidden="1">
      <c r="A460" t="s">
        <v>706</v>
      </c>
      <c r="B460" s="6">
        <v>44287</v>
      </c>
      <c r="C460" s="6">
        <v>44651</v>
      </c>
      <c r="D460">
        <v>20210401</v>
      </c>
      <c r="E460">
        <v>20220331</v>
      </c>
      <c r="F460" t="s">
        <v>1702</v>
      </c>
      <c r="G460" t="s">
        <v>1703</v>
      </c>
      <c r="H460" t="s">
        <v>590</v>
      </c>
      <c r="I460" t="s">
        <v>805</v>
      </c>
      <c r="J460">
        <v>200</v>
      </c>
      <c r="K460">
        <v>5600</v>
      </c>
      <c r="L460">
        <v>450</v>
      </c>
      <c r="M460">
        <v>12600</v>
      </c>
      <c r="N460">
        <v>-450</v>
      </c>
      <c r="O460">
        <v>-12600</v>
      </c>
      <c r="X460">
        <v>200</v>
      </c>
      <c r="Y460">
        <v>5600</v>
      </c>
      <c r="Z460" s="3">
        <f t="shared" si="7"/>
        <v>28</v>
      </c>
    </row>
    <row r="461" spans="1:26" hidden="1">
      <c r="A461" t="s">
        <v>706</v>
      </c>
      <c r="B461" s="6">
        <v>44287</v>
      </c>
      <c r="C461" s="6">
        <v>44651</v>
      </c>
      <c r="D461">
        <v>20210401</v>
      </c>
      <c r="E461">
        <v>20220331</v>
      </c>
      <c r="F461" t="s">
        <v>1704</v>
      </c>
      <c r="G461" t="s">
        <v>1705</v>
      </c>
      <c r="H461" t="s">
        <v>590</v>
      </c>
      <c r="I461" t="s">
        <v>805</v>
      </c>
      <c r="L461">
        <v>945</v>
      </c>
      <c r="M461">
        <v>26460</v>
      </c>
      <c r="N461">
        <v>-775</v>
      </c>
      <c r="O461">
        <v>-21700</v>
      </c>
      <c r="X461">
        <v>170</v>
      </c>
      <c r="Y461">
        <v>4760</v>
      </c>
      <c r="Z461" s="3">
        <f t="shared" si="7"/>
        <v>28</v>
      </c>
    </row>
    <row r="462" spans="1:26" hidden="1">
      <c r="A462" t="s">
        <v>706</v>
      </c>
      <c r="B462" s="6">
        <v>44287</v>
      </c>
      <c r="C462" s="6">
        <v>44651</v>
      </c>
      <c r="D462">
        <v>20210401</v>
      </c>
      <c r="E462">
        <v>20220331</v>
      </c>
      <c r="F462" t="s">
        <v>1706</v>
      </c>
      <c r="G462" t="s">
        <v>1707</v>
      </c>
      <c r="H462" t="s">
        <v>590</v>
      </c>
      <c r="I462" t="s">
        <v>805</v>
      </c>
      <c r="J462">
        <v>10</v>
      </c>
      <c r="K462">
        <v>4959.7</v>
      </c>
      <c r="L462">
        <v>270</v>
      </c>
      <c r="M462">
        <v>158490</v>
      </c>
      <c r="N462">
        <v>-226</v>
      </c>
      <c r="O462">
        <v>-131762.42000000001</v>
      </c>
      <c r="X462">
        <v>54</v>
      </c>
      <c r="Y462">
        <v>31687.279999999999</v>
      </c>
      <c r="Z462" s="3">
        <f t="shared" si="7"/>
        <v>583.01955752212393</v>
      </c>
    </row>
    <row r="463" spans="1:26" hidden="1">
      <c r="A463" t="s">
        <v>706</v>
      </c>
      <c r="B463" s="6">
        <v>44287</v>
      </c>
      <c r="C463" s="6">
        <v>44651</v>
      </c>
      <c r="D463">
        <v>20210401</v>
      </c>
      <c r="E463">
        <v>20220331</v>
      </c>
      <c r="F463" t="s">
        <v>1708</v>
      </c>
      <c r="G463" t="s">
        <v>1709</v>
      </c>
      <c r="H463" t="s">
        <v>590</v>
      </c>
      <c r="I463" t="s">
        <v>805</v>
      </c>
      <c r="J463">
        <v>30</v>
      </c>
      <c r="K463">
        <v>17115.84</v>
      </c>
      <c r="L463">
        <v>185</v>
      </c>
      <c r="M463">
        <v>105487</v>
      </c>
      <c r="N463">
        <v>-195</v>
      </c>
      <c r="O463">
        <v>-111198.85</v>
      </c>
      <c r="X463">
        <v>20</v>
      </c>
      <c r="Y463">
        <v>11403.99</v>
      </c>
      <c r="Z463" s="3">
        <f t="shared" si="7"/>
        <v>570.25051282051288</v>
      </c>
    </row>
    <row r="464" spans="1:26" hidden="1">
      <c r="A464" t="s">
        <v>706</v>
      </c>
      <c r="B464" s="6">
        <v>44287</v>
      </c>
      <c r="C464" s="6">
        <v>44651</v>
      </c>
      <c r="D464">
        <v>20210401</v>
      </c>
      <c r="E464">
        <v>20220331</v>
      </c>
      <c r="F464" t="s">
        <v>1710</v>
      </c>
      <c r="G464" t="s">
        <v>1711</v>
      </c>
      <c r="H464" t="s">
        <v>590</v>
      </c>
      <c r="I464" t="s">
        <v>805</v>
      </c>
      <c r="L464">
        <v>20</v>
      </c>
      <c r="M464">
        <v>6240</v>
      </c>
      <c r="N464">
        <v>-20</v>
      </c>
      <c r="O464">
        <v>-6240</v>
      </c>
      <c r="Z464" s="3">
        <f t="shared" si="7"/>
        <v>312</v>
      </c>
    </row>
    <row r="465" spans="1:26" hidden="1">
      <c r="A465" t="s">
        <v>706</v>
      </c>
      <c r="B465" s="6">
        <v>44287</v>
      </c>
      <c r="C465" s="6">
        <v>44651</v>
      </c>
      <c r="D465">
        <v>20210401</v>
      </c>
      <c r="E465">
        <v>20220331</v>
      </c>
      <c r="F465" t="s">
        <v>1712</v>
      </c>
      <c r="G465" t="s">
        <v>1713</v>
      </c>
      <c r="H465" t="s">
        <v>590</v>
      </c>
      <c r="I465" t="s">
        <v>805</v>
      </c>
      <c r="J465">
        <v>6</v>
      </c>
      <c r="K465">
        <v>1828.8</v>
      </c>
      <c r="L465">
        <v>10</v>
      </c>
      <c r="M465">
        <v>3048</v>
      </c>
      <c r="N465">
        <v>-16</v>
      </c>
      <c r="O465">
        <v>-4876.79</v>
      </c>
      <c r="Y465">
        <v>0.01</v>
      </c>
      <c r="Z465" s="3">
        <f t="shared" si="7"/>
        <v>304.799375</v>
      </c>
    </row>
    <row r="466" spans="1:26" hidden="1">
      <c r="A466" t="s">
        <v>706</v>
      </c>
      <c r="B466" s="6">
        <v>44287</v>
      </c>
      <c r="C466" s="6">
        <v>44651</v>
      </c>
      <c r="D466">
        <v>20210401</v>
      </c>
      <c r="E466">
        <v>20220331</v>
      </c>
      <c r="F466" t="s">
        <v>1714</v>
      </c>
      <c r="G466" t="s">
        <v>1715</v>
      </c>
      <c r="H466" t="s">
        <v>590</v>
      </c>
      <c r="I466" t="s">
        <v>805</v>
      </c>
      <c r="L466">
        <v>20</v>
      </c>
      <c r="M466">
        <v>12000</v>
      </c>
      <c r="N466">
        <v>-20</v>
      </c>
      <c r="O466">
        <v>-12000</v>
      </c>
      <c r="Z466" s="3">
        <f t="shared" si="7"/>
        <v>600</v>
      </c>
    </row>
    <row r="467" spans="1:26" hidden="1">
      <c r="A467" t="s">
        <v>706</v>
      </c>
      <c r="B467" s="6">
        <v>44287</v>
      </c>
      <c r="C467" s="6">
        <v>44651</v>
      </c>
      <c r="D467">
        <v>20210401</v>
      </c>
      <c r="E467">
        <v>20220331</v>
      </c>
      <c r="F467" t="s">
        <v>1716</v>
      </c>
      <c r="G467" t="s">
        <v>1717</v>
      </c>
      <c r="H467" t="s">
        <v>590</v>
      </c>
      <c r="I467" t="s">
        <v>805</v>
      </c>
      <c r="L467">
        <v>55</v>
      </c>
      <c r="M467">
        <v>33215</v>
      </c>
      <c r="N467">
        <v>-45</v>
      </c>
      <c r="O467">
        <v>-26415</v>
      </c>
      <c r="X467">
        <v>10</v>
      </c>
      <c r="Y467">
        <v>6800</v>
      </c>
      <c r="Z467" s="3">
        <f t="shared" si="7"/>
        <v>587</v>
      </c>
    </row>
    <row r="468" spans="1:26" hidden="1">
      <c r="A468" t="s">
        <v>706</v>
      </c>
      <c r="B468" s="6">
        <v>44287</v>
      </c>
      <c r="C468" s="6">
        <v>44651</v>
      </c>
      <c r="D468">
        <v>20210401</v>
      </c>
      <c r="E468">
        <v>20220331</v>
      </c>
      <c r="F468" t="s">
        <v>1718</v>
      </c>
      <c r="G468" t="s">
        <v>1719</v>
      </c>
      <c r="H468" t="s">
        <v>590</v>
      </c>
      <c r="I468" t="s">
        <v>805</v>
      </c>
      <c r="J468">
        <v>34</v>
      </c>
      <c r="K468">
        <v>11492</v>
      </c>
      <c r="L468">
        <v>60</v>
      </c>
      <c r="M468">
        <v>20280</v>
      </c>
      <c r="N468">
        <v>-84</v>
      </c>
      <c r="O468">
        <v>-28392</v>
      </c>
      <c r="X468">
        <v>10</v>
      </c>
      <c r="Y468">
        <v>3380</v>
      </c>
      <c r="Z468" s="3">
        <f t="shared" si="7"/>
        <v>338</v>
      </c>
    </row>
    <row r="469" spans="1:26" hidden="1">
      <c r="A469" t="s">
        <v>706</v>
      </c>
      <c r="B469" s="6">
        <v>44287</v>
      </c>
      <c r="C469" s="6">
        <v>44651</v>
      </c>
      <c r="D469">
        <v>20210401</v>
      </c>
      <c r="E469">
        <v>20220331</v>
      </c>
      <c r="F469" t="s">
        <v>1720</v>
      </c>
      <c r="G469" t="s">
        <v>1721</v>
      </c>
      <c r="H469" t="s">
        <v>590</v>
      </c>
      <c r="I469" t="s">
        <v>805</v>
      </c>
      <c r="L469">
        <v>250</v>
      </c>
      <c r="M469">
        <v>150000</v>
      </c>
      <c r="N469">
        <v>-220</v>
      </c>
      <c r="O469">
        <v>-132000</v>
      </c>
      <c r="X469">
        <v>30</v>
      </c>
      <c r="Y469">
        <v>18000</v>
      </c>
      <c r="Z469" s="3">
        <f t="shared" si="7"/>
        <v>600</v>
      </c>
    </row>
    <row r="470" spans="1:26" hidden="1">
      <c r="A470" t="s">
        <v>706</v>
      </c>
      <c r="B470" s="6">
        <v>44287</v>
      </c>
      <c r="C470" s="6">
        <v>44651</v>
      </c>
      <c r="D470">
        <v>20210401</v>
      </c>
      <c r="E470">
        <v>20220331</v>
      </c>
      <c r="F470" t="s">
        <v>1722</v>
      </c>
      <c r="G470" t="s">
        <v>1723</v>
      </c>
      <c r="H470" t="s">
        <v>590</v>
      </c>
      <c r="I470" t="s">
        <v>805</v>
      </c>
      <c r="L470">
        <v>165</v>
      </c>
      <c r="M470">
        <v>48708</v>
      </c>
      <c r="N470">
        <v>-130</v>
      </c>
      <c r="O470">
        <v>-38376</v>
      </c>
      <c r="X470">
        <v>35</v>
      </c>
      <c r="Y470">
        <v>10332</v>
      </c>
      <c r="Z470" s="3">
        <f t="shared" si="7"/>
        <v>295.2</v>
      </c>
    </row>
    <row r="471" spans="1:26" hidden="1">
      <c r="A471" t="s">
        <v>706</v>
      </c>
      <c r="B471" s="6">
        <v>44287</v>
      </c>
      <c r="C471" s="6">
        <v>44651</v>
      </c>
      <c r="D471">
        <v>20210401</v>
      </c>
      <c r="E471">
        <v>20220331</v>
      </c>
      <c r="F471" t="s">
        <v>1724</v>
      </c>
      <c r="G471" t="s">
        <v>1725</v>
      </c>
      <c r="H471" t="s">
        <v>590</v>
      </c>
      <c r="I471" t="s">
        <v>805</v>
      </c>
      <c r="L471">
        <v>55</v>
      </c>
      <c r="M471">
        <v>16764</v>
      </c>
      <c r="N471">
        <v>-4</v>
      </c>
      <c r="O471">
        <v>-1219.2</v>
      </c>
      <c r="X471">
        <v>51</v>
      </c>
      <c r="Y471">
        <v>15544.8</v>
      </c>
      <c r="Z471" s="3">
        <f t="shared" si="7"/>
        <v>304.8</v>
      </c>
    </row>
    <row r="472" spans="1:26" hidden="1">
      <c r="A472" t="s">
        <v>706</v>
      </c>
      <c r="B472" s="6">
        <v>44287</v>
      </c>
      <c r="C472" s="6">
        <v>44651</v>
      </c>
      <c r="D472">
        <v>20210401</v>
      </c>
      <c r="E472">
        <v>20220331</v>
      </c>
      <c r="F472" t="s">
        <v>1726</v>
      </c>
      <c r="G472" t="s">
        <v>1727</v>
      </c>
      <c r="H472" t="s">
        <v>590</v>
      </c>
      <c r="I472" t="s">
        <v>805</v>
      </c>
      <c r="J472">
        <v>50</v>
      </c>
      <c r="K472">
        <v>578.03</v>
      </c>
      <c r="L472">
        <v>250</v>
      </c>
      <c r="M472">
        <v>2934</v>
      </c>
      <c r="N472">
        <v>-300</v>
      </c>
      <c r="O472">
        <v>-3512</v>
      </c>
      <c r="Y472">
        <v>0.03</v>
      </c>
      <c r="Z472" s="3">
        <f t="shared" si="7"/>
        <v>11.706666666666667</v>
      </c>
    </row>
    <row r="473" spans="1:26" hidden="1">
      <c r="A473" t="s">
        <v>706</v>
      </c>
      <c r="B473" s="6">
        <v>44287</v>
      </c>
      <c r="C473" s="6">
        <v>44651</v>
      </c>
      <c r="D473">
        <v>20210401</v>
      </c>
      <c r="E473">
        <v>20220331</v>
      </c>
      <c r="F473" t="s">
        <v>1728</v>
      </c>
      <c r="G473" t="s">
        <v>1729</v>
      </c>
      <c r="H473" t="s">
        <v>590</v>
      </c>
      <c r="I473" t="s">
        <v>805</v>
      </c>
      <c r="J473">
        <v>580</v>
      </c>
      <c r="K473">
        <v>7192</v>
      </c>
      <c r="L473">
        <v>1500</v>
      </c>
      <c r="M473">
        <v>18635</v>
      </c>
      <c r="N473">
        <v>-2030</v>
      </c>
      <c r="O473">
        <v>-25202</v>
      </c>
      <c r="X473">
        <v>50</v>
      </c>
      <c r="Y473">
        <v>625</v>
      </c>
      <c r="Z473" s="3">
        <f t="shared" si="7"/>
        <v>12.414778325123153</v>
      </c>
    </row>
    <row r="474" spans="1:26" hidden="1">
      <c r="A474" t="s">
        <v>706</v>
      </c>
      <c r="B474" s="6">
        <v>44287</v>
      </c>
      <c r="C474" s="6">
        <v>44651</v>
      </c>
      <c r="D474">
        <v>20210401</v>
      </c>
      <c r="E474">
        <v>20220331</v>
      </c>
      <c r="F474" t="s">
        <v>1730</v>
      </c>
      <c r="G474" t="s">
        <v>1731</v>
      </c>
      <c r="H474" t="s">
        <v>590</v>
      </c>
      <c r="I474" t="s">
        <v>805</v>
      </c>
      <c r="L474">
        <v>12</v>
      </c>
      <c r="M474">
        <v>180</v>
      </c>
      <c r="N474">
        <v>-12</v>
      </c>
      <c r="O474">
        <v>-180</v>
      </c>
      <c r="Z474" s="3">
        <f t="shared" si="7"/>
        <v>15</v>
      </c>
    </row>
    <row r="475" spans="1:26" hidden="1">
      <c r="A475" t="s">
        <v>706</v>
      </c>
      <c r="B475" s="6">
        <v>44287</v>
      </c>
      <c r="C475" s="6">
        <v>44651</v>
      </c>
      <c r="D475">
        <v>20210401</v>
      </c>
      <c r="E475">
        <v>20220331</v>
      </c>
      <c r="F475" t="s">
        <v>1732</v>
      </c>
      <c r="G475" t="s">
        <v>1733</v>
      </c>
      <c r="H475" t="s">
        <v>590</v>
      </c>
      <c r="I475" t="s">
        <v>805</v>
      </c>
      <c r="J475">
        <v>29</v>
      </c>
      <c r="K475">
        <v>353.52</v>
      </c>
      <c r="N475">
        <v>-29</v>
      </c>
      <c r="O475">
        <v>-353.55</v>
      </c>
      <c r="Y475">
        <v>-0.03</v>
      </c>
      <c r="Z475" s="3">
        <f t="shared" si="7"/>
        <v>12.191379310344828</v>
      </c>
    </row>
    <row r="476" spans="1:26" hidden="1">
      <c r="A476" t="s">
        <v>706</v>
      </c>
      <c r="B476" s="6">
        <v>44287</v>
      </c>
      <c r="C476" s="6">
        <v>44651</v>
      </c>
      <c r="D476">
        <v>20210401</v>
      </c>
      <c r="E476">
        <v>20220331</v>
      </c>
      <c r="F476" t="s">
        <v>1734</v>
      </c>
      <c r="G476" t="s">
        <v>1735</v>
      </c>
      <c r="H476" t="s">
        <v>590</v>
      </c>
      <c r="I476" t="s">
        <v>805</v>
      </c>
      <c r="J476">
        <v>45</v>
      </c>
      <c r="K476">
        <v>675.04</v>
      </c>
      <c r="N476">
        <v>-45</v>
      </c>
      <c r="O476">
        <v>-675</v>
      </c>
      <c r="Y476">
        <v>0.04</v>
      </c>
      <c r="Z476" s="3">
        <f t="shared" si="7"/>
        <v>15</v>
      </c>
    </row>
    <row r="477" spans="1:26" hidden="1">
      <c r="A477" t="s">
        <v>706</v>
      </c>
      <c r="B477" s="6">
        <v>44287</v>
      </c>
      <c r="C477" s="6">
        <v>44651</v>
      </c>
      <c r="D477">
        <v>20210401</v>
      </c>
      <c r="E477">
        <v>20220331</v>
      </c>
      <c r="F477" t="s">
        <v>1736</v>
      </c>
      <c r="G477" t="s">
        <v>1737</v>
      </c>
      <c r="H477" t="s">
        <v>590</v>
      </c>
      <c r="I477" t="s">
        <v>805</v>
      </c>
      <c r="L477">
        <v>12</v>
      </c>
      <c r="M477">
        <v>180</v>
      </c>
      <c r="N477">
        <v>-12</v>
      </c>
      <c r="O477">
        <v>-180</v>
      </c>
      <c r="Z477" s="3">
        <f t="shared" si="7"/>
        <v>15</v>
      </c>
    </row>
    <row r="478" spans="1:26" hidden="1">
      <c r="A478" t="s">
        <v>706</v>
      </c>
      <c r="B478" s="6">
        <v>44287</v>
      </c>
      <c r="C478" s="6">
        <v>44651</v>
      </c>
      <c r="D478">
        <v>20210401</v>
      </c>
      <c r="E478">
        <v>20220331</v>
      </c>
      <c r="F478" t="s">
        <v>1738</v>
      </c>
      <c r="G478" t="s">
        <v>1739</v>
      </c>
      <c r="H478" t="s">
        <v>590</v>
      </c>
      <c r="I478" t="s">
        <v>1740</v>
      </c>
      <c r="L478">
        <v>1</v>
      </c>
      <c r="M478">
        <v>160.47999999999999</v>
      </c>
      <c r="N478">
        <v>-1</v>
      </c>
      <c r="O478">
        <v>-160.47999999999999</v>
      </c>
      <c r="Z478" s="3">
        <f t="shared" si="7"/>
        <v>160.47999999999999</v>
      </c>
    </row>
    <row r="479" spans="1:26" hidden="1">
      <c r="A479" t="s">
        <v>706</v>
      </c>
      <c r="B479" s="6">
        <v>44287</v>
      </c>
      <c r="C479" s="6">
        <v>44651</v>
      </c>
      <c r="D479">
        <v>20210401</v>
      </c>
      <c r="E479">
        <v>20220331</v>
      </c>
      <c r="F479" t="s">
        <v>1741</v>
      </c>
      <c r="G479" t="s">
        <v>1742</v>
      </c>
      <c r="H479" t="s">
        <v>590</v>
      </c>
      <c r="I479" t="s">
        <v>1740</v>
      </c>
      <c r="K479">
        <v>0.01</v>
      </c>
      <c r="L479">
        <v>52</v>
      </c>
      <c r="M479">
        <v>14872</v>
      </c>
      <c r="N479">
        <v>-52</v>
      </c>
      <c r="O479">
        <v>-14872</v>
      </c>
      <c r="Y479">
        <v>0.01</v>
      </c>
      <c r="Z479" s="3">
        <f t="shared" si="7"/>
        <v>286</v>
      </c>
    </row>
    <row r="480" spans="1:26" hidden="1">
      <c r="A480" t="s">
        <v>706</v>
      </c>
      <c r="B480" s="6">
        <v>44287</v>
      </c>
      <c r="C480" s="6">
        <v>44651</v>
      </c>
      <c r="D480">
        <v>20210401</v>
      </c>
      <c r="E480">
        <v>20220331</v>
      </c>
      <c r="F480" t="s">
        <v>1743</v>
      </c>
      <c r="G480" t="s">
        <v>1744</v>
      </c>
      <c r="H480" t="s">
        <v>590</v>
      </c>
      <c r="I480" t="s">
        <v>1740</v>
      </c>
      <c r="L480">
        <v>6</v>
      </c>
      <c r="M480">
        <v>4360</v>
      </c>
      <c r="N480">
        <v>-6</v>
      </c>
      <c r="O480">
        <v>-4360</v>
      </c>
      <c r="Z480" s="3">
        <f t="shared" si="7"/>
        <v>726.66666666666663</v>
      </c>
    </row>
    <row r="481" spans="1:26" hidden="1">
      <c r="A481" t="s">
        <v>706</v>
      </c>
      <c r="B481" s="6">
        <v>44287</v>
      </c>
      <c r="C481" s="6">
        <v>44651</v>
      </c>
      <c r="D481">
        <v>20210401</v>
      </c>
      <c r="E481">
        <v>20220331</v>
      </c>
      <c r="F481" t="s">
        <v>1745</v>
      </c>
      <c r="G481" t="s">
        <v>1746</v>
      </c>
      <c r="H481" t="s">
        <v>590</v>
      </c>
      <c r="I481" t="s">
        <v>805</v>
      </c>
      <c r="J481">
        <v>1</v>
      </c>
      <c r="K481">
        <v>2922</v>
      </c>
      <c r="N481">
        <v>-1</v>
      </c>
      <c r="O481">
        <v>-2922</v>
      </c>
      <c r="Z481" s="3">
        <f t="shared" si="7"/>
        <v>2922</v>
      </c>
    </row>
    <row r="482" spans="1:26" hidden="1">
      <c r="A482" t="s">
        <v>706</v>
      </c>
      <c r="B482" s="6">
        <v>44287</v>
      </c>
      <c r="C482" s="6">
        <v>44651</v>
      </c>
      <c r="D482">
        <v>20210401</v>
      </c>
      <c r="E482">
        <v>20220331</v>
      </c>
      <c r="F482" t="s">
        <v>1747</v>
      </c>
      <c r="G482" t="s">
        <v>1748</v>
      </c>
      <c r="H482" t="s">
        <v>590</v>
      </c>
      <c r="I482" t="s">
        <v>1740</v>
      </c>
      <c r="L482">
        <v>5</v>
      </c>
      <c r="M482">
        <v>7904.5</v>
      </c>
      <c r="N482">
        <v>-5</v>
      </c>
      <c r="O482">
        <v>-7904.5</v>
      </c>
      <c r="Z482" s="3">
        <f t="shared" si="7"/>
        <v>1580.9</v>
      </c>
    </row>
    <row r="483" spans="1:26" hidden="1">
      <c r="A483" t="s">
        <v>706</v>
      </c>
      <c r="B483" s="6">
        <v>44287</v>
      </c>
      <c r="C483" s="6">
        <v>44651</v>
      </c>
      <c r="D483">
        <v>20210401</v>
      </c>
      <c r="E483">
        <v>20220331</v>
      </c>
      <c r="F483" t="s">
        <v>1749</v>
      </c>
      <c r="G483" t="s">
        <v>1750</v>
      </c>
      <c r="H483" t="s">
        <v>613</v>
      </c>
      <c r="I483" t="s">
        <v>805</v>
      </c>
      <c r="J483">
        <v>3.3</v>
      </c>
      <c r="K483">
        <v>1188.02</v>
      </c>
      <c r="N483">
        <v>-3.3</v>
      </c>
      <c r="O483">
        <v>-1188</v>
      </c>
      <c r="Y483">
        <v>0.02</v>
      </c>
      <c r="Z483" s="3">
        <f t="shared" si="7"/>
        <v>360</v>
      </c>
    </row>
    <row r="484" spans="1:26" hidden="1">
      <c r="A484" t="s">
        <v>706</v>
      </c>
      <c r="B484" s="6">
        <v>44287</v>
      </c>
      <c r="C484" s="6">
        <v>44651</v>
      </c>
      <c r="D484">
        <v>20210401</v>
      </c>
      <c r="E484">
        <v>20220331</v>
      </c>
      <c r="F484" t="s">
        <v>1751</v>
      </c>
      <c r="G484" t="s">
        <v>1752</v>
      </c>
      <c r="H484" t="s">
        <v>590</v>
      </c>
      <c r="I484" t="s">
        <v>805</v>
      </c>
      <c r="L484">
        <v>4</v>
      </c>
      <c r="M484">
        <v>6800</v>
      </c>
      <c r="N484">
        <v>-4</v>
      </c>
      <c r="O484">
        <v>-6800</v>
      </c>
      <c r="Z484" s="3">
        <f t="shared" si="7"/>
        <v>1700</v>
      </c>
    </row>
    <row r="485" spans="1:26" hidden="1">
      <c r="A485" t="s">
        <v>706</v>
      </c>
      <c r="B485" s="6">
        <v>44287</v>
      </c>
      <c r="C485" s="6">
        <v>44651</v>
      </c>
      <c r="D485">
        <v>20210401</v>
      </c>
      <c r="E485">
        <v>20220331</v>
      </c>
      <c r="F485" t="s">
        <v>1753</v>
      </c>
      <c r="G485" t="s">
        <v>1754</v>
      </c>
      <c r="H485" t="s">
        <v>590</v>
      </c>
      <c r="I485" t="s">
        <v>1740</v>
      </c>
      <c r="J485">
        <v>5</v>
      </c>
      <c r="K485">
        <v>2739.01</v>
      </c>
      <c r="N485">
        <v>-5</v>
      </c>
      <c r="O485">
        <v>-2739</v>
      </c>
      <c r="Y485">
        <v>0.01</v>
      </c>
      <c r="Z485" s="3">
        <f t="shared" si="7"/>
        <v>547.79999999999995</v>
      </c>
    </row>
    <row r="486" spans="1:26" hidden="1">
      <c r="A486" t="s">
        <v>706</v>
      </c>
      <c r="B486" s="6">
        <v>44287</v>
      </c>
      <c r="C486" s="6">
        <v>44651</v>
      </c>
      <c r="D486">
        <v>20210401</v>
      </c>
      <c r="E486">
        <v>20220331</v>
      </c>
      <c r="F486" t="s">
        <v>1755</v>
      </c>
      <c r="G486" t="s">
        <v>1756</v>
      </c>
      <c r="H486" t="s">
        <v>590</v>
      </c>
      <c r="I486" t="s">
        <v>805</v>
      </c>
      <c r="L486">
        <v>6</v>
      </c>
      <c r="M486">
        <v>4370.28</v>
      </c>
      <c r="N486">
        <v>-6</v>
      </c>
      <c r="O486">
        <v>-4370.28</v>
      </c>
      <c r="Z486" s="3">
        <f t="shared" si="7"/>
        <v>728.38</v>
      </c>
    </row>
    <row r="487" spans="1:26" hidden="1">
      <c r="A487" t="s">
        <v>706</v>
      </c>
      <c r="B487" s="6">
        <v>44287</v>
      </c>
      <c r="C487" s="6">
        <v>44651</v>
      </c>
      <c r="D487">
        <v>20210401</v>
      </c>
      <c r="E487">
        <v>20220331</v>
      </c>
      <c r="F487" t="s">
        <v>1757</v>
      </c>
      <c r="G487" t="s">
        <v>1758</v>
      </c>
      <c r="H487" t="s">
        <v>590</v>
      </c>
      <c r="I487" t="s">
        <v>1740</v>
      </c>
      <c r="L487">
        <v>2</v>
      </c>
      <c r="M487">
        <v>3000</v>
      </c>
      <c r="N487">
        <v>-2</v>
      </c>
      <c r="O487">
        <v>-3000</v>
      </c>
      <c r="Z487" s="3">
        <f t="shared" si="7"/>
        <v>1500</v>
      </c>
    </row>
    <row r="488" spans="1:26" hidden="1">
      <c r="A488" t="s">
        <v>706</v>
      </c>
      <c r="B488" s="6">
        <v>44287</v>
      </c>
      <c r="C488" s="6">
        <v>44651</v>
      </c>
      <c r="D488">
        <v>20210401</v>
      </c>
      <c r="E488">
        <v>20220331</v>
      </c>
      <c r="F488" t="s">
        <v>1759</v>
      </c>
      <c r="G488" t="s">
        <v>1760</v>
      </c>
      <c r="H488" t="s">
        <v>590</v>
      </c>
      <c r="I488" t="s">
        <v>805</v>
      </c>
      <c r="L488">
        <v>2</v>
      </c>
      <c r="M488">
        <v>235.8</v>
      </c>
      <c r="N488">
        <v>-2</v>
      </c>
      <c r="O488">
        <v>-235.8</v>
      </c>
      <c r="Z488" s="3">
        <f t="shared" si="7"/>
        <v>117.9</v>
      </c>
    </row>
    <row r="489" spans="1:26" hidden="1">
      <c r="A489" t="s">
        <v>706</v>
      </c>
      <c r="B489" s="6">
        <v>44287</v>
      </c>
      <c r="C489" s="6">
        <v>44651</v>
      </c>
      <c r="D489">
        <v>20210401</v>
      </c>
      <c r="E489">
        <v>20220331</v>
      </c>
      <c r="F489" t="s">
        <v>1761</v>
      </c>
      <c r="G489" t="s">
        <v>1762</v>
      </c>
      <c r="H489" t="s">
        <v>590</v>
      </c>
      <c r="I489" t="s">
        <v>1740</v>
      </c>
      <c r="L489">
        <v>1</v>
      </c>
      <c r="M489">
        <v>214.5</v>
      </c>
      <c r="N489">
        <v>-1</v>
      </c>
      <c r="O489">
        <v>-214.5</v>
      </c>
      <c r="Z489" s="3">
        <f t="shared" si="7"/>
        <v>214.5</v>
      </c>
    </row>
    <row r="490" spans="1:26" hidden="1">
      <c r="A490" t="s">
        <v>706</v>
      </c>
      <c r="B490" s="6">
        <v>44287</v>
      </c>
      <c r="C490" s="6">
        <v>44651</v>
      </c>
      <c r="D490">
        <v>20210401</v>
      </c>
      <c r="E490">
        <v>20220331</v>
      </c>
      <c r="F490" t="s">
        <v>1763</v>
      </c>
      <c r="G490" t="s">
        <v>1764</v>
      </c>
      <c r="H490" t="s">
        <v>590</v>
      </c>
      <c r="I490" t="s">
        <v>805</v>
      </c>
      <c r="L490">
        <v>1</v>
      </c>
      <c r="M490">
        <v>7986</v>
      </c>
      <c r="N490">
        <v>-1</v>
      </c>
      <c r="O490">
        <v>-7986</v>
      </c>
      <c r="Z490" s="3">
        <f t="shared" si="7"/>
        <v>7986</v>
      </c>
    </row>
    <row r="491" spans="1:26" hidden="1">
      <c r="A491" t="s">
        <v>706</v>
      </c>
      <c r="B491" s="6">
        <v>44287</v>
      </c>
      <c r="C491" s="6">
        <v>44651</v>
      </c>
      <c r="D491">
        <v>20210401</v>
      </c>
      <c r="E491">
        <v>20220331</v>
      </c>
      <c r="F491" t="s">
        <v>1765</v>
      </c>
      <c r="G491" t="s">
        <v>1766</v>
      </c>
      <c r="H491" t="s">
        <v>590</v>
      </c>
      <c r="I491" t="s">
        <v>1740</v>
      </c>
      <c r="L491">
        <v>4</v>
      </c>
      <c r="M491">
        <v>1198.5999999999999</v>
      </c>
      <c r="N491">
        <v>-4</v>
      </c>
      <c r="O491">
        <v>-1198.5999999999999</v>
      </c>
      <c r="Z491" s="3">
        <f t="shared" si="7"/>
        <v>299.64999999999998</v>
      </c>
    </row>
    <row r="492" spans="1:26" hidden="1">
      <c r="A492" t="s">
        <v>706</v>
      </c>
      <c r="B492" s="6">
        <v>44287</v>
      </c>
      <c r="C492" s="6">
        <v>44651</v>
      </c>
      <c r="D492">
        <v>20210401</v>
      </c>
      <c r="E492">
        <v>20220331</v>
      </c>
      <c r="F492" t="s">
        <v>1767</v>
      </c>
      <c r="G492" t="s">
        <v>1768</v>
      </c>
      <c r="H492" t="s">
        <v>590</v>
      </c>
      <c r="I492" t="s">
        <v>805</v>
      </c>
      <c r="L492">
        <v>4</v>
      </c>
      <c r="M492">
        <v>1800</v>
      </c>
      <c r="N492">
        <v>-4</v>
      </c>
      <c r="O492">
        <v>-1800</v>
      </c>
      <c r="Z492" s="3">
        <f t="shared" si="7"/>
        <v>450</v>
      </c>
    </row>
    <row r="493" spans="1:26" hidden="1">
      <c r="A493" t="s">
        <v>706</v>
      </c>
      <c r="B493" s="6">
        <v>44287</v>
      </c>
      <c r="C493" s="6">
        <v>44651</v>
      </c>
      <c r="D493">
        <v>20210401</v>
      </c>
      <c r="E493">
        <v>20220331</v>
      </c>
      <c r="F493" t="s">
        <v>1769</v>
      </c>
      <c r="G493" t="s">
        <v>1770</v>
      </c>
      <c r="H493" t="s">
        <v>590</v>
      </c>
      <c r="I493" t="s">
        <v>1740</v>
      </c>
      <c r="L493">
        <v>1</v>
      </c>
      <c r="M493">
        <v>230.75</v>
      </c>
      <c r="N493">
        <v>-1</v>
      </c>
      <c r="O493">
        <v>-230.75</v>
      </c>
      <c r="Z493" s="3">
        <f t="shared" si="7"/>
        <v>230.75</v>
      </c>
    </row>
    <row r="494" spans="1:26" hidden="1">
      <c r="A494" t="s">
        <v>706</v>
      </c>
      <c r="B494" s="6">
        <v>44287</v>
      </c>
      <c r="C494" s="6">
        <v>44651</v>
      </c>
      <c r="D494">
        <v>20210401</v>
      </c>
      <c r="E494">
        <v>20220331</v>
      </c>
      <c r="F494" t="s">
        <v>1771</v>
      </c>
      <c r="G494" t="s">
        <v>1772</v>
      </c>
      <c r="H494" t="s">
        <v>590</v>
      </c>
      <c r="I494" t="s">
        <v>1740</v>
      </c>
      <c r="L494">
        <v>5</v>
      </c>
      <c r="M494">
        <v>1254.5</v>
      </c>
      <c r="N494">
        <v>-5</v>
      </c>
      <c r="O494">
        <v>-1254.5</v>
      </c>
      <c r="Z494" s="3">
        <f t="shared" si="7"/>
        <v>250.9</v>
      </c>
    </row>
    <row r="495" spans="1:26" hidden="1">
      <c r="A495" t="s">
        <v>706</v>
      </c>
      <c r="B495" s="6">
        <v>44287</v>
      </c>
      <c r="C495" s="6">
        <v>44651</v>
      </c>
      <c r="D495">
        <v>20210401</v>
      </c>
      <c r="E495">
        <v>20220331</v>
      </c>
      <c r="F495" t="s">
        <v>1773</v>
      </c>
      <c r="G495" t="s">
        <v>1774</v>
      </c>
      <c r="H495" t="s">
        <v>590</v>
      </c>
      <c r="I495" t="s">
        <v>1740</v>
      </c>
      <c r="L495">
        <v>1</v>
      </c>
      <c r="M495">
        <v>528</v>
      </c>
      <c r="N495">
        <v>-1</v>
      </c>
      <c r="O495">
        <v>-528</v>
      </c>
      <c r="Z495" s="3">
        <f t="shared" si="7"/>
        <v>528</v>
      </c>
    </row>
    <row r="496" spans="1:26" hidden="1">
      <c r="A496" t="s">
        <v>706</v>
      </c>
      <c r="B496" s="6">
        <v>44287</v>
      </c>
      <c r="C496" s="6">
        <v>44651</v>
      </c>
      <c r="D496">
        <v>20210401</v>
      </c>
      <c r="E496">
        <v>20220331</v>
      </c>
      <c r="F496" t="s">
        <v>1775</v>
      </c>
      <c r="G496" t="s">
        <v>1776</v>
      </c>
      <c r="H496" t="s">
        <v>613</v>
      </c>
      <c r="I496" t="s">
        <v>805</v>
      </c>
      <c r="J496">
        <v>24.7</v>
      </c>
      <c r="K496">
        <v>938.6</v>
      </c>
      <c r="N496">
        <v>-24.7</v>
      </c>
      <c r="O496">
        <v>-938.6</v>
      </c>
      <c r="Z496" s="3">
        <f t="shared" si="7"/>
        <v>38</v>
      </c>
    </row>
    <row r="497" spans="1:26" hidden="1">
      <c r="A497" t="s">
        <v>706</v>
      </c>
      <c r="B497" s="6">
        <v>44287</v>
      </c>
      <c r="C497" s="6">
        <v>44651</v>
      </c>
      <c r="D497">
        <v>20210401</v>
      </c>
      <c r="E497">
        <v>20220331</v>
      </c>
      <c r="F497" t="s">
        <v>1777</v>
      </c>
      <c r="G497" t="s">
        <v>1778</v>
      </c>
      <c r="H497" t="s">
        <v>1267</v>
      </c>
      <c r="I497" t="s">
        <v>805</v>
      </c>
      <c r="L497">
        <v>312</v>
      </c>
      <c r="M497">
        <v>6556.58</v>
      </c>
      <c r="N497">
        <v>-312</v>
      </c>
      <c r="O497">
        <v>-6556.58</v>
      </c>
      <c r="Z497" s="3">
        <f t="shared" si="7"/>
        <v>21.014679487179485</v>
      </c>
    </row>
    <row r="498" spans="1:26" hidden="1">
      <c r="A498" t="s">
        <v>706</v>
      </c>
      <c r="B498" s="6">
        <v>44287</v>
      </c>
      <c r="C498" s="6">
        <v>44651</v>
      </c>
      <c r="D498">
        <v>20210401</v>
      </c>
      <c r="E498">
        <v>20220331</v>
      </c>
      <c r="F498" t="s">
        <v>1779</v>
      </c>
      <c r="G498" t="s">
        <v>1780</v>
      </c>
      <c r="H498" t="s">
        <v>590</v>
      </c>
      <c r="I498" t="s">
        <v>805</v>
      </c>
      <c r="L498">
        <v>1</v>
      </c>
      <c r="M498">
        <v>297</v>
      </c>
      <c r="N498">
        <v>-1</v>
      </c>
      <c r="O498">
        <v>-297</v>
      </c>
      <c r="Z498" s="3">
        <f t="shared" si="7"/>
        <v>297</v>
      </c>
    </row>
    <row r="499" spans="1:26" hidden="1">
      <c r="A499" t="s">
        <v>706</v>
      </c>
      <c r="B499" s="6">
        <v>44287</v>
      </c>
      <c r="C499" s="6">
        <v>44651</v>
      </c>
      <c r="D499">
        <v>20210401</v>
      </c>
      <c r="E499">
        <v>20220331</v>
      </c>
      <c r="F499" t="s">
        <v>1781</v>
      </c>
      <c r="G499" t="s">
        <v>1782</v>
      </c>
      <c r="H499" t="s">
        <v>590</v>
      </c>
      <c r="I499" t="s">
        <v>1740</v>
      </c>
      <c r="L499">
        <v>1</v>
      </c>
      <c r="M499">
        <v>1192.04</v>
      </c>
      <c r="N499">
        <v>-1</v>
      </c>
      <c r="O499">
        <v>-1192.04</v>
      </c>
      <c r="Z499" s="3">
        <f t="shared" si="7"/>
        <v>1192.04</v>
      </c>
    </row>
    <row r="500" spans="1:26" hidden="1">
      <c r="A500" t="s">
        <v>706</v>
      </c>
      <c r="B500" s="6">
        <v>44287</v>
      </c>
      <c r="C500" s="6">
        <v>44651</v>
      </c>
      <c r="D500">
        <v>20210401</v>
      </c>
      <c r="E500">
        <v>20220331</v>
      </c>
      <c r="F500" t="s">
        <v>1783</v>
      </c>
      <c r="G500" t="s">
        <v>1784</v>
      </c>
      <c r="H500" t="s">
        <v>613</v>
      </c>
      <c r="I500" t="s">
        <v>1740</v>
      </c>
      <c r="K500">
        <v>0.01</v>
      </c>
      <c r="L500">
        <v>46</v>
      </c>
      <c r="M500">
        <v>667</v>
      </c>
      <c r="N500">
        <v>-46</v>
      </c>
      <c r="O500">
        <v>-667</v>
      </c>
      <c r="Y500">
        <v>0.01</v>
      </c>
      <c r="Z500" s="3">
        <f t="shared" si="7"/>
        <v>14.5</v>
      </c>
    </row>
    <row r="501" spans="1:26" hidden="1">
      <c r="A501" t="s">
        <v>706</v>
      </c>
      <c r="B501" s="6">
        <v>44287</v>
      </c>
      <c r="C501" s="6">
        <v>44651</v>
      </c>
      <c r="D501">
        <v>20210401</v>
      </c>
      <c r="E501">
        <v>20220331</v>
      </c>
      <c r="F501" t="s">
        <v>1785</v>
      </c>
      <c r="G501" t="s">
        <v>1786</v>
      </c>
      <c r="H501" t="s">
        <v>590</v>
      </c>
      <c r="I501" t="s">
        <v>1740</v>
      </c>
      <c r="L501">
        <v>1</v>
      </c>
      <c r="M501">
        <v>3918</v>
      </c>
      <c r="N501">
        <v>-1</v>
      </c>
      <c r="O501">
        <v>-3918</v>
      </c>
      <c r="Z501" s="3">
        <f t="shared" si="7"/>
        <v>3918</v>
      </c>
    </row>
    <row r="502" spans="1:26" hidden="1">
      <c r="A502" t="s">
        <v>706</v>
      </c>
      <c r="B502" s="6">
        <v>44287</v>
      </c>
      <c r="C502" s="6">
        <v>44651</v>
      </c>
      <c r="D502">
        <v>20210401</v>
      </c>
      <c r="E502">
        <v>20220331</v>
      </c>
      <c r="F502" t="s">
        <v>1787</v>
      </c>
      <c r="G502" t="s">
        <v>1788</v>
      </c>
      <c r="H502" t="s">
        <v>590</v>
      </c>
      <c r="I502" t="s">
        <v>1740</v>
      </c>
      <c r="L502">
        <v>4</v>
      </c>
      <c r="M502">
        <v>1198.5999999999999</v>
      </c>
      <c r="N502">
        <v>-4</v>
      </c>
      <c r="O502">
        <v>-1198.5999999999999</v>
      </c>
      <c r="Z502" s="3">
        <f t="shared" si="7"/>
        <v>299.64999999999998</v>
      </c>
    </row>
    <row r="503" spans="1:26" hidden="1">
      <c r="A503" t="s">
        <v>706</v>
      </c>
      <c r="B503" s="6">
        <v>44287</v>
      </c>
      <c r="C503" s="6">
        <v>44651</v>
      </c>
      <c r="D503">
        <v>20210401</v>
      </c>
      <c r="E503">
        <v>20220331</v>
      </c>
      <c r="F503" t="s">
        <v>1789</v>
      </c>
      <c r="G503" t="s">
        <v>1790</v>
      </c>
      <c r="H503" t="s">
        <v>590</v>
      </c>
      <c r="I503" t="s">
        <v>1740</v>
      </c>
      <c r="L503">
        <v>2</v>
      </c>
      <c r="M503">
        <v>320.95999999999998</v>
      </c>
      <c r="N503">
        <v>-2</v>
      </c>
      <c r="O503">
        <v>-320.95999999999998</v>
      </c>
      <c r="Z503" s="3">
        <f t="shared" si="7"/>
        <v>160.47999999999999</v>
      </c>
    </row>
    <row r="504" spans="1:26" hidden="1">
      <c r="A504" t="s">
        <v>706</v>
      </c>
      <c r="B504" s="6">
        <v>44287</v>
      </c>
      <c r="C504" s="6">
        <v>44651</v>
      </c>
      <c r="D504">
        <v>20210401</v>
      </c>
      <c r="E504">
        <v>20220331</v>
      </c>
      <c r="F504" t="s">
        <v>1791</v>
      </c>
      <c r="G504" t="s">
        <v>1792</v>
      </c>
      <c r="H504" t="s">
        <v>590</v>
      </c>
      <c r="I504" t="s">
        <v>805</v>
      </c>
      <c r="L504">
        <v>8</v>
      </c>
      <c r="M504">
        <v>3647.76</v>
      </c>
      <c r="N504">
        <v>-8</v>
      </c>
      <c r="O504">
        <v>-3647.76</v>
      </c>
      <c r="Z504" s="3">
        <f t="shared" si="7"/>
        <v>455.97</v>
      </c>
    </row>
    <row r="505" spans="1:26" hidden="1">
      <c r="A505" t="s">
        <v>706</v>
      </c>
      <c r="B505" s="6">
        <v>44287</v>
      </c>
      <c r="C505" s="6">
        <v>44651</v>
      </c>
      <c r="D505">
        <v>20210401</v>
      </c>
      <c r="E505">
        <v>20220331</v>
      </c>
      <c r="F505" t="s">
        <v>1793</v>
      </c>
      <c r="G505" t="s">
        <v>1794</v>
      </c>
      <c r="H505" t="s">
        <v>590</v>
      </c>
      <c r="I505" t="s">
        <v>1462</v>
      </c>
      <c r="L505">
        <v>65</v>
      </c>
      <c r="M505">
        <v>20300</v>
      </c>
      <c r="N505">
        <v>-65</v>
      </c>
      <c r="O505">
        <v>-20300</v>
      </c>
      <c r="Z505" s="3">
        <f t="shared" si="7"/>
        <v>312.30769230769232</v>
      </c>
    </row>
    <row r="506" spans="1:26" hidden="1">
      <c r="A506" t="s">
        <v>706</v>
      </c>
      <c r="B506" s="6">
        <v>44287</v>
      </c>
      <c r="C506" s="6">
        <v>44651</v>
      </c>
      <c r="D506">
        <v>20210401</v>
      </c>
      <c r="E506">
        <v>20220331</v>
      </c>
      <c r="F506" t="s">
        <v>1795</v>
      </c>
      <c r="G506" t="s">
        <v>1796</v>
      </c>
      <c r="H506" t="s">
        <v>590</v>
      </c>
      <c r="I506" t="s">
        <v>805</v>
      </c>
      <c r="L506">
        <v>15</v>
      </c>
      <c r="M506">
        <v>450</v>
      </c>
      <c r="N506">
        <v>-15</v>
      </c>
      <c r="O506">
        <v>-450</v>
      </c>
      <c r="Z506" s="3">
        <f t="shared" si="7"/>
        <v>30</v>
      </c>
    </row>
    <row r="507" spans="1:26" hidden="1">
      <c r="A507" t="s">
        <v>706</v>
      </c>
      <c r="B507" s="6">
        <v>44287</v>
      </c>
      <c r="C507" s="6">
        <v>44651</v>
      </c>
      <c r="D507">
        <v>20210401</v>
      </c>
      <c r="E507">
        <v>20220331</v>
      </c>
      <c r="F507" t="s">
        <v>1797</v>
      </c>
      <c r="G507" t="s">
        <v>1798</v>
      </c>
      <c r="H507" t="s">
        <v>590</v>
      </c>
      <c r="I507" t="s">
        <v>805</v>
      </c>
      <c r="L507">
        <v>1</v>
      </c>
      <c r="M507">
        <v>495</v>
      </c>
      <c r="N507">
        <v>-1</v>
      </c>
      <c r="O507">
        <v>-495</v>
      </c>
      <c r="Z507" s="3">
        <f t="shared" si="7"/>
        <v>495</v>
      </c>
    </row>
    <row r="508" spans="1:26" hidden="1">
      <c r="A508" t="s">
        <v>706</v>
      </c>
      <c r="B508" s="6">
        <v>44287</v>
      </c>
      <c r="C508" s="6">
        <v>44651</v>
      </c>
      <c r="D508">
        <v>20210401</v>
      </c>
      <c r="E508">
        <v>20220331</v>
      </c>
      <c r="F508" t="s">
        <v>1799</v>
      </c>
      <c r="G508" t="s">
        <v>1800</v>
      </c>
      <c r="H508" t="s">
        <v>613</v>
      </c>
      <c r="I508" t="s">
        <v>805</v>
      </c>
      <c r="J508">
        <v>1540</v>
      </c>
      <c r="K508">
        <v>62370</v>
      </c>
      <c r="L508">
        <v>8350</v>
      </c>
      <c r="M508">
        <v>458700.5</v>
      </c>
      <c r="N508">
        <v>-9490</v>
      </c>
      <c r="O508">
        <v>-493140.52</v>
      </c>
      <c r="X508">
        <v>400</v>
      </c>
      <c r="Y508">
        <v>27929.98</v>
      </c>
      <c r="Z508" s="3">
        <f t="shared" si="7"/>
        <v>51.964227608008429</v>
      </c>
    </row>
    <row r="509" spans="1:26" hidden="1">
      <c r="A509" t="s">
        <v>706</v>
      </c>
      <c r="B509" s="6">
        <v>44287</v>
      </c>
      <c r="C509" s="6">
        <v>44651</v>
      </c>
      <c r="D509">
        <v>20210401</v>
      </c>
      <c r="E509">
        <v>20220331</v>
      </c>
      <c r="F509" t="s">
        <v>1801</v>
      </c>
      <c r="G509" t="s">
        <v>1802</v>
      </c>
      <c r="H509" t="s">
        <v>1267</v>
      </c>
      <c r="I509" t="s">
        <v>805</v>
      </c>
      <c r="J509">
        <v>16124</v>
      </c>
      <c r="K509">
        <v>752962.88</v>
      </c>
      <c r="L509">
        <v>530500</v>
      </c>
      <c r="M509">
        <v>28928465</v>
      </c>
      <c r="N509">
        <v>-542453.6</v>
      </c>
      <c r="O509">
        <v>-29360665.02</v>
      </c>
      <c r="X509">
        <v>4170.3999999999996</v>
      </c>
      <c r="Y509">
        <v>320762.86</v>
      </c>
      <c r="Z509" s="3">
        <f t="shared" si="7"/>
        <v>54.125670877656631</v>
      </c>
    </row>
    <row r="510" spans="1:26" hidden="1">
      <c r="A510" t="s">
        <v>706</v>
      </c>
      <c r="B510" s="6">
        <v>44287</v>
      </c>
      <c r="C510" s="6">
        <v>44651</v>
      </c>
      <c r="D510">
        <v>20210401</v>
      </c>
      <c r="E510">
        <v>20220331</v>
      </c>
      <c r="F510" t="s">
        <v>1803</v>
      </c>
      <c r="G510" t="s">
        <v>1804</v>
      </c>
      <c r="H510" t="s">
        <v>1267</v>
      </c>
      <c r="I510" t="s">
        <v>805</v>
      </c>
      <c r="L510">
        <v>102000</v>
      </c>
      <c r="M510">
        <v>4077040</v>
      </c>
      <c r="N510">
        <v>-102000</v>
      </c>
      <c r="O510">
        <v>-4077041.01</v>
      </c>
      <c r="Y510">
        <v>-1.01</v>
      </c>
      <c r="Z510" s="3">
        <f t="shared" si="7"/>
        <v>39.970990294117648</v>
      </c>
    </row>
    <row r="511" spans="1:26" hidden="1">
      <c r="A511" t="s">
        <v>706</v>
      </c>
      <c r="B511" s="6">
        <v>44287</v>
      </c>
      <c r="C511" s="6">
        <v>44651</v>
      </c>
      <c r="D511">
        <v>20210401</v>
      </c>
      <c r="E511">
        <v>20220331</v>
      </c>
      <c r="F511" t="s">
        <v>1805</v>
      </c>
      <c r="G511" t="s">
        <v>1806</v>
      </c>
      <c r="H511" t="s">
        <v>1267</v>
      </c>
      <c r="I511" t="s">
        <v>805</v>
      </c>
      <c r="J511">
        <v>280</v>
      </c>
      <c r="K511">
        <v>56000</v>
      </c>
      <c r="L511">
        <v>1820</v>
      </c>
      <c r="M511">
        <v>372050</v>
      </c>
      <c r="N511">
        <v>-1820</v>
      </c>
      <c r="O511">
        <v>-369668.77</v>
      </c>
      <c r="P511">
        <v>35</v>
      </c>
      <c r="Q511">
        <v>7000</v>
      </c>
      <c r="R511">
        <v>-105</v>
      </c>
      <c r="S511">
        <v>-21281.27</v>
      </c>
      <c r="X511">
        <v>210</v>
      </c>
      <c r="Y511">
        <v>44099.96</v>
      </c>
      <c r="Z511" s="3">
        <f t="shared" si="7"/>
        <v>203.17578151260506</v>
      </c>
    </row>
    <row r="512" spans="1:26" hidden="1">
      <c r="A512" t="s">
        <v>706</v>
      </c>
      <c r="B512" s="6">
        <v>44287</v>
      </c>
      <c r="C512" s="6">
        <v>44651</v>
      </c>
      <c r="D512">
        <v>20210401</v>
      </c>
      <c r="E512">
        <v>20220331</v>
      </c>
      <c r="F512" t="s">
        <v>1807</v>
      </c>
      <c r="G512" t="s">
        <v>1808</v>
      </c>
      <c r="H512" t="s">
        <v>590</v>
      </c>
      <c r="I512" t="s">
        <v>805</v>
      </c>
      <c r="J512">
        <v>3000</v>
      </c>
      <c r="K512">
        <v>5400</v>
      </c>
      <c r="L512">
        <v>17000</v>
      </c>
      <c r="M512">
        <v>27600</v>
      </c>
      <c r="N512">
        <v>-20000</v>
      </c>
      <c r="O512">
        <v>-33000</v>
      </c>
      <c r="Z512" s="3">
        <f t="shared" si="7"/>
        <v>1.65</v>
      </c>
    </row>
    <row r="513" spans="1:26" hidden="1">
      <c r="A513" t="s">
        <v>706</v>
      </c>
      <c r="B513" s="6">
        <v>44287</v>
      </c>
      <c r="C513" s="6">
        <v>44651</v>
      </c>
      <c r="D513">
        <v>20210401</v>
      </c>
      <c r="E513">
        <v>20220331</v>
      </c>
      <c r="F513" t="s">
        <v>1809</v>
      </c>
      <c r="G513" t="s">
        <v>1810</v>
      </c>
      <c r="H513" t="s">
        <v>1267</v>
      </c>
      <c r="I513" t="s">
        <v>805</v>
      </c>
      <c r="L513">
        <v>1900</v>
      </c>
      <c r="M513">
        <v>171536</v>
      </c>
      <c r="N513">
        <v>-1900</v>
      </c>
      <c r="O513">
        <v>-171536</v>
      </c>
      <c r="Z513" s="3">
        <f t="shared" si="7"/>
        <v>90.282105263157888</v>
      </c>
    </row>
    <row r="514" spans="1:26" hidden="1">
      <c r="A514" t="s">
        <v>706</v>
      </c>
      <c r="B514" s="6">
        <v>44287</v>
      </c>
      <c r="C514" s="6">
        <v>44651</v>
      </c>
      <c r="D514">
        <v>20210401</v>
      </c>
      <c r="E514">
        <v>20220331</v>
      </c>
      <c r="F514" t="s">
        <v>1811</v>
      </c>
      <c r="G514" t="s">
        <v>1812</v>
      </c>
      <c r="H514" t="s">
        <v>613</v>
      </c>
      <c r="I514" t="s">
        <v>805</v>
      </c>
      <c r="J514">
        <v>35</v>
      </c>
      <c r="K514">
        <v>8645</v>
      </c>
      <c r="N514">
        <v>-35</v>
      </c>
      <c r="O514">
        <v>-7770</v>
      </c>
      <c r="Y514">
        <v>875</v>
      </c>
      <c r="Z514" s="3">
        <f t="shared" si="7"/>
        <v>222</v>
      </c>
    </row>
    <row r="515" spans="1:26" hidden="1">
      <c r="A515" t="s">
        <v>706</v>
      </c>
      <c r="B515" s="6">
        <v>44287</v>
      </c>
      <c r="C515" s="6">
        <v>44651</v>
      </c>
      <c r="D515">
        <v>20210401</v>
      </c>
      <c r="E515">
        <v>20220331</v>
      </c>
      <c r="F515" t="s">
        <v>1813</v>
      </c>
      <c r="G515" t="s">
        <v>1814</v>
      </c>
      <c r="H515" t="s">
        <v>613</v>
      </c>
      <c r="I515" t="s">
        <v>805</v>
      </c>
      <c r="J515">
        <v>32</v>
      </c>
      <c r="K515">
        <v>4160</v>
      </c>
      <c r="L515">
        <v>96</v>
      </c>
      <c r="M515">
        <v>13120</v>
      </c>
      <c r="N515">
        <v>-128</v>
      </c>
      <c r="O515">
        <v>-17280.04</v>
      </c>
      <c r="Y515">
        <v>-0.04</v>
      </c>
      <c r="Z515" s="3">
        <f t="shared" ref="Z515:Z578" si="8">IFERROR((O515+Q515)/(N515+P515),Y515/X515)</f>
        <v>135.00031250000001</v>
      </c>
    </row>
    <row r="516" spans="1:26" hidden="1">
      <c r="A516" t="s">
        <v>706</v>
      </c>
      <c r="B516" s="6">
        <v>44287</v>
      </c>
      <c r="C516" s="6">
        <v>44651</v>
      </c>
      <c r="D516">
        <v>20210401</v>
      </c>
      <c r="E516">
        <v>20220331</v>
      </c>
      <c r="F516" t="s">
        <v>1815</v>
      </c>
      <c r="G516" t="s">
        <v>1816</v>
      </c>
      <c r="H516" t="s">
        <v>1267</v>
      </c>
      <c r="I516" t="s">
        <v>805</v>
      </c>
      <c r="N516">
        <v>-35</v>
      </c>
      <c r="O516">
        <v>-4900</v>
      </c>
      <c r="P516">
        <v>35</v>
      </c>
      <c r="Q516">
        <v>4900</v>
      </c>
      <c r="Z516" s="3" t="e">
        <f t="shared" si="8"/>
        <v>#DIV/0!</v>
      </c>
    </row>
    <row r="517" spans="1:26" hidden="1">
      <c r="A517" t="s">
        <v>706</v>
      </c>
      <c r="B517" s="6">
        <v>44287</v>
      </c>
      <c r="C517" s="6">
        <v>44651</v>
      </c>
      <c r="D517">
        <v>20210401</v>
      </c>
      <c r="E517">
        <v>20220331</v>
      </c>
      <c r="F517" t="s">
        <v>1817</v>
      </c>
      <c r="G517" t="s">
        <v>1818</v>
      </c>
      <c r="H517" t="s">
        <v>1267</v>
      </c>
      <c r="I517" t="s">
        <v>805</v>
      </c>
      <c r="J517">
        <v>100</v>
      </c>
      <c r="K517">
        <v>21748.34</v>
      </c>
      <c r="L517">
        <v>770</v>
      </c>
      <c r="M517">
        <v>97020</v>
      </c>
      <c r="N517">
        <v>-870</v>
      </c>
      <c r="O517">
        <v>-117020.01</v>
      </c>
      <c r="Y517">
        <v>1748.33</v>
      </c>
      <c r="Z517" s="3">
        <f t="shared" si="8"/>
        <v>134.50575862068965</v>
      </c>
    </row>
    <row r="518" spans="1:26" hidden="1">
      <c r="A518" t="s">
        <v>706</v>
      </c>
      <c r="B518" s="6">
        <v>44287</v>
      </c>
      <c r="C518" s="6">
        <v>44651</v>
      </c>
      <c r="D518">
        <v>20210401</v>
      </c>
      <c r="E518">
        <v>20220331</v>
      </c>
      <c r="F518" t="s">
        <v>1819</v>
      </c>
      <c r="G518" t="s">
        <v>1820</v>
      </c>
      <c r="H518" t="s">
        <v>590</v>
      </c>
      <c r="I518" t="s">
        <v>805</v>
      </c>
      <c r="L518">
        <v>5</v>
      </c>
      <c r="M518">
        <v>5450</v>
      </c>
      <c r="N518">
        <v>-5</v>
      </c>
      <c r="O518">
        <v>-5450</v>
      </c>
      <c r="Z518" s="3">
        <f t="shared" si="8"/>
        <v>1090</v>
      </c>
    </row>
    <row r="519" spans="1:26" hidden="1">
      <c r="A519" t="s">
        <v>706</v>
      </c>
      <c r="B519" s="6">
        <v>44287</v>
      </c>
      <c r="C519" s="6">
        <v>44651</v>
      </c>
      <c r="D519">
        <v>20210401</v>
      </c>
      <c r="E519">
        <v>20220331</v>
      </c>
      <c r="F519" t="s">
        <v>1821</v>
      </c>
      <c r="G519" t="s">
        <v>1822</v>
      </c>
      <c r="H519" t="s">
        <v>590</v>
      </c>
      <c r="I519" t="s">
        <v>805</v>
      </c>
      <c r="L519">
        <v>2</v>
      </c>
      <c r="M519">
        <v>550</v>
      </c>
      <c r="N519">
        <v>-2</v>
      </c>
      <c r="O519">
        <v>-550</v>
      </c>
      <c r="Z519" s="3">
        <f t="shared" si="8"/>
        <v>275</v>
      </c>
    </row>
    <row r="520" spans="1:26" hidden="1">
      <c r="A520" t="s">
        <v>706</v>
      </c>
      <c r="B520" s="6">
        <v>44287</v>
      </c>
      <c r="C520" s="6">
        <v>44651</v>
      </c>
      <c r="D520">
        <v>20210401</v>
      </c>
      <c r="E520">
        <v>20220331</v>
      </c>
      <c r="F520" t="s">
        <v>1823</v>
      </c>
      <c r="G520" t="s">
        <v>1824</v>
      </c>
      <c r="H520" t="s">
        <v>1267</v>
      </c>
      <c r="I520" t="s">
        <v>805</v>
      </c>
      <c r="J520">
        <v>2558</v>
      </c>
      <c r="K520">
        <v>104145.72</v>
      </c>
      <c r="N520">
        <v>-2558</v>
      </c>
      <c r="O520">
        <v>-104146.41</v>
      </c>
      <c r="Y520">
        <v>-0.69</v>
      </c>
      <c r="Z520" s="3">
        <f t="shared" si="8"/>
        <v>40.713999218139172</v>
      </c>
    </row>
    <row r="521" spans="1:26" hidden="1">
      <c r="A521" t="s">
        <v>706</v>
      </c>
      <c r="B521" s="6">
        <v>44287</v>
      </c>
      <c r="C521" s="6">
        <v>44651</v>
      </c>
      <c r="D521">
        <v>20210401</v>
      </c>
      <c r="E521">
        <v>20220331</v>
      </c>
      <c r="F521" t="s">
        <v>1825</v>
      </c>
      <c r="G521" t="s">
        <v>1826</v>
      </c>
      <c r="H521" t="s">
        <v>1267</v>
      </c>
      <c r="I521" t="s">
        <v>805</v>
      </c>
      <c r="L521">
        <v>2</v>
      </c>
      <c r="M521">
        <v>1188</v>
      </c>
      <c r="N521">
        <v>-2</v>
      </c>
      <c r="O521">
        <v>-1188</v>
      </c>
      <c r="Z521" s="3">
        <f t="shared" si="8"/>
        <v>594</v>
      </c>
    </row>
    <row r="522" spans="1:26" hidden="1">
      <c r="A522" t="s">
        <v>706</v>
      </c>
      <c r="B522" s="6">
        <v>44287</v>
      </c>
      <c r="C522" s="6">
        <v>44651</v>
      </c>
      <c r="D522">
        <v>20210401</v>
      </c>
      <c r="E522">
        <v>20220331</v>
      </c>
      <c r="F522" t="s">
        <v>1827</v>
      </c>
      <c r="G522" t="s">
        <v>1828</v>
      </c>
      <c r="H522" t="s">
        <v>590</v>
      </c>
      <c r="I522" t="s">
        <v>805</v>
      </c>
      <c r="J522">
        <v>217</v>
      </c>
      <c r="K522">
        <v>14065</v>
      </c>
      <c r="L522">
        <v>5575</v>
      </c>
      <c r="M522">
        <v>395175</v>
      </c>
      <c r="N522">
        <v>-4692</v>
      </c>
      <c r="O522">
        <v>-329129.51</v>
      </c>
      <c r="R522">
        <v>-900</v>
      </c>
      <c r="S522">
        <v>-64150.43</v>
      </c>
      <c r="X522">
        <v>200</v>
      </c>
      <c r="Y522">
        <v>15960.06</v>
      </c>
      <c r="Z522" s="3">
        <f t="shared" si="8"/>
        <v>70.146954390451839</v>
      </c>
    </row>
    <row r="523" spans="1:26" hidden="1">
      <c r="A523" t="s">
        <v>706</v>
      </c>
      <c r="B523" s="6">
        <v>44287</v>
      </c>
      <c r="C523" s="6">
        <v>44651</v>
      </c>
      <c r="D523">
        <v>20210401</v>
      </c>
      <c r="E523">
        <v>20220331</v>
      </c>
      <c r="F523" t="s">
        <v>1829</v>
      </c>
      <c r="G523" t="s">
        <v>1830</v>
      </c>
      <c r="H523" t="s">
        <v>613</v>
      </c>
      <c r="I523" t="s">
        <v>805</v>
      </c>
      <c r="L523">
        <v>12</v>
      </c>
      <c r="M523">
        <v>110376</v>
      </c>
      <c r="N523">
        <v>-12</v>
      </c>
      <c r="O523">
        <v>-110376</v>
      </c>
      <c r="Z523" s="3">
        <f t="shared" si="8"/>
        <v>9198</v>
      </c>
    </row>
    <row r="524" spans="1:26" hidden="1">
      <c r="A524" t="s">
        <v>706</v>
      </c>
      <c r="B524" s="6">
        <v>44287</v>
      </c>
      <c r="C524" s="6">
        <v>44651</v>
      </c>
      <c r="D524">
        <v>20210401</v>
      </c>
      <c r="E524">
        <v>20220331</v>
      </c>
      <c r="F524" t="s">
        <v>1831</v>
      </c>
      <c r="G524" t="s">
        <v>1832</v>
      </c>
      <c r="H524" t="s">
        <v>613</v>
      </c>
      <c r="I524" t="s">
        <v>805</v>
      </c>
      <c r="J524">
        <v>480</v>
      </c>
      <c r="K524">
        <v>49454.48</v>
      </c>
      <c r="L524">
        <v>6575</v>
      </c>
      <c r="M524">
        <v>531870</v>
      </c>
      <c r="N524">
        <v>-5775</v>
      </c>
      <c r="O524">
        <v>-479321.89</v>
      </c>
      <c r="X524">
        <v>1280</v>
      </c>
      <c r="Y524">
        <v>102002.59</v>
      </c>
      <c r="Z524" s="3">
        <f t="shared" si="8"/>
        <v>82.99946147186148</v>
      </c>
    </row>
    <row r="525" spans="1:26" hidden="1">
      <c r="A525" t="s">
        <v>706</v>
      </c>
      <c r="B525" s="6">
        <v>44287</v>
      </c>
      <c r="C525" s="6">
        <v>44651</v>
      </c>
      <c r="D525">
        <v>20210401</v>
      </c>
      <c r="E525">
        <v>20220331</v>
      </c>
      <c r="F525" t="s">
        <v>1833</v>
      </c>
      <c r="G525" t="s">
        <v>1834</v>
      </c>
      <c r="H525" t="s">
        <v>590</v>
      </c>
      <c r="I525" t="s">
        <v>805</v>
      </c>
      <c r="L525">
        <v>1344</v>
      </c>
      <c r="M525">
        <v>333177.59999999998</v>
      </c>
      <c r="N525">
        <v>-1224</v>
      </c>
      <c r="O525">
        <v>-297904.62</v>
      </c>
      <c r="X525">
        <v>120</v>
      </c>
      <c r="Y525">
        <v>35272.980000000003</v>
      </c>
      <c r="Z525" s="3">
        <f t="shared" si="8"/>
        <v>243.38612745098038</v>
      </c>
    </row>
    <row r="526" spans="1:26" hidden="1">
      <c r="A526" t="s">
        <v>706</v>
      </c>
      <c r="B526" s="6">
        <v>44287</v>
      </c>
      <c r="C526" s="6">
        <v>44651</v>
      </c>
      <c r="D526">
        <v>20210401</v>
      </c>
      <c r="E526">
        <v>20220331</v>
      </c>
      <c r="F526" t="s">
        <v>1835</v>
      </c>
      <c r="G526" t="s">
        <v>1836</v>
      </c>
      <c r="H526" t="s">
        <v>590</v>
      </c>
      <c r="I526" t="s">
        <v>805</v>
      </c>
      <c r="L526">
        <v>2184</v>
      </c>
      <c r="M526">
        <v>498999.12</v>
      </c>
      <c r="N526">
        <v>-1992</v>
      </c>
      <c r="O526">
        <v>-446996.69</v>
      </c>
      <c r="X526">
        <v>192</v>
      </c>
      <c r="Y526">
        <v>52002.43</v>
      </c>
      <c r="Z526" s="3">
        <f t="shared" si="8"/>
        <v>224.39592871485945</v>
      </c>
    </row>
    <row r="527" spans="1:26" hidden="1">
      <c r="A527" t="s">
        <v>706</v>
      </c>
      <c r="B527" s="6">
        <v>44287</v>
      </c>
      <c r="C527" s="6">
        <v>44651</v>
      </c>
      <c r="D527">
        <v>20210401</v>
      </c>
      <c r="E527">
        <v>20220331</v>
      </c>
      <c r="F527" t="s">
        <v>1837</v>
      </c>
      <c r="G527" t="s">
        <v>1838</v>
      </c>
      <c r="H527" t="s">
        <v>590</v>
      </c>
      <c r="I527" t="s">
        <v>805</v>
      </c>
      <c r="J527">
        <v>60</v>
      </c>
      <c r="K527">
        <v>4571.9399999999996</v>
      </c>
      <c r="L527">
        <v>745</v>
      </c>
      <c r="M527">
        <v>59600</v>
      </c>
      <c r="N527">
        <v>-755</v>
      </c>
      <c r="O527">
        <v>-60399.95</v>
      </c>
      <c r="X527">
        <v>50</v>
      </c>
      <c r="Y527">
        <v>3771.99</v>
      </c>
      <c r="Z527" s="3">
        <f t="shared" si="8"/>
        <v>79.999933774834432</v>
      </c>
    </row>
    <row r="528" spans="1:26" hidden="1">
      <c r="A528" t="s">
        <v>706</v>
      </c>
      <c r="B528" s="6">
        <v>44287</v>
      </c>
      <c r="C528" s="6">
        <v>44651</v>
      </c>
      <c r="D528">
        <v>20210401</v>
      </c>
      <c r="E528">
        <v>20220331</v>
      </c>
      <c r="F528" t="s">
        <v>1839</v>
      </c>
      <c r="G528" t="s">
        <v>1840</v>
      </c>
      <c r="H528" t="s">
        <v>590</v>
      </c>
      <c r="I528" t="s">
        <v>805</v>
      </c>
      <c r="L528">
        <v>72</v>
      </c>
      <c r="M528">
        <v>40759.199999999997</v>
      </c>
      <c r="N528">
        <v>-72</v>
      </c>
      <c r="O528">
        <v>-40759.199999999997</v>
      </c>
      <c r="Z528" s="3">
        <f t="shared" si="8"/>
        <v>566.09999999999991</v>
      </c>
    </row>
    <row r="529" spans="1:26" hidden="1">
      <c r="A529" t="s">
        <v>706</v>
      </c>
      <c r="B529" s="6">
        <v>44287</v>
      </c>
      <c r="C529" s="6">
        <v>44651</v>
      </c>
      <c r="D529">
        <v>20210401</v>
      </c>
      <c r="E529">
        <v>20220331</v>
      </c>
      <c r="F529" t="s">
        <v>1841</v>
      </c>
      <c r="G529" t="s">
        <v>1842</v>
      </c>
      <c r="H529" t="s">
        <v>590</v>
      </c>
      <c r="I529" t="s">
        <v>805</v>
      </c>
      <c r="J529">
        <v>18360</v>
      </c>
      <c r="K529">
        <v>77072.759999999995</v>
      </c>
      <c r="L529">
        <v>214560</v>
      </c>
      <c r="M529">
        <v>941723.2</v>
      </c>
      <c r="N529">
        <v>-42420</v>
      </c>
      <c r="O529">
        <v>-186988.07</v>
      </c>
      <c r="R529">
        <v>-170100</v>
      </c>
      <c r="S529">
        <v>-735927.19</v>
      </c>
      <c r="X529">
        <v>20400</v>
      </c>
      <c r="Y529">
        <v>95880.7</v>
      </c>
      <c r="Z529" s="3">
        <f t="shared" si="8"/>
        <v>4.4080167373880244</v>
      </c>
    </row>
    <row r="530" spans="1:26" hidden="1">
      <c r="A530" t="s">
        <v>706</v>
      </c>
      <c r="B530" s="6">
        <v>44287</v>
      </c>
      <c r="C530" s="6">
        <v>44651</v>
      </c>
      <c r="D530">
        <v>20210401</v>
      </c>
      <c r="E530">
        <v>20220331</v>
      </c>
      <c r="F530" t="s">
        <v>1843</v>
      </c>
      <c r="G530" t="s">
        <v>1844</v>
      </c>
      <c r="H530" t="s">
        <v>613</v>
      </c>
      <c r="I530" t="s">
        <v>1845</v>
      </c>
      <c r="J530">
        <v>66.8</v>
      </c>
      <c r="K530">
        <v>8683.6</v>
      </c>
      <c r="L530">
        <v>318.89999999999998</v>
      </c>
      <c r="M530">
        <v>44158.2</v>
      </c>
      <c r="N530">
        <v>-385.7</v>
      </c>
      <c r="O530">
        <v>-52842.37</v>
      </c>
      <c r="Y530">
        <v>-0.56999999999999995</v>
      </c>
      <c r="Z530" s="3">
        <f t="shared" si="8"/>
        <v>137.0038112522686</v>
      </c>
    </row>
    <row r="531" spans="1:26" hidden="1">
      <c r="A531" t="s">
        <v>706</v>
      </c>
      <c r="B531" s="6">
        <v>44287</v>
      </c>
      <c r="C531" s="6">
        <v>44651</v>
      </c>
      <c r="D531">
        <v>20210401</v>
      </c>
      <c r="E531">
        <v>20220331</v>
      </c>
      <c r="F531" t="s">
        <v>1846</v>
      </c>
      <c r="G531" t="s">
        <v>1847</v>
      </c>
      <c r="H531" t="s">
        <v>613</v>
      </c>
      <c r="I531" t="s">
        <v>1845</v>
      </c>
      <c r="N531">
        <v>-34</v>
      </c>
      <c r="X531">
        <v>-34</v>
      </c>
      <c r="Z531" s="3">
        <f t="shared" si="8"/>
        <v>0</v>
      </c>
    </row>
    <row r="532" spans="1:26" hidden="1">
      <c r="A532" t="s">
        <v>706</v>
      </c>
      <c r="B532" s="6">
        <v>44287</v>
      </c>
      <c r="C532" s="6">
        <v>44651</v>
      </c>
      <c r="D532">
        <v>20210401</v>
      </c>
      <c r="E532">
        <v>20220331</v>
      </c>
      <c r="F532" t="s">
        <v>1848</v>
      </c>
      <c r="G532" t="s">
        <v>1849</v>
      </c>
      <c r="H532" t="s">
        <v>590</v>
      </c>
      <c r="I532" t="s">
        <v>1845</v>
      </c>
      <c r="J532">
        <v>144</v>
      </c>
      <c r="K532">
        <v>4464</v>
      </c>
      <c r="L532">
        <v>6120</v>
      </c>
      <c r="M532">
        <v>196524</v>
      </c>
      <c r="N532">
        <v>-5976</v>
      </c>
      <c r="O532">
        <v>-192146.4</v>
      </c>
      <c r="X532">
        <v>288</v>
      </c>
      <c r="Y532">
        <v>8841.6</v>
      </c>
      <c r="Z532" s="3">
        <f t="shared" si="8"/>
        <v>32.153012048192771</v>
      </c>
    </row>
    <row r="533" spans="1:26" hidden="1">
      <c r="A533" t="s">
        <v>706</v>
      </c>
      <c r="B533" s="6">
        <v>44287</v>
      </c>
      <c r="C533" s="6">
        <v>44651</v>
      </c>
      <c r="D533">
        <v>20210401</v>
      </c>
      <c r="E533">
        <v>20220331</v>
      </c>
      <c r="F533" t="s">
        <v>1850</v>
      </c>
      <c r="G533" t="s">
        <v>1851</v>
      </c>
      <c r="H533" t="s">
        <v>613</v>
      </c>
      <c r="I533" t="s">
        <v>1845</v>
      </c>
      <c r="J533">
        <v>61.88</v>
      </c>
      <c r="K533">
        <v>6520.78</v>
      </c>
      <c r="L533">
        <v>406.1</v>
      </c>
      <c r="M533">
        <v>64582.81</v>
      </c>
      <c r="N533">
        <v>-467.98</v>
      </c>
      <c r="O533">
        <v>-74694.490000000005</v>
      </c>
      <c r="Y533">
        <v>-3590.9</v>
      </c>
      <c r="Z533" s="3">
        <f t="shared" si="8"/>
        <v>159.61043206974657</v>
      </c>
    </row>
    <row r="534" spans="1:26" hidden="1">
      <c r="A534" t="s">
        <v>706</v>
      </c>
      <c r="B534" s="6">
        <v>44287</v>
      </c>
      <c r="C534" s="6">
        <v>44651</v>
      </c>
      <c r="D534">
        <v>20210401</v>
      </c>
      <c r="E534">
        <v>20220331</v>
      </c>
      <c r="F534" t="s">
        <v>1852</v>
      </c>
      <c r="G534" t="s">
        <v>1853</v>
      </c>
      <c r="H534" t="s">
        <v>613</v>
      </c>
      <c r="I534" t="s">
        <v>1845</v>
      </c>
      <c r="J534">
        <v>222</v>
      </c>
      <c r="K534">
        <v>28859.98</v>
      </c>
      <c r="L534">
        <v>1733</v>
      </c>
      <c r="M534">
        <v>242208</v>
      </c>
      <c r="N534">
        <v>-1903</v>
      </c>
      <c r="O534">
        <v>-263633.38</v>
      </c>
      <c r="X534">
        <v>52</v>
      </c>
      <c r="Y534">
        <v>7434.6</v>
      </c>
      <c r="Z534" s="3">
        <f t="shared" si="8"/>
        <v>138.53566999474515</v>
      </c>
    </row>
    <row r="535" spans="1:26" hidden="1">
      <c r="A535" t="s">
        <v>706</v>
      </c>
      <c r="B535" s="6">
        <v>44287</v>
      </c>
      <c r="C535" s="6">
        <v>44651</v>
      </c>
      <c r="D535">
        <v>20210401</v>
      </c>
      <c r="E535">
        <v>20220331</v>
      </c>
      <c r="F535" t="s">
        <v>1854</v>
      </c>
      <c r="G535" t="s">
        <v>1855</v>
      </c>
      <c r="H535" t="s">
        <v>613</v>
      </c>
      <c r="I535" t="s">
        <v>805</v>
      </c>
      <c r="J535">
        <v>84.16</v>
      </c>
      <c r="K535">
        <v>13011.4</v>
      </c>
      <c r="L535">
        <v>72.3</v>
      </c>
      <c r="M535">
        <v>9977.4</v>
      </c>
      <c r="N535">
        <v>-71.16</v>
      </c>
      <c r="O535">
        <v>-10455.6</v>
      </c>
      <c r="X535">
        <v>85.3</v>
      </c>
      <c r="Y535">
        <v>12533.2</v>
      </c>
      <c r="Z535" s="3">
        <f t="shared" si="8"/>
        <v>146.93086003372682</v>
      </c>
    </row>
    <row r="536" spans="1:26" hidden="1">
      <c r="A536" t="s">
        <v>706</v>
      </c>
      <c r="B536" s="6">
        <v>44287</v>
      </c>
      <c r="C536" s="6">
        <v>44651</v>
      </c>
      <c r="D536">
        <v>20210401</v>
      </c>
      <c r="E536">
        <v>20220331</v>
      </c>
      <c r="F536" t="s">
        <v>1856</v>
      </c>
      <c r="G536" t="s">
        <v>1857</v>
      </c>
      <c r="H536" t="s">
        <v>1173</v>
      </c>
      <c r="I536" t="s">
        <v>805</v>
      </c>
      <c r="J536">
        <v>90</v>
      </c>
      <c r="K536">
        <v>1260</v>
      </c>
      <c r="N536">
        <v>-90</v>
      </c>
      <c r="O536">
        <v>-1260</v>
      </c>
      <c r="Z536" s="3">
        <f t="shared" si="8"/>
        <v>14</v>
      </c>
    </row>
    <row r="537" spans="1:26" hidden="1">
      <c r="A537" t="s">
        <v>706</v>
      </c>
      <c r="B537" s="6">
        <v>44287</v>
      </c>
      <c r="C537" s="6">
        <v>44651</v>
      </c>
      <c r="D537">
        <v>20210401</v>
      </c>
      <c r="E537">
        <v>20220331</v>
      </c>
      <c r="F537" t="s">
        <v>1858</v>
      </c>
      <c r="G537" t="s">
        <v>1859</v>
      </c>
      <c r="H537" t="s">
        <v>590</v>
      </c>
      <c r="I537" t="s">
        <v>1845</v>
      </c>
      <c r="L537">
        <v>32637</v>
      </c>
      <c r="M537">
        <v>578980.38</v>
      </c>
      <c r="N537">
        <v>-30808</v>
      </c>
      <c r="O537">
        <v>-545660.78</v>
      </c>
      <c r="X537">
        <v>1829</v>
      </c>
      <c r="Y537">
        <v>33319.599999999999</v>
      </c>
      <c r="Z537" s="3">
        <f t="shared" si="8"/>
        <v>17.71165866008829</v>
      </c>
    </row>
    <row r="538" spans="1:26" hidden="1">
      <c r="A538" t="s">
        <v>706</v>
      </c>
      <c r="B538" s="6">
        <v>44287</v>
      </c>
      <c r="C538" s="6">
        <v>44651</v>
      </c>
      <c r="D538">
        <v>20210401</v>
      </c>
      <c r="E538">
        <v>20220331</v>
      </c>
      <c r="F538" t="s">
        <v>1860</v>
      </c>
      <c r="G538" t="s">
        <v>1861</v>
      </c>
      <c r="H538" t="s">
        <v>590</v>
      </c>
      <c r="I538" t="s">
        <v>805</v>
      </c>
      <c r="J538">
        <v>9</v>
      </c>
      <c r="K538">
        <v>2340</v>
      </c>
      <c r="N538">
        <v>-9</v>
      </c>
      <c r="O538">
        <v>-2340</v>
      </c>
      <c r="Z538" s="3">
        <f t="shared" si="8"/>
        <v>260</v>
      </c>
    </row>
    <row r="539" spans="1:26" hidden="1">
      <c r="A539" t="s">
        <v>706</v>
      </c>
      <c r="B539" s="6">
        <v>44287</v>
      </c>
      <c r="C539" s="6">
        <v>44651</v>
      </c>
      <c r="D539">
        <v>20210401</v>
      </c>
      <c r="E539">
        <v>20220331</v>
      </c>
      <c r="F539" t="s">
        <v>1862</v>
      </c>
      <c r="G539" t="s">
        <v>1863</v>
      </c>
      <c r="H539" t="s">
        <v>613</v>
      </c>
      <c r="I539" t="s">
        <v>1845</v>
      </c>
      <c r="J539">
        <v>84</v>
      </c>
      <c r="K539">
        <v>10919.8</v>
      </c>
      <c r="L539">
        <v>1876</v>
      </c>
      <c r="M539">
        <v>261848.5</v>
      </c>
      <c r="N539">
        <v>-1938.1</v>
      </c>
      <c r="O539">
        <v>-269637.88</v>
      </c>
      <c r="X539">
        <v>21.9</v>
      </c>
      <c r="Y539">
        <v>3130.42</v>
      </c>
      <c r="Z539" s="3">
        <f t="shared" si="8"/>
        <v>139.12485423868739</v>
      </c>
    </row>
    <row r="540" spans="1:26" hidden="1">
      <c r="A540" t="s">
        <v>706</v>
      </c>
      <c r="B540" s="6">
        <v>44287</v>
      </c>
      <c r="C540" s="6">
        <v>44651</v>
      </c>
      <c r="D540">
        <v>20210401</v>
      </c>
      <c r="E540">
        <v>20220331</v>
      </c>
      <c r="F540" t="s">
        <v>1864</v>
      </c>
      <c r="G540" t="s">
        <v>1865</v>
      </c>
      <c r="H540" t="s">
        <v>590</v>
      </c>
      <c r="I540" t="s">
        <v>805</v>
      </c>
      <c r="J540">
        <v>2500</v>
      </c>
      <c r="K540">
        <v>34999.96</v>
      </c>
      <c r="L540">
        <v>7050</v>
      </c>
      <c r="M540">
        <v>111037.5</v>
      </c>
      <c r="N540">
        <v>-9550</v>
      </c>
      <c r="O540">
        <v>-146037.32</v>
      </c>
      <c r="Y540">
        <v>0.14000000000000001</v>
      </c>
      <c r="Z540" s="3">
        <f t="shared" si="8"/>
        <v>15.291865968586388</v>
      </c>
    </row>
    <row r="541" spans="1:26" hidden="1">
      <c r="A541" t="s">
        <v>706</v>
      </c>
      <c r="B541" s="6">
        <v>44287</v>
      </c>
      <c r="C541" s="6">
        <v>44651</v>
      </c>
      <c r="D541">
        <v>20210401</v>
      </c>
      <c r="E541">
        <v>20220331</v>
      </c>
      <c r="F541" t="s">
        <v>1866</v>
      </c>
      <c r="G541" t="s">
        <v>1867</v>
      </c>
      <c r="H541" t="s">
        <v>613</v>
      </c>
      <c r="I541" t="s">
        <v>1845</v>
      </c>
      <c r="L541">
        <v>1496.4</v>
      </c>
      <c r="M541">
        <v>209068.2</v>
      </c>
      <c r="N541">
        <v>-1496.4</v>
      </c>
      <c r="O541">
        <v>-209068.2</v>
      </c>
      <c r="Z541" s="3">
        <f t="shared" si="8"/>
        <v>139.7141138732959</v>
      </c>
    </row>
    <row r="542" spans="1:26" hidden="1">
      <c r="A542" t="s">
        <v>706</v>
      </c>
      <c r="B542" s="6">
        <v>44287</v>
      </c>
      <c r="C542" s="6">
        <v>44651</v>
      </c>
      <c r="D542">
        <v>20210401</v>
      </c>
      <c r="E542">
        <v>20220331</v>
      </c>
      <c r="F542" t="s">
        <v>1868</v>
      </c>
      <c r="G542" t="s">
        <v>1869</v>
      </c>
      <c r="H542" t="s">
        <v>590</v>
      </c>
      <c r="I542" t="s">
        <v>1845</v>
      </c>
      <c r="L542">
        <v>3212</v>
      </c>
      <c r="M542">
        <v>109047.4</v>
      </c>
      <c r="N542">
        <v>-3212</v>
      </c>
      <c r="O542">
        <v>-109047.5</v>
      </c>
      <c r="Y542">
        <v>-0.1</v>
      </c>
      <c r="Z542" s="3">
        <f t="shared" si="8"/>
        <v>33.950031133250313</v>
      </c>
    </row>
    <row r="543" spans="1:26" hidden="1">
      <c r="A543" t="s">
        <v>706</v>
      </c>
      <c r="B543" s="6">
        <v>44287</v>
      </c>
      <c r="C543" s="6">
        <v>44651</v>
      </c>
      <c r="D543">
        <v>20210401</v>
      </c>
      <c r="E543">
        <v>20220331</v>
      </c>
      <c r="F543" t="s">
        <v>1870</v>
      </c>
      <c r="G543" t="s">
        <v>1869</v>
      </c>
      <c r="H543" t="s">
        <v>590</v>
      </c>
      <c r="I543" t="s">
        <v>1845</v>
      </c>
      <c r="J543">
        <v>260</v>
      </c>
      <c r="K543">
        <v>12354.78</v>
      </c>
      <c r="L543">
        <v>1140</v>
      </c>
      <c r="M543">
        <v>54891</v>
      </c>
      <c r="N543">
        <v>-1400</v>
      </c>
      <c r="O543">
        <v>-67404.929999999993</v>
      </c>
      <c r="Y543">
        <v>-159.15</v>
      </c>
      <c r="Z543" s="3">
        <f t="shared" si="8"/>
        <v>48.146378571428563</v>
      </c>
    </row>
    <row r="544" spans="1:26" hidden="1">
      <c r="A544" t="s">
        <v>706</v>
      </c>
      <c r="B544" s="6">
        <v>44287</v>
      </c>
      <c r="C544" s="6">
        <v>44651</v>
      </c>
      <c r="D544">
        <v>20210401</v>
      </c>
      <c r="E544">
        <v>20220331</v>
      </c>
      <c r="F544" t="s">
        <v>1871</v>
      </c>
      <c r="G544" t="s">
        <v>1869</v>
      </c>
      <c r="H544" t="s">
        <v>590</v>
      </c>
      <c r="I544" t="s">
        <v>1845</v>
      </c>
      <c r="J544">
        <v>226</v>
      </c>
      <c r="K544">
        <v>7910</v>
      </c>
      <c r="L544">
        <v>648</v>
      </c>
      <c r="M544">
        <v>22680</v>
      </c>
      <c r="N544">
        <v>-874</v>
      </c>
      <c r="O544">
        <v>-30590</v>
      </c>
      <c r="Z544" s="3">
        <f t="shared" si="8"/>
        <v>35</v>
      </c>
    </row>
    <row r="545" spans="1:26" hidden="1">
      <c r="A545" t="s">
        <v>706</v>
      </c>
      <c r="B545" s="6">
        <v>44287</v>
      </c>
      <c r="C545" s="6">
        <v>44651</v>
      </c>
      <c r="D545">
        <v>20210401</v>
      </c>
      <c r="E545">
        <v>20220331</v>
      </c>
      <c r="F545" t="s">
        <v>1872</v>
      </c>
      <c r="G545" t="s">
        <v>1873</v>
      </c>
      <c r="H545" t="s">
        <v>590</v>
      </c>
      <c r="I545" t="s">
        <v>1845</v>
      </c>
      <c r="J545">
        <v>300</v>
      </c>
      <c r="K545">
        <v>18461.919999999998</v>
      </c>
      <c r="L545">
        <v>33502</v>
      </c>
      <c r="M545">
        <v>2061378.06</v>
      </c>
      <c r="N545">
        <v>-32862</v>
      </c>
      <c r="O545">
        <v>-2022000.83</v>
      </c>
      <c r="X545">
        <v>940</v>
      </c>
      <c r="Y545">
        <v>57839.15</v>
      </c>
      <c r="Z545" s="3">
        <f t="shared" si="8"/>
        <v>61.530059947659915</v>
      </c>
    </row>
    <row r="546" spans="1:26" hidden="1">
      <c r="A546" t="s">
        <v>706</v>
      </c>
      <c r="B546" s="6">
        <v>44287</v>
      </c>
      <c r="C546" s="6">
        <v>44651</v>
      </c>
      <c r="D546">
        <v>20210401</v>
      </c>
      <c r="E546">
        <v>20220331</v>
      </c>
      <c r="F546" t="s">
        <v>1874</v>
      </c>
      <c r="G546" t="s">
        <v>1875</v>
      </c>
      <c r="H546" t="s">
        <v>590</v>
      </c>
      <c r="I546" t="s">
        <v>805</v>
      </c>
      <c r="J546">
        <v>324</v>
      </c>
      <c r="K546">
        <v>16834.990000000002</v>
      </c>
      <c r="L546">
        <v>1940</v>
      </c>
      <c r="M546">
        <v>112520</v>
      </c>
      <c r="N546">
        <v>-2264</v>
      </c>
      <c r="O546">
        <v>-129355.05</v>
      </c>
      <c r="Y546">
        <v>-0.06</v>
      </c>
      <c r="Z546" s="3">
        <f t="shared" si="8"/>
        <v>57.135622791519438</v>
      </c>
    </row>
    <row r="547" spans="1:26" hidden="1">
      <c r="A547" t="s">
        <v>706</v>
      </c>
      <c r="B547" s="6">
        <v>44287</v>
      </c>
      <c r="C547" s="6">
        <v>44651</v>
      </c>
      <c r="D547">
        <v>20210401</v>
      </c>
      <c r="E547">
        <v>20220331</v>
      </c>
      <c r="F547" t="s">
        <v>1876</v>
      </c>
      <c r="G547" t="s">
        <v>1877</v>
      </c>
      <c r="H547" t="s">
        <v>590</v>
      </c>
      <c r="I547" t="s">
        <v>805</v>
      </c>
      <c r="J547">
        <v>850</v>
      </c>
      <c r="K547">
        <v>31747.52</v>
      </c>
      <c r="N547">
        <v>-850</v>
      </c>
      <c r="O547">
        <v>-31747.5</v>
      </c>
      <c r="Y547">
        <v>0.02</v>
      </c>
      <c r="Z547" s="3">
        <f t="shared" si="8"/>
        <v>37.35</v>
      </c>
    </row>
    <row r="548" spans="1:26" hidden="1">
      <c r="A548" t="s">
        <v>706</v>
      </c>
      <c r="B548" s="6">
        <v>44287</v>
      </c>
      <c r="C548" s="6">
        <v>44651</v>
      </c>
      <c r="D548">
        <v>20210401</v>
      </c>
      <c r="E548">
        <v>20220331</v>
      </c>
      <c r="F548" t="s">
        <v>1878</v>
      </c>
      <c r="G548" t="s">
        <v>1879</v>
      </c>
      <c r="H548" t="s">
        <v>590</v>
      </c>
      <c r="I548" t="s">
        <v>805</v>
      </c>
      <c r="L548">
        <v>2600</v>
      </c>
      <c r="M548">
        <v>24700</v>
      </c>
      <c r="N548">
        <v>-2600</v>
      </c>
      <c r="O548">
        <v>-24700</v>
      </c>
      <c r="Z548" s="3">
        <f t="shared" si="8"/>
        <v>9.5</v>
      </c>
    </row>
    <row r="549" spans="1:26" hidden="1">
      <c r="A549" t="s">
        <v>706</v>
      </c>
      <c r="B549" s="6">
        <v>44287</v>
      </c>
      <c r="C549" s="6">
        <v>44651</v>
      </c>
      <c r="D549">
        <v>20210401</v>
      </c>
      <c r="E549">
        <v>20220331</v>
      </c>
      <c r="F549" t="s">
        <v>1880</v>
      </c>
      <c r="G549" t="s">
        <v>1881</v>
      </c>
      <c r="H549" t="s">
        <v>1882</v>
      </c>
      <c r="I549" t="s">
        <v>805</v>
      </c>
      <c r="L549">
        <v>1</v>
      </c>
      <c r="M549">
        <v>225</v>
      </c>
      <c r="N549">
        <v>-1</v>
      </c>
      <c r="O549">
        <v>-225</v>
      </c>
      <c r="Z549" s="3">
        <f t="shared" si="8"/>
        <v>225</v>
      </c>
    </row>
    <row r="550" spans="1:26" hidden="1">
      <c r="A550" t="s">
        <v>706</v>
      </c>
      <c r="B550" s="6">
        <v>44287</v>
      </c>
      <c r="C550" s="6">
        <v>44651</v>
      </c>
      <c r="D550">
        <v>20210401</v>
      </c>
      <c r="E550">
        <v>20220331</v>
      </c>
      <c r="F550" t="s">
        <v>1883</v>
      </c>
      <c r="G550" t="s">
        <v>1884</v>
      </c>
      <c r="H550" t="s">
        <v>590</v>
      </c>
      <c r="I550" t="s">
        <v>1845</v>
      </c>
      <c r="L550">
        <v>34</v>
      </c>
      <c r="M550">
        <v>32537</v>
      </c>
      <c r="N550">
        <v>-34</v>
      </c>
      <c r="O550">
        <v>-31223</v>
      </c>
      <c r="Y550">
        <v>1314</v>
      </c>
      <c r="Z550" s="3">
        <f t="shared" si="8"/>
        <v>918.32352941176475</v>
      </c>
    </row>
    <row r="551" spans="1:26" hidden="1">
      <c r="A551" t="s">
        <v>706</v>
      </c>
      <c r="B551" s="6">
        <v>44287</v>
      </c>
      <c r="C551" s="6">
        <v>44651</v>
      </c>
      <c r="D551">
        <v>20210401</v>
      </c>
      <c r="E551">
        <v>20220331</v>
      </c>
      <c r="F551" t="s">
        <v>1885</v>
      </c>
      <c r="G551" t="s">
        <v>1886</v>
      </c>
      <c r="H551" t="s">
        <v>590</v>
      </c>
      <c r="I551" t="s">
        <v>1845</v>
      </c>
      <c r="L551">
        <v>1195</v>
      </c>
      <c r="M551">
        <v>8365</v>
      </c>
      <c r="N551">
        <v>-1195</v>
      </c>
      <c r="O551">
        <v>-8365</v>
      </c>
      <c r="Z551" s="3">
        <f t="shared" si="8"/>
        <v>7</v>
      </c>
    </row>
    <row r="552" spans="1:26" hidden="1">
      <c r="A552" t="s">
        <v>706</v>
      </c>
      <c r="B552" s="6">
        <v>44287</v>
      </c>
      <c r="C552" s="6">
        <v>44651</v>
      </c>
      <c r="D552">
        <v>20210401</v>
      </c>
      <c r="E552">
        <v>20220331</v>
      </c>
      <c r="F552" t="s">
        <v>1887</v>
      </c>
      <c r="G552" t="s">
        <v>1888</v>
      </c>
      <c r="H552" t="s">
        <v>590</v>
      </c>
      <c r="I552" t="s">
        <v>1845</v>
      </c>
      <c r="K552">
        <v>0.05</v>
      </c>
      <c r="L552">
        <v>310</v>
      </c>
      <c r="M552">
        <v>2325</v>
      </c>
      <c r="N552">
        <v>-310</v>
      </c>
      <c r="O552">
        <v>-2325</v>
      </c>
      <c r="Y552">
        <v>0.05</v>
      </c>
      <c r="Z552" s="3">
        <f t="shared" si="8"/>
        <v>7.5</v>
      </c>
    </row>
    <row r="553" spans="1:26" hidden="1">
      <c r="A553" t="s">
        <v>706</v>
      </c>
      <c r="B553" s="6">
        <v>44287</v>
      </c>
      <c r="C553" s="6">
        <v>44651</v>
      </c>
      <c r="D553">
        <v>20210401</v>
      </c>
      <c r="E553">
        <v>20220331</v>
      </c>
      <c r="F553" t="s">
        <v>1889</v>
      </c>
      <c r="G553" t="s">
        <v>1890</v>
      </c>
      <c r="H553" t="s">
        <v>590</v>
      </c>
      <c r="I553" t="s">
        <v>1845</v>
      </c>
      <c r="L553">
        <v>560</v>
      </c>
      <c r="M553">
        <v>3920</v>
      </c>
      <c r="N553">
        <v>-560</v>
      </c>
      <c r="O553">
        <v>-3920</v>
      </c>
      <c r="Z553" s="3">
        <f t="shared" si="8"/>
        <v>7</v>
      </c>
    </row>
    <row r="554" spans="1:26" hidden="1">
      <c r="A554" t="s">
        <v>706</v>
      </c>
      <c r="B554" s="6">
        <v>44287</v>
      </c>
      <c r="C554" s="6">
        <v>44651</v>
      </c>
      <c r="D554">
        <v>20210401</v>
      </c>
      <c r="E554">
        <v>20220331</v>
      </c>
      <c r="F554" t="s">
        <v>1891</v>
      </c>
      <c r="G554" t="s">
        <v>1892</v>
      </c>
      <c r="H554" t="s">
        <v>590</v>
      </c>
      <c r="I554" t="s">
        <v>1845</v>
      </c>
      <c r="L554">
        <v>30</v>
      </c>
      <c r="M554">
        <v>20550</v>
      </c>
      <c r="N554">
        <v>-27</v>
      </c>
      <c r="O554">
        <v>-18495</v>
      </c>
      <c r="X554">
        <v>3</v>
      </c>
      <c r="Y554">
        <v>2055</v>
      </c>
      <c r="Z554" s="3">
        <f t="shared" si="8"/>
        <v>685</v>
      </c>
    </row>
    <row r="555" spans="1:26" hidden="1">
      <c r="A555" t="s">
        <v>706</v>
      </c>
      <c r="B555" s="6">
        <v>44287</v>
      </c>
      <c r="C555" s="6">
        <v>44651</v>
      </c>
      <c r="D555">
        <v>20210401</v>
      </c>
      <c r="E555">
        <v>20220331</v>
      </c>
      <c r="F555" t="s">
        <v>1893</v>
      </c>
      <c r="G555" t="s">
        <v>1894</v>
      </c>
      <c r="H555" t="s">
        <v>590</v>
      </c>
      <c r="I555" t="s">
        <v>1845</v>
      </c>
      <c r="L555">
        <v>925</v>
      </c>
      <c r="M555">
        <v>5180</v>
      </c>
      <c r="N555">
        <v>-925</v>
      </c>
      <c r="O555">
        <v>-5180</v>
      </c>
      <c r="Z555" s="3">
        <f t="shared" si="8"/>
        <v>5.6</v>
      </c>
    </row>
    <row r="556" spans="1:26" hidden="1">
      <c r="A556" t="s">
        <v>706</v>
      </c>
      <c r="B556" s="6">
        <v>44287</v>
      </c>
      <c r="C556" s="6">
        <v>44651</v>
      </c>
      <c r="D556">
        <v>20210401</v>
      </c>
      <c r="E556">
        <v>20220331</v>
      </c>
      <c r="F556" t="s">
        <v>1895</v>
      </c>
      <c r="G556" t="s">
        <v>1896</v>
      </c>
      <c r="H556" t="s">
        <v>590</v>
      </c>
      <c r="I556" t="s">
        <v>1845</v>
      </c>
      <c r="L556">
        <v>1110</v>
      </c>
      <c r="M556">
        <v>5328</v>
      </c>
      <c r="N556">
        <v>-1110</v>
      </c>
      <c r="O556">
        <v>-5328</v>
      </c>
      <c r="Z556" s="3">
        <f t="shared" si="8"/>
        <v>4.8</v>
      </c>
    </row>
    <row r="557" spans="1:26" hidden="1">
      <c r="A557" t="s">
        <v>706</v>
      </c>
      <c r="B557" s="6">
        <v>44287</v>
      </c>
      <c r="C557" s="6">
        <v>44651</v>
      </c>
      <c r="D557">
        <v>20210401</v>
      </c>
      <c r="E557">
        <v>20220331</v>
      </c>
      <c r="F557" t="s">
        <v>1897</v>
      </c>
      <c r="G557" t="s">
        <v>1898</v>
      </c>
      <c r="H557" t="s">
        <v>590</v>
      </c>
      <c r="I557" t="s">
        <v>1845</v>
      </c>
      <c r="K557">
        <v>0.04</v>
      </c>
      <c r="L557">
        <v>1200</v>
      </c>
      <c r="M557">
        <v>6480</v>
      </c>
      <c r="N557">
        <v>-1200</v>
      </c>
      <c r="O557">
        <v>-6480</v>
      </c>
      <c r="Y557">
        <v>0.04</v>
      </c>
      <c r="Z557" s="3">
        <f t="shared" si="8"/>
        <v>5.4</v>
      </c>
    </row>
    <row r="558" spans="1:26" hidden="1">
      <c r="A558" t="s">
        <v>706</v>
      </c>
      <c r="B558" s="6">
        <v>44287</v>
      </c>
      <c r="C558" s="6">
        <v>44651</v>
      </c>
      <c r="D558">
        <v>20210401</v>
      </c>
      <c r="E558">
        <v>20220331</v>
      </c>
      <c r="F558" t="s">
        <v>1899</v>
      </c>
      <c r="G558" t="s">
        <v>1900</v>
      </c>
      <c r="H558" t="s">
        <v>590</v>
      </c>
      <c r="I558" t="s">
        <v>1845</v>
      </c>
      <c r="J558">
        <v>70</v>
      </c>
      <c r="K558">
        <v>1820</v>
      </c>
      <c r="N558">
        <v>-70</v>
      </c>
      <c r="O558">
        <v>-1820</v>
      </c>
      <c r="Z558" s="3">
        <f t="shared" si="8"/>
        <v>26</v>
      </c>
    </row>
    <row r="559" spans="1:26" hidden="1">
      <c r="A559" t="s">
        <v>706</v>
      </c>
      <c r="B559" s="6">
        <v>44287</v>
      </c>
      <c r="C559" s="6">
        <v>44651</v>
      </c>
      <c r="D559">
        <v>20210401</v>
      </c>
      <c r="E559">
        <v>20220331</v>
      </c>
      <c r="F559" t="s">
        <v>1901</v>
      </c>
      <c r="G559" t="s">
        <v>1902</v>
      </c>
      <c r="H559" t="s">
        <v>590</v>
      </c>
      <c r="I559" t="s">
        <v>1845</v>
      </c>
      <c r="L559">
        <v>97</v>
      </c>
      <c r="M559">
        <v>116400</v>
      </c>
      <c r="N559">
        <v>-97</v>
      </c>
      <c r="O559">
        <v>-116400</v>
      </c>
      <c r="Z559" s="3">
        <f t="shared" si="8"/>
        <v>1200</v>
      </c>
    </row>
    <row r="560" spans="1:26" hidden="1">
      <c r="A560" t="s">
        <v>706</v>
      </c>
      <c r="B560" s="6">
        <v>44287</v>
      </c>
      <c r="C560" s="6">
        <v>44651</v>
      </c>
      <c r="D560">
        <v>20210401</v>
      </c>
      <c r="E560">
        <v>20220331</v>
      </c>
      <c r="F560" t="s">
        <v>1903</v>
      </c>
      <c r="G560" t="s">
        <v>1904</v>
      </c>
      <c r="H560" t="s">
        <v>590</v>
      </c>
      <c r="I560" t="s">
        <v>1845</v>
      </c>
      <c r="L560">
        <v>8</v>
      </c>
      <c r="M560">
        <v>2200</v>
      </c>
      <c r="N560">
        <v>-8</v>
      </c>
      <c r="O560">
        <v>-2200</v>
      </c>
      <c r="Z560" s="3">
        <f t="shared" si="8"/>
        <v>275</v>
      </c>
    </row>
    <row r="561" spans="1:26" hidden="1">
      <c r="A561" t="s">
        <v>706</v>
      </c>
      <c r="B561" s="6">
        <v>44287</v>
      </c>
      <c r="C561" s="6">
        <v>44651</v>
      </c>
      <c r="D561">
        <v>20210401</v>
      </c>
      <c r="E561">
        <v>20220331</v>
      </c>
      <c r="F561" t="s">
        <v>1905</v>
      </c>
      <c r="G561" t="s">
        <v>1906</v>
      </c>
      <c r="H561" t="s">
        <v>590</v>
      </c>
      <c r="I561" t="s">
        <v>1845</v>
      </c>
      <c r="L561">
        <v>12</v>
      </c>
      <c r="M561">
        <v>21000</v>
      </c>
      <c r="N561">
        <v>-12</v>
      </c>
      <c r="O561">
        <v>-21000</v>
      </c>
      <c r="Z561" s="3">
        <f t="shared" si="8"/>
        <v>1750</v>
      </c>
    </row>
    <row r="562" spans="1:26" hidden="1">
      <c r="A562" t="s">
        <v>706</v>
      </c>
      <c r="B562" s="6">
        <v>44287</v>
      </c>
      <c r="C562" s="6">
        <v>44651</v>
      </c>
      <c r="D562">
        <v>20210401</v>
      </c>
      <c r="E562">
        <v>20220331</v>
      </c>
      <c r="F562" t="s">
        <v>1907</v>
      </c>
      <c r="G562" t="s">
        <v>1908</v>
      </c>
      <c r="H562" t="s">
        <v>613</v>
      </c>
      <c r="I562" t="s">
        <v>1845</v>
      </c>
      <c r="J562">
        <v>17.600000000000001</v>
      </c>
      <c r="K562">
        <v>2288</v>
      </c>
      <c r="N562">
        <v>-17.600000000000001</v>
      </c>
      <c r="O562">
        <v>-2288</v>
      </c>
      <c r="Z562" s="3">
        <f t="shared" si="8"/>
        <v>130</v>
      </c>
    </row>
    <row r="563" spans="1:26" hidden="1">
      <c r="A563" t="s">
        <v>706</v>
      </c>
      <c r="B563" s="6">
        <v>44287</v>
      </c>
      <c r="C563" s="6">
        <v>44651</v>
      </c>
      <c r="D563">
        <v>20210401</v>
      </c>
      <c r="E563">
        <v>20220331</v>
      </c>
      <c r="F563" t="s">
        <v>1909</v>
      </c>
      <c r="G563" t="s">
        <v>1910</v>
      </c>
      <c r="H563" t="s">
        <v>613</v>
      </c>
      <c r="I563" t="s">
        <v>805</v>
      </c>
      <c r="L563">
        <v>21951</v>
      </c>
      <c r="M563">
        <v>1035672.5</v>
      </c>
      <c r="N563">
        <v>-21951</v>
      </c>
      <c r="O563">
        <v>-1035672.64</v>
      </c>
      <c r="Y563">
        <v>-0.14000000000000001</v>
      </c>
      <c r="Z563" s="3">
        <f t="shared" si="8"/>
        <v>47.181114300031886</v>
      </c>
    </row>
    <row r="564" spans="1:26" hidden="1">
      <c r="A564" t="s">
        <v>706</v>
      </c>
      <c r="B564" s="6">
        <v>44287</v>
      </c>
      <c r="C564" s="6">
        <v>44651</v>
      </c>
      <c r="D564">
        <v>20210401</v>
      </c>
      <c r="E564">
        <v>20220331</v>
      </c>
      <c r="F564" t="s">
        <v>1911</v>
      </c>
      <c r="G564" t="s">
        <v>1912</v>
      </c>
      <c r="H564" t="s">
        <v>590</v>
      </c>
      <c r="I564" t="s">
        <v>1845</v>
      </c>
      <c r="L564">
        <v>111</v>
      </c>
      <c r="M564">
        <v>38370</v>
      </c>
      <c r="N564">
        <v>-99</v>
      </c>
      <c r="O564">
        <v>-34170.879999999997</v>
      </c>
      <c r="X564">
        <v>12</v>
      </c>
      <c r="Y564">
        <v>4199.12</v>
      </c>
      <c r="Z564" s="3">
        <f t="shared" si="8"/>
        <v>345.16040404040399</v>
      </c>
    </row>
    <row r="565" spans="1:26" hidden="1">
      <c r="A565" t="s">
        <v>706</v>
      </c>
      <c r="B565" s="6">
        <v>44287</v>
      </c>
      <c r="C565" s="6">
        <v>44651</v>
      </c>
      <c r="D565">
        <v>20210401</v>
      </c>
      <c r="E565">
        <v>20220331</v>
      </c>
      <c r="F565" t="s">
        <v>1913</v>
      </c>
      <c r="G565" t="s">
        <v>1914</v>
      </c>
      <c r="H565" t="s">
        <v>590</v>
      </c>
      <c r="I565" t="s">
        <v>805</v>
      </c>
      <c r="L565">
        <v>100</v>
      </c>
      <c r="M565">
        <v>25000</v>
      </c>
      <c r="N565">
        <v>-100</v>
      </c>
      <c r="O565">
        <v>-25000</v>
      </c>
      <c r="Z565" s="3">
        <f t="shared" si="8"/>
        <v>250</v>
      </c>
    </row>
    <row r="566" spans="1:26" hidden="1">
      <c r="A566" t="s">
        <v>706</v>
      </c>
      <c r="B566" s="6">
        <v>44287</v>
      </c>
      <c r="C566" s="6">
        <v>44651</v>
      </c>
      <c r="D566">
        <v>20210401</v>
      </c>
      <c r="E566">
        <v>20220331</v>
      </c>
      <c r="F566" t="s">
        <v>1915</v>
      </c>
      <c r="G566" t="s">
        <v>1916</v>
      </c>
      <c r="H566" t="s">
        <v>590</v>
      </c>
      <c r="I566" t="s">
        <v>1845</v>
      </c>
      <c r="J566">
        <v>120</v>
      </c>
      <c r="K566">
        <v>5412</v>
      </c>
      <c r="N566">
        <v>-120</v>
      </c>
      <c r="O566">
        <v>-5412</v>
      </c>
      <c r="Z566" s="3">
        <f t="shared" si="8"/>
        <v>45.1</v>
      </c>
    </row>
    <row r="567" spans="1:26" hidden="1">
      <c r="A567" t="s">
        <v>706</v>
      </c>
      <c r="B567" s="6">
        <v>44287</v>
      </c>
      <c r="C567" s="6">
        <v>44651</v>
      </c>
      <c r="D567">
        <v>20210401</v>
      </c>
      <c r="E567">
        <v>20220331</v>
      </c>
      <c r="F567" t="s">
        <v>1917</v>
      </c>
      <c r="G567" t="s">
        <v>1918</v>
      </c>
      <c r="H567" t="s">
        <v>1882</v>
      </c>
      <c r="I567" t="s">
        <v>1845</v>
      </c>
      <c r="J567">
        <v>10</v>
      </c>
      <c r="K567">
        <v>4600.1099999999997</v>
      </c>
      <c r="L567">
        <v>226</v>
      </c>
      <c r="M567">
        <v>95900</v>
      </c>
      <c r="N567">
        <v>-236</v>
      </c>
      <c r="O567">
        <v>-100500</v>
      </c>
      <c r="Y567">
        <v>0.11</v>
      </c>
      <c r="Z567" s="3">
        <f t="shared" si="8"/>
        <v>425.84745762711867</v>
      </c>
    </row>
    <row r="568" spans="1:26" hidden="1">
      <c r="A568" t="s">
        <v>706</v>
      </c>
      <c r="B568" s="6">
        <v>44287</v>
      </c>
      <c r="C568" s="6">
        <v>44651</v>
      </c>
      <c r="D568">
        <v>20210401</v>
      </c>
      <c r="E568">
        <v>20220331</v>
      </c>
      <c r="F568" t="s">
        <v>1919</v>
      </c>
      <c r="G568" t="s">
        <v>1920</v>
      </c>
      <c r="H568" t="s">
        <v>590</v>
      </c>
      <c r="I568" t="s">
        <v>805</v>
      </c>
      <c r="J568">
        <v>3</v>
      </c>
      <c r="K568">
        <v>3</v>
      </c>
      <c r="N568">
        <v>-3</v>
      </c>
      <c r="O568">
        <v>-3</v>
      </c>
      <c r="Z568" s="3">
        <f t="shared" si="8"/>
        <v>1</v>
      </c>
    </row>
    <row r="569" spans="1:26" hidden="1">
      <c r="A569" t="s">
        <v>706</v>
      </c>
      <c r="B569" s="6">
        <v>44287</v>
      </c>
      <c r="C569" s="6">
        <v>44651</v>
      </c>
      <c r="D569">
        <v>20210401</v>
      </c>
      <c r="E569">
        <v>20220331</v>
      </c>
      <c r="F569" t="s">
        <v>1921</v>
      </c>
      <c r="G569" t="s">
        <v>1922</v>
      </c>
      <c r="H569" t="s">
        <v>590</v>
      </c>
      <c r="I569" t="s">
        <v>1845</v>
      </c>
      <c r="J569">
        <v>2</v>
      </c>
      <c r="K569">
        <v>800</v>
      </c>
      <c r="N569">
        <v>-2</v>
      </c>
      <c r="O569">
        <v>-800</v>
      </c>
      <c r="Z569" s="3">
        <f t="shared" si="8"/>
        <v>400</v>
      </c>
    </row>
    <row r="570" spans="1:26" hidden="1">
      <c r="A570" t="s">
        <v>706</v>
      </c>
      <c r="B570" s="6">
        <v>44287</v>
      </c>
      <c r="C570" s="6">
        <v>44651</v>
      </c>
      <c r="D570">
        <v>20210401</v>
      </c>
      <c r="E570">
        <v>20220331</v>
      </c>
      <c r="F570" t="s">
        <v>1923</v>
      </c>
      <c r="G570" t="s">
        <v>1924</v>
      </c>
      <c r="H570" t="s">
        <v>590</v>
      </c>
      <c r="I570" t="s">
        <v>805</v>
      </c>
      <c r="L570">
        <v>2</v>
      </c>
      <c r="M570">
        <v>7000</v>
      </c>
      <c r="N570">
        <v>-2</v>
      </c>
      <c r="O570">
        <v>-7000</v>
      </c>
      <c r="Z570" s="3">
        <f t="shared" si="8"/>
        <v>3500</v>
      </c>
    </row>
    <row r="571" spans="1:26" hidden="1">
      <c r="A571" t="s">
        <v>706</v>
      </c>
      <c r="B571" s="6">
        <v>44287</v>
      </c>
      <c r="C571" s="6">
        <v>44651</v>
      </c>
      <c r="D571">
        <v>20210401</v>
      </c>
      <c r="E571">
        <v>20220331</v>
      </c>
      <c r="F571" t="s">
        <v>1925</v>
      </c>
      <c r="G571" t="s">
        <v>1926</v>
      </c>
      <c r="H571" t="s">
        <v>590</v>
      </c>
      <c r="I571" t="s">
        <v>1845</v>
      </c>
      <c r="K571">
        <v>20.3</v>
      </c>
      <c r="L571">
        <v>51</v>
      </c>
      <c r="M571">
        <v>64720</v>
      </c>
      <c r="N571">
        <v>-51</v>
      </c>
      <c r="O571">
        <v>-64720</v>
      </c>
      <c r="Y571">
        <v>20.3</v>
      </c>
      <c r="Z571" s="3">
        <f t="shared" si="8"/>
        <v>1269.0196078431372</v>
      </c>
    </row>
    <row r="572" spans="1:26" hidden="1">
      <c r="A572" t="s">
        <v>706</v>
      </c>
      <c r="B572" s="6">
        <v>44287</v>
      </c>
      <c r="C572" s="6">
        <v>44651</v>
      </c>
      <c r="D572">
        <v>20210401</v>
      </c>
      <c r="E572">
        <v>20220331</v>
      </c>
      <c r="F572" t="s">
        <v>1927</v>
      </c>
      <c r="G572" t="s">
        <v>1928</v>
      </c>
      <c r="H572" t="s">
        <v>590</v>
      </c>
      <c r="I572" t="s">
        <v>1845</v>
      </c>
      <c r="L572">
        <v>60</v>
      </c>
      <c r="M572">
        <v>63040</v>
      </c>
      <c r="N572">
        <v>-60</v>
      </c>
      <c r="O572">
        <v>-63040</v>
      </c>
      <c r="Z572" s="3">
        <f t="shared" si="8"/>
        <v>1050.6666666666667</v>
      </c>
    </row>
    <row r="573" spans="1:26" hidden="1">
      <c r="A573" t="s">
        <v>706</v>
      </c>
      <c r="B573" s="6">
        <v>44287</v>
      </c>
      <c r="C573" s="6">
        <v>44651</v>
      </c>
      <c r="D573">
        <v>20210401</v>
      </c>
      <c r="E573">
        <v>20220331</v>
      </c>
      <c r="F573" t="s">
        <v>1929</v>
      </c>
      <c r="G573" t="s">
        <v>1930</v>
      </c>
      <c r="H573" t="s">
        <v>590</v>
      </c>
      <c r="I573" t="s">
        <v>1845</v>
      </c>
      <c r="L573">
        <v>806</v>
      </c>
      <c r="M573">
        <v>1376642</v>
      </c>
      <c r="N573">
        <v>-801</v>
      </c>
      <c r="O573">
        <v>-1367882</v>
      </c>
      <c r="P573">
        <v>1</v>
      </c>
      <c r="Q573">
        <v>1752</v>
      </c>
      <c r="R573">
        <v>-6</v>
      </c>
      <c r="S573">
        <v>-10512</v>
      </c>
      <c r="Z573" s="3">
        <f t="shared" si="8"/>
        <v>1707.6624999999999</v>
      </c>
    </row>
    <row r="574" spans="1:26" hidden="1">
      <c r="A574" t="s">
        <v>706</v>
      </c>
      <c r="B574" s="6">
        <v>44287</v>
      </c>
      <c r="C574" s="6">
        <v>44651</v>
      </c>
      <c r="D574">
        <v>20210401</v>
      </c>
      <c r="E574">
        <v>20220331</v>
      </c>
      <c r="F574" t="s">
        <v>1931</v>
      </c>
      <c r="G574" t="s">
        <v>1932</v>
      </c>
      <c r="H574" t="s">
        <v>590</v>
      </c>
      <c r="I574" t="s">
        <v>1845</v>
      </c>
      <c r="L574">
        <v>1658</v>
      </c>
      <c r="M574">
        <v>1793956</v>
      </c>
      <c r="N574">
        <v>-1643</v>
      </c>
      <c r="O574">
        <v>-1777726</v>
      </c>
      <c r="P574">
        <v>3</v>
      </c>
      <c r="Q574">
        <v>3246</v>
      </c>
      <c r="R574">
        <v>-18</v>
      </c>
      <c r="S574">
        <v>-19476</v>
      </c>
      <c r="Z574" s="3">
        <f t="shared" si="8"/>
        <v>1082</v>
      </c>
    </row>
    <row r="575" spans="1:26" hidden="1">
      <c r="A575" t="s">
        <v>706</v>
      </c>
      <c r="B575" s="6">
        <v>44287</v>
      </c>
      <c r="C575" s="6">
        <v>44651</v>
      </c>
      <c r="D575">
        <v>20210401</v>
      </c>
      <c r="E575">
        <v>20220331</v>
      </c>
      <c r="F575" t="s">
        <v>1933</v>
      </c>
      <c r="G575" t="s">
        <v>1934</v>
      </c>
      <c r="H575" t="s">
        <v>590</v>
      </c>
      <c r="I575" t="s">
        <v>1845</v>
      </c>
      <c r="L575">
        <v>737</v>
      </c>
      <c r="M575">
        <v>283745</v>
      </c>
      <c r="N575">
        <v>-732</v>
      </c>
      <c r="O575">
        <v>-281820</v>
      </c>
      <c r="P575">
        <v>1</v>
      </c>
      <c r="Q575">
        <v>385</v>
      </c>
      <c r="R575">
        <v>-6</v>
      </c>
      <c r="S575">
        <v>-2310</v>
      </c>
      <c r="Z575" s="3">
        <f t="shared" si="8"/>
        <v>385</v>
      </c>
    </row>
    <row r="576" spans="1:26" hidden="1">
      <c r="A576" t="s">
        <v>706</v>
      </c>
      <c r="B576" s="6">
        <v>44287</v>
      </c>
      <c r="C576" s="6">
        <v>44651</v>
      </c>
      <c r="D576">
        <v>20210401</v>
      </c>
      <c r="E576">
        <v>20220331</v>
      </c>
      <c r="F576" t="s">
        <v>1935</v>
      </c>
      <c r="G576" t="s">
        <v>1936</v>
      </c>
      <c r="H576" t="s">
        <v>590</v>
      </c>
      <c r="I576" t="s">
        <v>1845</v>
      </c>
      <c r="J576">
        <v>258</v>
      </c>
      <c r="K576">
        <v>2022.75</v>
      </c>
      <c r="N576">
        <v>-258</v>
      </c>
      <c r="O576">
        <v>-2022.72</v>
      </c>
      <c r="Y576">
        <v>0.03</v>
      </c>
      <c r="Z576" s="3">
        <f t="shared" si="8"/>
        <v>7.84</v>
      </c>
    </row>
    <row r="577" spans="1:26" hidden="1">
      <c r="A577" t="s">
        <v>706</v>
      </c>
      <c r="B577" s="6">
        <v>44287</v>
      </c>
      <c r="C577" s="6">
        <v>44651</v>
      </c>
      <c r="D577">
        <v>20210401</v>
      </c>
      <c r="E577">
        <v>20220331</v>
      </c>
      <c r="F577" t="s">
        <v>1937</v>
      </c>
      <c r="G577" t="s">
        <v>1938</v>
      </c>
      <c r="H577" t="s">
        <v>590</v>
      </c>
      <c r="I577" t="s">
        <v>1845</v>
      </c>
      <c r="L577">
        <v>59350</v>
      </c>
      <c r="M577">
        <v>76602.5</v>
      </c>
      <c r="N577">
        <v>-51850</v>
      </c>
      <c r="O577">
        <v>-67977.2</v>
      </c>
      <c r="X577">
        <v>7500</v>
      </c>
      <c r="Y577">
        <v>8625.2999999999993</v>
      </c>
      <c r="Z577" s="3">
        <f t="shared" si="8"/>
        <v>1.3110356798457088</v>
      </c>
    </row>
    <row r="578" spans="1:26" hidden="1">
      <c r="A578" t="s">
        <v>706</v>
      </c>
      <c r="B578" s="6">
        <v>44287</v>
      </c>
      <c r="C578" s="6">
        <v>44651</v>
      </c>
      <c r="D578">
        <v>20210401</v>
      </c>
      <c r="E578">
        <v>20220331</v>
      </c>
      <c r="F578" t="s">
        <v>1939</v>
      </c>
      <c r="G578" t="s">
        <v>1940</v>
      </c>
      <c r="H578" t="s">
        <v>590</v>
      </c>
      <c r="I578" t="s">
        <v>1845</v>
      </c>
      <c r="J578">
        <v>108</v>
      </c>
      <c r="K578">
        <v>1772.27</v>
      </c>
      <c r="N578">
        <v>-108</v>
      </c>
      <c r="O578">
        <v>-1772.32</v>
      </c>
      <c r="Y578">
        <v>-0.05</v>
      </c>
      <c r="Z578" s="3">
        <f t="shared" si="8"/>
        <v>16.410370370370369</v>
      </c>
    </row>
    <row r="579" spans="1:26" hidden="1">
      <c r="A579" t="s">
        <v>706</v>
      </c>
      <c r="B579" s="6">
        <v>44287</v>
      </c>
      <c r="C579" s="6">
        <v>44651</v>
      </c>
      <c r="D579">
        <v>20210401</v>
      </c>
      <c r="E579">
        <v>20220331</v>
      </c>
      <c r="F579" t="s">
        <v>1941</v>
      </c>
      <c r="G579" t="s">
        <v>1942</v>
      </c>
      <c r="H579" t="s">
        <v>590</v>
      </c>
      <c r="I579" t="s">
        <v>1845</v>
      </c>
      <c r="J579">
        <v>212</v>
      </c>
      <c r="K579">
        <v>5219.2299999999996</v>
      </c>
      <c r="N579">
        <v>-212</v>
      </c>
      <c r="O579">
        <v>-5220.58</v>
      </c>
      <c r="Y579">
        <v>-1.35</v>
      </c>
      <c r="Z579" s="3">
        <f t="shared" ref="Z579:Z642" si="9">IFERROR((O579+Q579)/(N579+P579),Y579/X579)</f>
        <v>24.625377358490567</v>
      </c>
    </row>
    <row r="580" spans="1:26" hidden="1">
      <c r="A580" t="s">
        <v>706</v>
      </c>
      <c r="B580" s="6">
        <v>44287</v>
      </c>
      <c r="C580" s="6">
        <v>44651</v>
      </c>
      <c r="D580">
        <v>20210401</v>
      </c>
      <c r="E580">
        <v>20220331</v>
      </c>
      <c r="F580" t="s">
        <v>1943</v>
      </c>
      <c r="G580" t="s">
        <v>1944</v>
      </c>
      <c r="H580" t="s">
        <v>590</v>
      </c>
      <c r="I580" t="s">
        <v>1845</v>
      </c>
      <c r="J580">
        <v>102</v>
      </c>
      <c r="K580">
        <v>2680.9</v>
      </c>
      <c r="N580">
        <v>-102</v>
      </c>
      <c r="O580">
        <v>-2633.34</v>
      </c>
      <c r="Y580">
        <v>47.56</v>
      </c>
      <c r="Z580" s="3">
        <f t="shared" si="9"/>
        <v>25.817058823529415</v>
      </c>
    </row>
    <row r="581" spans="1:26" hidden="1">
      <c r="A581" t="s">
        <v>706</v>
      </c>
      <c r="B581" s="6">
        <v>44287</v>
      </c>
      <c r="C581" s="6">
        <v>44651</v>
      </c>
      <c r="D581">
        <v>20210401</v>
      </c>
      <c r="E581">
        <v>20220331</v>
      </c>
      <c r="F581" t="s">
        <v>1945</v>
      </c>
      <c r="G581" t="s">
        <v>1946</v>
      </c>
      <c r="H581" t="s">
        <v>590</v>
      </c>
      <c r="I581" t="s">
        <v>1845</v>
      </c>
      <c r="J581">
        <v>72</v>
      </c>
      <c r="K581">
        <v>1259.99</v>
      </c>
      <c r="L581">
        <v>52</v>
      </c>
      <c r="M581">
        <v>910</v>
      </c>
      <c r="N581">
        <v>-124</v>
      </c>
      <c r="O581">
        <v>-2170.02</v>
      </c>
      <c r="Y581">
        <v>-0.03</v>
      </c>
      <c r="Z581" s="3">
        <f t="shared" si="9"/>
        <v>17.50016129032258</v>
      </c>
    </row>
    <row r="582" spans="1:26" hidden="1">
      <c r="A582" t="s">
        <v>706</v>
      </c>
      <c r="B582" s="6">
        <v>44287</v>
      </c>
      <c r="C582" s="6">
        <v>44651</v>
      </c>
      <c r="D582">
        <v>20210401</v>
      </c>
      <c r="E582">
        <v>20220331</v>
      </c>
      <c r="F582" t="s">
        <v>1947</v>
      </c>
      <c r="G582" t="s">
        <v>1948</v>
      </c>
      <c r="H582" t="s">
        <v>613</v>
      </c>
      <c r="I582" t="s">
        <v>1845</v>
      </c>
      <c r="L582">
        <v>314.23</v>
      </c>
      <c r="M582">
        <v>45258.55</v>
      </c>
      <c r="N582">
        <v>-314.23</v>
      </c>
      <c r="O582">
        <v>-44371.05</v>
      </c>
      <c r="Y582">
        <v>887.5</v>
      </c>
      <c r="Z582" s="3">
        <f t="shared" si="9"/>
        <v>141.20564554625594</v>
      </c>
    </row>
    <row r="583" spans="1:26" hidden="1">
      <c r="A583" t="s">
        <v>706</v>
      </c>
      <c r="B583" s="6">
        <v>44287</v>
      </c>
      <c r="C583" s="6">
        <v>44651</v>
      </c>
      <c r="D583">
        <v>20210401</v>
      </c>
      <c r="E583">
        <v>20220331</v>
      </c>
      <c r="F583" t="s">
        <v>1949</v>
      </c>
      <c r="G583" t="s">
        <v>1950</v>
      </c>
      <c r="H583" t="s">
        <v>590</v>
      </c>
      <c r="I583" t="s">
        <v>1845</v>
      </c>
      <c r="L583">
        <v>330</v>
      </c>
      <c r="M583">
        <v>2943.6</v>
      </c>
      <c r="N583">
        <v>-330</v>
      </c>
      <c r="O583">
        <v>-2943.6</v>
      </c>
      <c r="Z583" s="3">
        <f t="shared" si="9"/>
        <v>8.92</v>
      </c>
    </row>
    <row r="584" spans="1:26" hidden="1">
      <c r="A584" t="s">
        <v>706</v>
      </c>
      <c r="B584" s="6">
        <v>44287</v>
      </c>
      <c r="C584" s="6">
        <v>44651</v>
      </c>
      <c r="D584">
        <v>20210401</v>
      </c>
      <c r="E584">
        <v>20220331</v>
      </c>
      <c r="F584" t="s">
        <v>1951</v>
      </c>
      <c r="G584" t="s">
        <v>1952</v>
      </c>
      <c r="H584" t="s">
        <v>590</v>
      </c>
      <c r="I584" t="s">
        <v>1845</v>
      </c>
      <c r="L584">
        <v>80</v>
      </c>
      <c r="M584">
        <v>171500</v>
      </c>
      <c r="N584">
        <v>-80</v>
      </c>
      <c r="O584">
        <v>-171500</v>
      </c>
      <c r="Z584" s="3">
        <f t="shared" si="9"/>
        <v>2143.75</v>
      </c>
    </row>
    <row r="585" spans="1:26" hidden="1">
      <c r="A585" t="s">
        <v>706</v>
      </c>
      <c r="B585" s="6">
        <v>44287</v>
      </c>
      <c r="C585" s="6">
        <v>44651</v>
      </c>
      <c r="D585">
        <v>20210401</v>
      </c>
      <c r="E585">
        <v>20220331</v>
      </c>
      <c r="F585" t="s">
        <v>1953</v>
      </c>
      <c r="G585" t="s">
        <v>1954</v>
      </c>
      <c r="H585" t="s">
        <v>1882</v>
      </c>
      <c r="I585" t="s">
        <v>1845</v>
      </c>
      <c r="L585">
        <v>12</v>
      </c>
      <c r="M585">
        <v>29250</v>
      </c>
      <c r="N585">
        <v>-12</v>
      </c>
      <c r="O585">
        <v>-29250</v>
      </c>
      <c r="Z585" s="3">
        <f t="shared" si="9"/>
        <v>2437.5</v>
      </c>
    </row>
    <row r="586" spans="1:26" hidden="1">
      <c r="A586" t="s">
        <v>706</v>
      </c>
      <c r="B586" s="6">
        <v>44287</v>
      </c>
      <c r="C586" s="6">
        <v>44651</v>
      </c>
      <c r="D586">
        <v>20210401</v>
      </c>
      <c r="E586">
        <v>20220331</v>
      </c>
      <c r="F586" t="s">
        <v>1955</v>
      </c>
      <c r="G586" t="s">
        <v>1956</v>
      </c>
      <c r="H586" t="s">
        <v>590</v>
      </c>
      <c r="I586" t="s">
        <v>805</v>
      </c>
      <c r="L586">
        <v>10422</v>
      </c>
      <c r="M586">
        <v>20844</v>
      </c>
      <c r="N586">
        <v>-10422</v>
      </c>
      <c r="O586">
        <v>-20844</v>
      </c>
      <c r="Z586" s="3">
        <f t="shared" si="9"/>
        <v>2</v>
      </c>
    </row>
    <row r="587" spans="1:26" hidden="1">
      <c r="A587" t="s">
        <v>706</v>
      </c>
      <c r="B587" s="6">
        <v>44287</v>
      </c>
      <c r="C587" s="6">
        <v>44651</v>
      </c>
      <c r="D587">
        <v>20210401</v>
      </c>
      <c r="E587">
        <v>20220331</v>
      </c>
      <c r="F587" t="s">
        <v>1957</v>
      </c>
      <c r="G587" t="s">
        <v>1958</v>
      </c>
      <c r="H587" t="s">
        <v>590</v>
      </c>
      <c r="I587" t="s">
        <v>805</v>
      </c>
      <c r="J587">
        <v>400</v>
      </c>
      <c r="K587">
        <v>912</v>
      </c>
      <c r="L587">
        <v>1783</v>
      </c>
      <c r="M587">
        <v>4065.24</v>
      </c>
      <c r="N587">
        <v>-2183</v>
      </c>
      <c r="O587">
        <v>-4977.24</v>
      </c>
      <c r="Z587" s="3">
        <f t="shared" si="9"/>
        <v>2.2799999999999998</v>
      </c>
    </row>
    <row r="588" spans="1:26" hidden="1">
      <c r="A588" t="s">
        <v>706</v>
      </c>
      <c r="B588" s="6">
        <v>44287</v>
      </c>
      <c r="C588" s="6">
        <v>44651</v>
      </c>
      <c r="D588">
        <v>20210401</v>
      </c>
      <c r="E588">
        <v>20220331</v>
      </c>
      <c r="F588" t="s">
        <v>1959</v>
      </c>
      <c r="G588" t="s">
        <v>1960</v>
      </c>
      <c r="H588" t="s">
        <v>590</v>
      </c>
      <c r="I588" t="s">
        <v>805</v>
      </c>
      <c r="J588">
        <v>5</v>
      </c>
      <c r="K588">
        <v>7560.19</v>
      </c>
      <c r="L588">
        <v>8</v>
      </c>
      <c r="M588">
        <v>12920</v>
      </c>
      <c r="N588">
        <v>-8</v>
      </c>
      <c r="O588">
        <v>-12508.15</v>
      </c>
      <c r="X588">
        <v>5</v>
      </c>
      <c r="Y588">
        <v>7972.04</v>
      </c>
      <c r="Z588" s="3">
        <f t="shared" si="9"/>
        <v>1563.51875</v>
      </c>
    </row>
    <row r="589" spans="1:26" hidden="1">
      <c r="A589" t="s">
        <v>706</v>
      </c>
      <c r="B589" s="6">
        <v>44287</v>
      </c>
      <c r="C589" s="6">
        <v>44651</v>
      </c>
      <c r="D589">
        <v>20210401</v>
      </c>
      <c r="E589">
        <v>20220331</v>
      </c>
      <c r="F589" t="s">
        <v>1961</v>
      </c>
      <c r="G589" t="s">
        <v>1962</v>
      </c>
      <c r="H589" t="s">
        <v>590</v>
      </c>
      <c r="I589" t="s">
        <v>805</v>
      </c>
      <c r="J589">
        <v>46</v>
      </c>
      <c r="K589">
        <v>4830</v>
      </c>
      <c r="N589">
        <v>-46</v>
      </c>
      <c r="O589">
        <v>-4830</v>
      </c>
      <c r="Z589" s="3">
        <f t="shared" si="9"/>
        <v>105</v>
      </c>
    </row>
    <row r="590" spans="1:26" hidden="1">
      <c r="A590" t="s">
        <v>706</v>
      </c>
      <c r="B590" s="6">
        <v>44287</v>
      </c>
      <c r="C590" s="6">
        <v>44651</v>
      </c>
      <c r="D590">
        <v>20210401</v>
      </c>
      <c r="E590">
        <v>20220331</v>
      </c>
      <c r="F590" t="s">
        <v>1963</v>
      </c>
      <c r="G590" t="s">
        <v>1964</v>
      </c>
      <c r="H590" t="s">
        <v>613</v>
      </c>
      <c r="I590" t="s">
        <v>805</v>
      </c>
      <c r="P590">
        <v>11607</v>
      </c>
      <c r="Q590">
        <v>34821</v>
      </c>
      <c r="R590">
        <v>-11607</v>
      </c>
      <c r="S590">
        <v>-34821</v>
      </c>
      <c r="Z590" s="3">
        <f t="shared" si="9"/>
        <v>3</v>
      </c>
    </row>
    <row r="591" spans="1:26" hidden="1">
      <c r="A591" t="s">
        <v>706</v>
      </c>
      <c r="B591" s="6">
        <v>44287</v>
      </c>
      <c r="C591" s="6">
        <v>44651</v>
      </c>
      <c r="D591">
        <v>20210401</v>
      </c>
      <c r="E591">
        <v>20220331</v>
      </c>
      <c r="F591" t="s">
        <v>1965</v>
      </c>
      <c r="G591" t="s">
        <v>1966</v>
      </c>
      <c r="H591" t="s">
        <v>613</v>
      </c>
      <c r="I591" t="s">
        <v>805</v>
      </c>
      <c r="P591">
        <v>594.78</v>
      </c>
      <c r="Q591">
        <v>8921.7000000000007</v>
      </c>
      <c r="R591">
        <v>-594.78</v>
      </c>
      <c r="S591">
        <v>-8921.7000000000007</v>
      </c>
      <c r="Z591" s="3">
        <f t="shared" si="9"/>
        <v>15.000000000000002</v>
      </c>
    </row>
    <row r="592" spans="1:26" hidden="1">
      <c r="A592" t="s">
        <v>706</v>
      </c>
      <c r="B592" s="6">
        <v>44287</v>
      </c>
      <c r="C592" s="6">
        <v>44651</v>
      </c>
      <c r="D592">
        <v>20210401</v>
      </c>
      <c r="E592">
        <v>20220331</v>
      </c>
      <c r="F592" t="s">
        <v>1967</v>
      </c>
      <c r="G592" t="s">
        <v>1968</v>
      </c>
      <c r="H592" t="s">
        <v>590</v>
      </c>
      <c r="I592" t="s">
        <v>805</v>
      </c>
      <c r="P592">
        <v>61</v>
      </c>
      <c r="Q592">
        <v>29280</v>
      </c>
      <c r="R592">
        <v>-61</v>
      </c>
      <c r="S592">
        <v>-29280</v>
      </c>
      <c r="Z592" s="3">
        <f t="shared" si="9"/>
        <v>480</v>
      </c>
    </row>
    <row r="593" spans="1:26" hidden="1">
      <c r="A593" t="s">
        <v>706</v>
      </c>
      <c r="B593" s="6">
        <v>44287</v>
      </c>
      <c r="C593" s="6">
        <v>44651</v>
      </c>
      <c r="D593">
        <v>20210401</v>
      </c>
      <c r="E593">
        <v>20220331</v>
      </c>
      <c r="F593" t="s">
        <v>1969</v>
      </c>
      <c r="G593" t="s">
        <v>1970</v>
      </c>
      <c r="H593" t="s">
        <v>590</v>
      </c>
      <c r="I593" t="s">
        <v>805</v>
      </c>
      <c r="P593">
        <v>58</v>
      </c>
      <c r="Q593">
        <v>14500</v>
      </c>
      <c r="R593">
        <v>-58</v>
      </c>
      <c r="S593">
        <v>-14500</v>
      </c>
      <c r="Z593" s="3">
        <f t="shared" si="9"/>
        <v>250</v>
      </c>
    </row>
    <row r="594" spans="1:26" hidden="1">
      <c r="A594" t="s">
        <v>706</v>
      </c>
      <c r="B594" s="6">
        <v>44287</v>
      </c>
      <c r="C594" s="6">
        <v>44651</v>
      </c>
      <c r="D594">
        <v>20210401</v>
      </c>
      <c r="E594">
        <v>20220331</v>
      </c>
      <c r="F594" t="s">
        <v>1971</v>
      </c>
      <c r="G594" t="s">
        <v>1972</v>
      </c>
      <c r="H594" t="s">
        <v>1973</v>
      </c>
      <c r="I594" t="s">
        <v>805</v>
      </c>
      <c r="J594">
        <v>318</v>
      </c>
      <c r="K594">
        <v>5154.78</v>
      </c>
      <c r="N594">
        <v>-318</v>
      </c>
      <c r="O594">
        <v>-2725.09</v>
      </c>
      <c r="Y594">
        <v>2429.69</v>
      </c>
      <c r="Z594" s="3">
        <f t="shared" si="9"/>
        <v>8.5694654088050317</v>
      </c>
    </row>
    <row r="595" spans="1:26" hidden="1">
      <c r="A595" t="s">
        <v>706</v>
      </c>
      <c r="B595" s="6">
        <v>44287</v>
      </c>
      <c r="C595" s="6">
        <v>44651</v>
      </c>
      <c r="D595">
        <v>20210401</v>
      </c>
      <c r="E595">
        <v>20220331</v>
      </c>
      <c r="F595" t="s">
        <v>1974</v>
      </c>
      <c r="G595" t="s">
        <v>1975</v>
      </c>
      <c r="H595" t="s">
        <v>590</v>
      </c>
      <c r="I595" t="s">
        <v>805</v>
      </c>
      <c r="P595">
        <v>1572</v>
      </c>
      <c r="R595">
        <v>-1572</v>
      </c>
      <c r="Z595" s="3">
        <f t="shared" si="9"/>
        <v>0</v>
      </c>
    </row>
    <row r="596" spans="1:26" hidden="1">
      <c r="A596" t="s">
        <v>706</v>
      </c>
      <c r="B596" s="6">
        <v>44287</v>
      </c>
      <c r="C596" s="6">
        <v>44651</v>
      </c>
      <c r="D596">
        <v>20210401</v>
      </c>
      <c r="E596">
        <v>20220331</v>
      </c>
      <c r="F596" t="s">
        <v>1976</v>
      </c>
      <c r="G596" t="s">
        <v>1977</v>
      </c>
      <c r="H596" t="s">
        <v>590</v>
      </c>
      <c r="I596" t="s">
        <v>1845</v>
      </c>
      <c r="L596">
        <v>29</v>
      </c>
      <c r="M596">
        <v>17539.2</v>
      </c>
      <c r="N596">
        <v>-29</v>
      </c>
      <c r="O596">
        <v>-17539.2</v>
      </c>
      <c r="Z596" s="3">
        <f t="shared" si="9"/>
        <v>604.80000000000007</v>
      </c>
    </row>
    <row r="597" spans="1:26" hidden="1">
      <c r="A597" t="s">
        <v>706</v>
      </c>
      <c r="B597" s="6">
        <v>44287</v>
      </c>
      <c r="C597" s="6">
        <v>44651</v>
      </c>
      <c r="D597">
        <v>20210401</v>
      </c>
      <c r="E597">
        <v>20220331</v>
      </c>
      <c r="F597" t="s">
        <v>1978</v>
      </c>
      <c r="G597" t="s">
        <v>1979</v>
      </c>
      <c r="H597" t="s">
        <v>590</v>
      </c>
      <c r="I597" t="s">
        <v>805</v>
      </c>
      <c r="L597">
        <v>645</v>
      </c>
      <c r="M597">
        <v>28767</v>
      </c>
      <c r="N597">
        <v>-645</v>
      </c>
      <c r="O597">
        <v>-28767</v>
      </c>
      <c r="Z597" s="3">
        <f t="shared" si="9"/>
        <v>44.6</v>
      </c>
    </row>
    <row r="598" spans="1:26" hidden="1">
      <c r="A598" t="s">
        <v>706</v>
      </c>
      <c r="B598" s="6">
        <v>44287</v>
      </c>
      <c r="C598" s="6">
        <v>44651</v>
      </c>
      <c r="D598">
        <v>20210401</v>
      </c>
      <c r="E598">
        <v>20220331</v>
      </c>
      <c r="F598" t="s">
        <v>1980</v>
      </c>
      <c r="G598" t="s">
        <v>1981</v>
      </c>
      <c r="H598" t="s">
        <v>590</v>
      </c>
      <c r="I598" t="s">
        <v>805</v>
      </c>
      <c r="L598">
        <v>470</v>
      </c>
      <c r="M598">
        <v>20045.5</v>
      </c>
      <c r="N598">
        <v>-470</v>
      </c>
      <c r="O598">
        <v>-20045.509999999998</v>
      </c>
      <c r="Y598">
        <v>-0.01</v>
      </c>
      <c r="Z598" s="3">
        <f t="shared" si="9"/>
        <v>42.650021276595744</v>
      </c>
    </row>
    <row r="599" spans="1:26" hidden="1">
      <c r="A599" t="s">
        <v>706</v>
      </c>
      <c r="B599" s="6">
        <v>44287</v>
      </c>
      <c r="C599" s="6">
        <v>44651</v>
      </c>
      <c r="D599">
        <v>20210401</v>
      </c>
      <c r="E599">
        <v>20220331</v>
      </c>
      <c r="F599" t="s">
        <v>1982</v>
      </c>
      <c r="G599" t="s">
        <v>1983</v>
      </c>
      <c r="H599" t="s">
        <v>590</v>
      </c>
      <c r="I599" t="s">
        <v>805</v>
      </c>
      <c r="J599">
        <v>950</v>
      </c>
      <c r="K599">
        <v>2659.88</v>
      </c>
      <c r="L599">
        <v>2264</v>
      </c>
      <c r="M599">
        <v>6339.2</v>
      </c>
      <c r="N599">
        <v>-3214</v>
      </c>
      <c r="O599">
        <v>-8999.2000000000007</v>
      </c>
      <c r="Y599">
        <v>-0.12</v>
      </c>
      <c r="Z599" s="3">
        <f t="shared" si="9"/>
        <v>2.8000000000000003</v>
      </c>
    </row>
    <row r="600" spans="1:26" hidden="1">
      <c r="A600" t="s">
        <v>706</v>
      </c>
      <c r="B600" s="6">
        <v>44287</v>
      </c>
      <c r="C600" s="6">
        <v>44651</v>
      </c>
      <c r="D600">
        <v>20210401</v>
      </c>
      <c r="E600">
        <v>20220331</v>
      </c>
      <c r="F600" t="s">
        <v>1984</v>
      </c>
      <c r="G600" t="s">
        <v>1985</v>
      </c>
      <c r="H600" t="s">
        <v>590</v>
      </c>
      <c r="I600" t="s">
        <v>805</v>
      </c>
      <c r="J600">
        <v>70</v>
      </c>
      <c r="K600">
        <v>132.97</v>
      </c>
      <c r="L600">
        <v>870</v>
      </c>
      <c r="M600">
        <v>1653</v>
      </c>
      <c r="N600">
        <v>-940</v>
      </c>
      <c r="O600">
        <v>-1786</v>
      </c>
      <c r="Y600">
        <v>-0.03</v>
      </c>
      <c r="Z600" s="3">
        <f t="shared" si="9"/>
        <v>1.9</v>
      </c>
    </row>
    <row r="601" spans="1:26" hidden="1">
      <c r="A601" t="s">
        <v>706</v>
      </c>
      <c r="B601" s="6">
        <v>44287</v>
      </c>
      <c r="C601" s="6">
        <v>44651</v>
      </c>
      <c r="D601">
        <v>20210401</v>
      </c>
      <c r="E601">
        <v>20220331</v>
      </c>
      <c r="F601" t="s">
        <v>1986</v>
      </c>
      <c r="G601" t="s">
        <v>1987</v>
      </c>
      <c r="H601" t="s">
        <v>590</v>
      </c>
      <c r="I601" t="s">
        <v>805</v>
      </c>
      <c r="L601">
        <v>50</v>
      </c>
      <c r="M601">
        <v>830</v>
      </c>
      <c r="N601">
        <v>-50</v>
      </c>
      <c r="O601">
        <v>-830</v>
      </c>
      <c r="Z601" s="3">
        <f t="shared" si="9"/>
        <v>16.600000000000001</v>
      </c>
    </row>
    <row r="602" spans="1:26" hidden="1">
      <c r="A602" t="s">
        <v>706</v>
      </c>
      <c r="B602" s="6">
        <v>44287</v>
      </c>
      <c r="C602" s="6">
        <v>44651</v>
      </c>
      <c r="D602">
        <v>20210401</v>
      </c>
      <c r="E602">
        <v>20220331</v>
      </c>
      <c r="F602" t="s">
        <v>1988</v>
      </c>
      <c r="G602" t="s">
        <v>1989</v>
      </c>
      <c r="H602" t="s">
        <v>590</v>
      </c>
      <c r="I602" t="s">
        <v>805</v>
      </c>
      <c r="L602">
        <v>50</v>
      </c>
      <c r="M602">
        <v>664</v>
      </c>
      <c r="N602">
        <v>-50</v>
      </c>
      <c r="O602">
        <v>-664</v>
      </c>
      <c r="Z602" s="3">
        <f t="shared" si="9"/>
        <v>13.28</v>
      </c>
    </row>
    <row r="603" spans="1:26" hidden="1">
      <c r="A603" t="s">
        <v>706</v>
      </c>
      <c r="B603" s="6">
        <v>44287</v>
      </c>
      <c r="C603" s="6">
        <v>44651</v>
      </c>
      <c r="D603">
        <v>20210401</v>
      </c>
      <c r="E603">
        <v>20220331</v>
      </c>
      <c r="F603" t="s">
        <v>1990</v>
      </c>
      <c r="G603" t="s">
        <v>1991</v>
      </c>
      <c r="H603" t="s">
        <v>590</v>
      </c>
      <c r="I603" t="s">
        <v>805</v>
      </c>
      <c r="L603">
        <v>522</v>
      </c>
      <c r="M603">
        <v>83130</v>
      </c>
      <c r="N603">
        <v>-522</v>
      </c>
      <c r="O603">
        <v>-83130</v>
      </c>
      <c r="Z603" s="3">
        <f t="shared" si="9"/>
        <v>159.2528735632184</v>
      </c>
    </row>
    <row r="604" spans="1:26" hidden="1">
      <c r="A604" t="s">
        <v>706</v>
      </c>
      <c r="B604" s="6">
        <v>44287</v>
      </c>
      <c r="C604" s="6">
        <v>44651</v>
      </c>
      <c r="D604">
        <v>20210401</v>
      </c>
      <c r="E604">
        <v>20220331</v>
      </c>
      <c r="F604" t="s">
        <v>1992</v>
      </c>
      <c r="G604" t="s">
        <v>1993</v>
      </c>
      <c r="H604" t="s">
        <v>590</v>
      </c>
      <c r="I604" t="s">
        <v>805</v>
      </c>
      <c r="L604">
        <v>273</v>
      </c>
      <c r="M604">
        <v>62640</v>
      </c>
      <c r="N604">
        <v>-230</v>
      </c>
      <c r="O604">
        <v>-52320.01</v>
      </c>
      <c r="X604">
        <v>43</v>
      </c>
      <c r="Y604">
        <v>10319.99</v>
      </c>
      <c r="Z604" s="3">
        <f t="shared" si="9"/>
        <v>227.47830434782608</v>
      </c>
    </row>
    <row r="605" spans="1:26" hidden="1">
      <c r="A605" t="s">
        <v>706</v>
      </c>
      <c r="B605" s="6">
        <v>44287</v>
      </c>
      <c r="C605" s="6">
        <v>44651</v>
      </c>
      <c r="D605">
        <v>20210401</v>
      </c>
      <c r="E605">
        <v>20220331</v>
      </c>
      <c r="F605" t="s">
        <v>1994</v>
      </c>
      <c r="G605" t="s">
        <v>1995</v>
      </c>
      <c r="H605" t="s">
        <v>590</v>
      </c>
      <c r="I605" t="s">
        <v>805</v>
      </c>
      <c r="L605">
        <v>1136</v>
      </c>
      <c r="M605">
        <v>2499.1999999999998</v>
      </c>
      <c r="N605">
        <v>-1136</v>
      </c>
      <c r="O605">
        <v>-2499.1999999999998</v>
      </c>
      <c r="Z605" s="3">
        <f t="shared" si="9"/>
        <v>2.1999999999999997</v>
      </c>
    </row>
    <row r="606" spans="1:26" hidden="1">
      <c r="A606" t="s">
        <v>706</v>
      </c>
      <c r="B606" s="6">
        <v>44287</v>
      </c>
      <c r="C606" s="6">
        <v>44651</v>
      </c>
      <c r="D606">
        <v>20210401</v>
      </c>
      <c r="E606">
        <v>20220331</v>
      </c>
      <c r="F606" t="s">
        <v>1996</v>
      </c>
      <c r="G606" t="s">
        <v>1997</v>
      </c>
      <c r="H606" t="s">
        <v>590</v>
      </c>
      <c r="I606" t="s">
        <v>805</v>
      </c>
      <c r="J606">
        <v>54</v>
      </c>
      <c r="K606">
        <v>183.6</v>
      </c>
      <c r="L606">
        <v>831</v>
      </c>
      <c r="M606">
        <v>2825.4</v>
      </c>
      <c r="N606">
        <v>-885</v>
      </c>
      <c r="O606">
        <v>-3009</v>
      </c>
      <c r="Z606" s="3">
        <f t="shared" si="9"/>
        <v>3.4</v>
      </c>
    </row>
    <row r="607" spans="1:26" hidden="1">
      <c r="A607" t="s">
        <v>706</v>
      </c>
      <c r="B607" s="6">
        <v>44287</v>
      </c>
      <c r="C607" s="6">
        <v>44651</v>
      </c>
      <c r="D607">
        <v>20210401</v>
      </c>
      <c r="E607">
        <v>20220331</v>
      </c>
      <c r="F607" t="s">
        <v>1998</v>
      </c>
      <c r="G607" t="s">
        <v>1999</v>
      </c>
      <c r="H607" t="s">
        <v>590</v>
      </c>
      <c r="I607" t="s">
        <v>805</v>
      </c>
      <c r="L607">
        <v>165350</v>
      </c>
      <c r="M607">
        <v>282927.5</v>
      </c>
      <c r="N607">
        <v>-163500</v>
      </c>
      <c r="O607">
        <v>-280244.52</v>
      </c>
      <c r="X607">
        <v>1850</v>
      </c>
      <c r="Y607">
        <v>2682.98</v>
      </c>
      <c r="Z607" s="3">
        <f t="shared" si="9"/>
        <v>1.71403376146789</v>
      </c>
    </row>
    <row r="608" spans="1:26" hidden="1">
      <c r="A608" t="s">
        <v>706</v>
      </c>
      <c r="B608" s="6">
        <v>44287</v>
      </c>
      <c r="C608" s="6">
        <v>44651</v>
      </c>
      <c r="D608">
        <v>20210401</v>
      </c>
      <c r="E608">
        <v>20220331</v>
      </c>
      <c r="F608" t="s">
        <v>2000</v>
      </c>
      <c r="G608" t="s">
        <v>2001</v>
      </c>
      <c r="H608" t="s">
        <v>590</v>
      </c>
      <c r="I608" t="s">
        <v>805</v>
      </c>
      <c r="L608">
        <v>1200</v>
      </c>
      <c r="M608">
        <v>19200</v>
      </c>
      <c r="N608">
        <v>-1200</v>
      </c>
      <c r="O608">
        <v>-19200</v>
      </c>
      <c r="Z608" s="3">
        <f t="shared" si="9"/>
        <v>16</v>
      </c>
    </row>
    <row r="609" spans="1:26" hidden="1">
      <c r="A609" t="s">
        <v>706</v>
      </c>
      <c r="B609" s="6">
        <v>44287</v>
      </c>
      <c r="C609" s="6">
        <v>44651</v>
      </c>
      <c r="D609">
        <v>20210401</v>
      </c>
      <c r="E609">
        <v>20220331</v>
      </c>
      <c r="F609" t="s">
        <v>2002</v>
      </c>
      <c r="G609" t="s">
        <v>2003</v>
      </c>
      <c r="H609" t="s">
        <v>590</v>
      </c>
      <c r="I609" t="s">
        <v>805</v>
      </c>
      <c r="J609">
        <v>90</v>
      </c>
      <c r="K609">
        <v>8550</v>
      </c>
      <c r="N609">
        <v>-90</v>
      </c>
      <c r="O609">
        <v>-8550</v>
      </c>
      <c r="Z609" s="3">
        <f t="shared" si="9"/>
        <v>95</v>
      </c>
    </row>
    <row r="610" spans="1:26" hidden="1">
      <c r="A610" t="s">
        <v>706</v>
      </c>
      <c r="B610" s="6">
        <v>44287</v>
      </c>
      <c r="C610" s="6">
        <v>44651</v>
      </c>
      <c r="D610">
        <v>20210401</v>
      </c>
      <c r="E610">
        <v>20220331</v>
      </c>
      <c r="F610" t="s">
        <v>2004</v>
      </c>
      <c r="G610" t="s">
        <v>2005</v>
      </c>
      <c r="H610" t="s">
        <v>590</v>
      </c>
      <c r="I610" t="s">
        <v>805</v>
      </c>
      <c r="J610">
        <v>250</v>
      </c>
      <c r="K610">
        <v>475</v>
      </c>
      <c r="L610">
        <v>541</v>
      </c>
      <c r="M610">
        <v>1027.9000000000001</v>
      </c>
      <c r="N610">
        <v>-791</v>
      </c>
      <c r="O610">
        <v>-1502.9</v>
      </c>
      <c r="Z610" s="3">
        <f t="shared" si="9"/>
        <v>1.9000000000000001</v>
      </c>
    </row>
    <row r="611" spans="1:26" hidden="1">
      <c r="A611" t="s">
        <v>706</v>
      </c>
      <c r="B611" s="6">
        <v>44287</v>
      </c>
      <c r="C611" s="6">
        <v>44651</v>
      </c>
      <c r="D611">
        <v>20210401</v>
      </c>
      <c r="E611">
        <v>20220331</v>
      </c>
      <c r="F611" t="s">
        <v>2006</v>
      </c>
      <c r="G611" t="s">
        <v>2007</v>
      </c>
      <c r="H611" t="s">
        <v>590</v>
      </c>
      <c r="I611" t="s">
        <v>805</v>
      </c>
      <c r="L611">
        <v>150</v>
      </c>
      <c r="M611">
        <v>29250</v>
      </c>
      <c r="N611">
        <v>-150</v>
      </c>
      <c r="O611">
        <v>-29250</v>
      </c>
      <c r="Z611" s="3">
        <f t="shared" si="9"/>
        <v>195</v>
      </c>
    </row>
    <row r="612" spans="1:26" hidden="1">
      <c r="A612" t="s">
        <v>706</v>
      </c>
      <c r="B612" s="6">
        <v>44287</v>
      </c>
      <c r="C612" s="6">
        <v>44651</v>
      </c>
      <c r="D612">
        <v>20210401</v>
      </c>
      <c r="E612">
        <v>20220331</v>
      </c>
      <c r="F612" t="s">
        <v>2008</v>
      </c>
      <c r="G612" t="s">
        <v>2009</v>
      </c>
      <c r="H612" t="s">
        <v>590</v>
      </c>
      <c r="I612" t="s">
        <v>805</v>
      </c>
      <c r="L612">
        <v>41</v>
      </c>
      <c r="M612">
        <v>779</v>
      </c>
      <c r="N612">
        <v>-41</v>
      </c>
      <c r="O612">
        <v>-779</v>
      </c>
      <c r="Z612" s="3">
        <f t="shared" si="9"/>
        <v>19</v>
      </c>
    </row>
    <row r="613" spans="1:26" hidden="1">
      <c r="A613" t="s">
        <v>706</v>
      </c>
      <c r="B613" s="6">
        <v>44287</v>
      </c>
      <c r="C613" s="6">
        <v>44651</v>
      </c>
      <c r="D613">
        <v>20210401</v>
      </c>
      <c r="E613">
        <v>20220331</v>
      </c>
      <c r="F613" t="s">
        <v>2010</v>
      </c>
      <c r="G613" t="s">
        <v>2011</v>
      </c>
      <c r="H613" t="s">
        <v>590</v>
      </c>
      <c r="I613" t="s">
        <v>805</v>
      </c>
      <c r="L613">
        <v>44</v>
      </c>
      <c r="M613">
        <v>660</v>
      </c>
      <c r="N613">
        <v>-44</v>
      </c>
      <c r="O613">
        <v>-660</v>
      </c>
      <c r="Z613" s="3">
        <f t="shared" si="9"/>
        <v>15</v>
      </c>
    </row>
    <row r="614" spans="1:26" hidden="1">
      <c r="A614" t="s">
        <v>706</v>
      </c>
      <c r="B614" s="6">
        <v>44287</v>
      </c>
      <c r="C614" s="6">
        <v>44651</v>
      </c>
      <c r="D614">
        <v>20210401</v>
      </c>
      <c r="E614">
        <v>20220331</v>
      </c>
      <c r="F614" t="s">
        <v>2012</v>
      </c>
      <c r="G614" t="s">
        <v>2013</v>
      </c>
      <c r="H614" t="s">
        <v>590</v>
      </c>
      <c r="I614" t="s">
        <v>805</v>
      </c>
      <c r="L614">
        <v>44</v>
      </c>
      <c r="M614">
        <v>1232</v>
      </c>
      <c r="N614">
        <v>-44</v>
      </c>
      <c r="O614">
        <v>-1232</v>
      </c>
      <c r="Z614" s="3">
        <f t="shared" si="9"/>
        <v>28</v>
      </c>
    </row>
    <row r="615" spans="1:26" hidden="1">
      <c r="A615" t="s">
        <v>706</v>
      </c>
      <c r="B615" s="6">
        <v>44287</v>
      </c>
      <c r="C615" s="6">
        <v>44651</v>
      </c>
      <c r="D615">
        <v>20210401</v>
      </c>
      <c r="E615">
        <v>20220331</v>
      </c>
      <c r="F615" t="s">
        <v>2014</v>
      </c>
      <c r="G615" t="s">
        <v>2013</v>
      </c>
      <c r="H615" t="s">
        <v>590</v>
      </c>
      <c r="I615" t="s">
        <v>805</v>
      </c>
      <c r="L615">
        <v>44</v>
      </c>
      <c r="M615">
        <v>880</v>
      </c>
      <c r="N615">
        <v>-44</v>
      </c>
      <c r="O615">
        <v>-880</v>
      </c>
      <c r="Z615" s="3">
        <f t="shared" si="9"/>
        <v>20</v>
      </c>
    </row>
    <row r="616" spans="1:26" hidden="1">
      <c r="A616" t="s">
        <v>706</v>
      </c>
      <c r="B616" s="6">
        <v>44287</v>
      </c>
      <c r="C616" s="6">
        <v>44651</v>
      </c>
      <c r="D616">
        <v>20210401</v>
      </c>
      <c r="E616">
        <v>20220331</v>
      </c>
      <c r="F616" t="s">
        <v>2015</v>
      </c>
      <c r="G616" t="s">
        <v>2016</v>
      </c>
      <c r="H616" t="s">
        <v>590</v>
      </c>
      <c r="I616" t="s">
        <v>805</v>
      </c>
      <c r="L616">
        <v>60</v>
      </c>
      <c r="M616">
        <v>6600</v>
      </c>
      <c r="N616">
        <v>-60</v>
      </c>
      <c r="O616">
        <v>-6600</v>
      </c>
      <c r="Z616" s="3">
        <f t="shared" si="9"/>
        <v>110</v>
      </c>
    </row>
    <row r="617" spans="1:26" hidden="1">
      <c r="A617" t="s">
        <v>706</v>
      </c>
      <c r="B617" s="6">
        <v>44287</v>
      </c>
      <c r="C617" s="6">
        <v>44651</v>
      </c>
      <c r="D617">
        <v>20210401</v>
      </c>
      <c r="E617">
        <v>20220331</v>
      </c>
      <c r="F617" t="s">
        <v>2017</v>
      </c>
      <c r="G617" t="s">
        <v>2018</v>
      </c>
      <c r="H617" t="s">
        <v>590</v>
      </c>
      <c r="I617" t="s">
        <v>805</v>
      </c>
      <c r="L617">
        <v>45</v>
      </c>
      <c r="M617">
        <v>5175</v>
      </c>
      <c r="N617">
        <v>-45</v>
      </c>
      <c r="O617">
        <v>-5175</v>
      </c>
      <c r="Z617" s="3">
        <f t="shared" si="9"/>
        <v>115</v>
      </c>
    </row>
    <row r="618" spans="1:26" hidden="1">
      <c r="A618" t="s">
        <v>706</v>
      </c>
      <c r="B618" s="6">
        <v>44287</v>
      </c>
      <c r="C618" s="6">
        <v>44651</v>
      </c>
      <c r="D618">
        <v>20210401</v>
      </c>
      <c r="E618">
        <v>20220331</v>
      </c>
      <c r="F618" t="s">
        <v>2019</v>
      </c>
      <c r="G618" t="s">
        <v>2020</v>
      </c>
      <c r="H618" t="s">
        <v>590</v>
      </c>
      <c r="I618" t="s">
        <v>805</v>
      </c>
      <c r="L618">
        <v>35</v>
      </c>
      <c r="M618">
        <v>5950</v>
      </c>
      <c r="N618">
        <v>-35</v>
      </c>
      <c r="O618">
        <v>-5950</v>
      </c>
      <c r="Z618" s="3">
        <f t="shared" si="9"/>
        <v>170</v>
      </c>
    </row>
    <row r="619" spans="1:26" hidden="1">
      <c r="A619" t="s">
        <v>706</v>
      </c>
      <c r="B619" s="6">
        <v>44287</v>
      </c>
      <c r="C619" s="6">
        <v>44651</v>
      </c>
      <c r="D619">
        <v>20210401</v>
      </c>
      <c r="E619">
        <v>20220331</v>
      </c>
      <c r="F619" t="s">
        <v>2021</v>
      </c>
      <c r="G619" t="s">
        <v>2022</v>
      </c>
      <c r="H619" t="s">
        <v>590</v>
      </c>
      <c r="I619" t="s">
        <v>805</v>
      </c>
      <c r="L619">
        <v>2400</v>
      </c>
      <c r="M619">
        <v>25920</v>
      </c>
      <c r="N619">
        <v>-2400</v>
      </c>
      <c r="O619">
        <v>-25920</v>
      </c>
      <c r="Z619" s="3">
        <f t="shared" si="9"/>
        <v>10.8</v>
      </c>
    </row>
    <row r="620" spans="1:26" hidden="1">
      <c r="A620" t="s">
        <v>706</v>
      </c>
      <c r="B620" s="6">
        <v>44287</v>
      </c>
      <c r="C620" s="6">
        <v>44651</v>
      </c>
      <c r="D620">
        <v>20210401</v>
      </c>
      <c r="E620">
        <v>20220331</v>
      </c>
      <c r="F620" t="s">
        <v>2023</v>
      </c>
      <c r="G620" t="s">
        <v>2024</v>
      </c>
      <c r="H620" t="s">
        <v>590</v>
      </c>
      <c r="I620" t="s">
        <v>805</v>
      </c>
      <c r="L620">
        <v>1895</v>
      </c>
      <c r="M620">
        <v>23877</v>
      </c>
      <c r="N620">
        <v>-1895</v>
      </c>
      <c r="O620">
        <v>-23877</v>
      </c>
      <c r="Z620" s="3">
        <f t="shared" si="9"/>
        <v>12.6</v>
      </c>
    </row>
    <row r="621" spans="1:26" hidden="1">
      <c r="A621" t="s">
        <v>706</v>
      </c>
      <c r="B621" s="6">
        <v>44287</v>
      </c>
      <c r="C621" s="6">
        <v>44651</v>
      </c>
      <c r="D621">
        <v>20210401</v>
      </c>
      <c r="E621">
        <v>20220331</v>
      </c>
      <c r="F621" t="s">
        <v>2025</v>
      </c>
      <c r="G621" t="s">
        <v>2026</v>
      </c>
      <c r="H621" t="s">
        <v>590</v>
      </c>
      <c r="I621" t="s">
        <v>805</v>
      </c>
      <c r="L621">
        <v>1000</v>
      </c>
      <c r="M621">
        <v>22500</v>
      </c>
      <c r="N621">
        <v>-1000</v>
      </c>
      <c r="O621">
        <v>-22500</v>
      </c>
      <c r="Z621" s="3">
        <f t="shared" si="9"/>
        <v>22.5</v>
      </c>
    </row>
    <row r="622" spans="1:26" hidden="1">
      <c r="A622" t="s">
        <v>706</v>
      </c>
      <c r="B622" s="6">
        <v>44287</v>
      </c>
      <c r="C622" s="6">
        <v>44651</v>
      </c>
      <c r="D622">
        <v>20210401</v>
      </c>
      <c r="E622">
        <v>20220331</v>
      </c>
      <c r="F622" t="s">
        <v>2027</v>
      </c>
      <c r="G622" t="s">
        <v>2028</v>
      </c>
      <c r="H622" t="s">
        <v>590</v>
      </c>
      <c r="I622" t="s">
        <v>805</v>
      </c>
      <c r="L622">
        <v>790</v>
      </c>
      <c r="M622">
        <v>25596</v>
      </c>
      <c r="N622">
        <v>-790</v>
      </c>
      <c r="O622">
        <v>-25596</v>
      </c>
      <c r="Z622" s="3">
        <f t="shared" si="9"/>
        <v>32.4</v>
      </c>
    </row>
    <row r="623" spans="1:26" hidden="1">
      <c r="A623" t="s">
        <v>706</v>
      </c>
      <c r="B623" s="6">
        <v>44287</v>
      </c>
      <c r="C623" s="6">
        <v>44651</v>
      </c>
      <c r="D623">
        <v>20210401</v>
      </c>
      <c r="E623">
        <v>20220331</v>
      </c>
      <c r="F623" t="s">
        <v>2029</v>
      </c>
      <c r="G623" t="s">
        <v>2030</v>
      </c>
      <c r="H623" t="s">
        <v>590</v>
      </c>
      <c r="I623" t="s">
        <v>805</v>
      </c>
      <c r="L623">
        <v>510</v>
      </c>
      <c r="M623">
        <v>26622</v>
      </c>
      <c r="N623">
        <v>-510</v>
      </c>
      <c r="O623">
        <v>-26622</v>
      </c>
      <c r="Z623" s="3">
        <f t="shared" si="9"/>
        <v>52.2</v>
      </c>
    </row>
    <row r="624" spans="1:26" hidden="1">
      <c r="A624" t="s">
        <v>706</v>
      </c>
      <c r="B624" s="6">
        <v>44287</v>
      </c>
      <c r="C624" s="6">
        <v>44651</v>
      </c>
      <c r="D624">
        <v>20210401</v>
      </c>
      <c r="E624">
        <v>20220331</v>
      </c>
      <c r="F624" t="s">
        <v>2031</v>
      </c>
      <c r="G624" t="s">
        <v>2032</v>
      </c>
      <c r="H624" t="s">
        <v>590</v>
      </c>
      <c r="I624" t="s">
        <v>805</v>
      </c>
      <c r="L624">
        <v>550</v>
      </c>
      <c r="M624">
        <v>1980</v>
      </c>
      <c r="N624">
        <v>-550</v>
      </c>
      <c r="O624">
        <v>-1980</v>
      </c>
      <c r="Z624" s="3">
        <f t="shared" si="9"/>
        <v>3.6</v>
      </c>
    </row>
    <row r="625" spans="1:26" hidden="1">
      <c r="A625" t="s">
        <v>706</v>
      </c>
      <c r="B625" s="6">
        <v>44287</v>
      </c>
      <c r="C625" s="6">
        <v>44651</v>
      </c>
      <c r="D625">
        <v>20210401</v>
      </c>
      <c r="E625">
        <v>20220331</v>
      </c>
      <c r="F625" t="s">
        <v>2033</v>
      </c>
      <c r="G625" t="s">
        <v>2034</v>
      </c>
      <c r="H625" t="s">
        <v>590</v>
      </c>
      <c r="I625" t="s">
        <v>805</v>
      </c>
      <c r="L625">
        <v>2210</v>
      </c>
      <c r="M625">
        <v>13923</v>
      </c>
      <c r="N625">
        <v>-2210</v>
      </c>
      <c r="O625">
        <v>-13923</v>
      </c>
      <c r="Z625" s="3">
        <f t="shared" si="9"/>
        <v>6.3</v>
      </c>
    </row>
    <row r="626" spans="1:26" hidden="1">
      <c r="A626" t="s">
        <v>706</v>
      </c>
      <c r="B626" s="6">
        <v>44287</v>
      </c>
      <c r="C626" s="6">
        <v>44651</v>
      </c>
      <c r="D626">
        <v>20210401</v>
      </c>
      <c r="E626">
        <v>20220331</v>
      </c>
      <c r="F626" t="s">
        <v>2035</v>
      </c>
      <c r="G626" t="s">
        <v>2036</v>
      </c>
      <c r="H626" t="s">
        <v>590</v>
      </c>
      <c r="I626" t="s">
        <v>805</v>
      </c>
      <c r="L626">
        <v>46</v>
      </c>
      <c r="M626">
        <v>7590</v>
      </c>
      <c r="N626">
        <v>-46</v>
      </c>
      <c r="O626">
        <v>-7590</v>
      </c>
      <c r="Z626" s="3">
        <f t="shared" si="9"/>
        <v>165</v>
      </c>
    </row>
    <row r="627" spans="1:26" hidden="1">
      <c r="A627" t="s">
        <v>706</v>
      </c>
      <c r="B627" s="6">
        <v>44287</v>
      </c>
      <c r="C627" s="6">
        <v>44651</v>
      </c>
      <c r="D627">
        <v>20210401</v>
      </c>
      <c r="E627">
        <v>20220331</v>
      </c>
      <c r="F627" t="s">
        <v>2037</v>
      </c>
      <c r="G627" t="s">
        <v>2038</v>
      </c>
      <c r="H627" t="s">
        <v>590</v>
      </c>
      <c r="I627" t="s">
        <v>805</v>
      </c>
      <c r="L627">
        <v>38</v>
      </c>
      <c r="M627">
        <v>8018</v>
      </c>
      <c r="N627">
        <v>-38</v>
      </c>
      <c r="O627">
        <v>-8018</v>
      </c>
      <c r="Z627" s="3">
        <f t="shared" si="9"/>
        <v>211</v>
      </c>
    </row>
    <row r="628" spans="1:26" hidden="1">
      <c r="A628" t="s">
        <v>706</v>
      </c>
      <c r="B628" s="6">
        <v>44287</v>
      </c>
      <c r="C628" s="6">
        <v>44651</v>
      </c>
      <c r="D628">
        <v>20210401</v>
      </c>
      <c r="E628">
        <v>20220331</v>
      </c>
      <c r="F628" t="s">
        <v>2039</v>
      </c>
      <c r="G628" t="s">
        <v>2040</v>
      </c>
      <c r="H628" t="s">
        <v>590</v>
      </c>
      <c r="I628" t="s">
        <v>805</v>
      </c>
      <c r="L628">
        <v>57</v>
      </c>
      <c r="M628">
        <v>15561</v>
      </c>
      <c r="N628">
        <v>-57</v>
      </c>
      <c r="O628">
        <v>-15561</v>
      </c>
      <c r="Z628" s="3">
        <f t="shared" si="9"/>
        <v>273</v>
      </c>
    </row>
    <row r="629" spans="1:26" hidden="1">
      <c r="A629" t="s">
        <v>706</v>
      </c>
      <c r="B629" s="6">
        <v>44287</v>
      </c>
      <c r="C629" s="6">
        <v>44651</v>
      </c>
      <c r="D629">
        <v>20210401</v>
      </c>
      <c r="E629">
        <v>20220331</v>
      </c>
      <c r="F629" t="s">
        <v>2041</v>
      </c>
      <c r="G629" t="s">
        <v>2042</v>
      </c>
      <c r="H629" t="s">
        <v>590</v>
      </c>
      <c r="I629" t="s">
        <v>805</v>
      </c>
      <c r="L629">
        <v>380</v>
      </c>
      <c r="M629">
        <v>73780</v>
      </c>
      <c r="N629">
        <v>-380</v>
      </c>
      <c r="O629">
        <v>-73780</v>
      </c>
      <c r="Z629" s="3">
        <f t="shared" si="9"/>
        <v>194.15789473684211</v>
      </c>
    </row>
    <row r="630" spans="1:26" hidden="1">
      <c r="A630" t="s">
        <v>706</v>
      </c>
      <c r="B630" s="6">
        <v>44287</v>
      </c>
      <c r="C630" s="6">
        <v>44651</v>
      </c>
      <c r="D630">
        <v>20210401</v>
      </c>
      <c r="E630">
        <v>20220331</v>
      </c>
      <c r="F630" t="s">
        <v>2043</v>
      </c>
      <c r="G630" t="s">
        <v>2044</v>
      </c>
      <c r="H630" t="s">
        <v>590</v>
      </c>
      <c r="I630" t="s">
        <v>805</v>
      </c>
      <c r="L630">
        <v>715</v>
      </c>
      <c r="M630">
        <v>3539.25</v>
      </c>
      <c r="N630">
        <v>-715</v>
      </c>
      <c r="O630">
        <v>-3539.25</v>
      </c>
      <c r="Z630" s="3">
        <f t="shared" si="9"/>
        <v>4.95</v>
      </c>
    </row>
    <row r="631" spans="1:26" hidden="1">
      <c r="A631" t="s">
        <v>706</v>
      </c>
      <c r="B631" s="6">
        <v>44287</v>
      </c>
      <c r="C631" s="6">
        <v>44651</v>
      </c>
      <c r="D631">
        <v>20210401</v>
      </c>
      <c r="E631">
        <v>20220331</v>
      </c>
      <c r="F631" t="s">
        <v>2045</v>
      </c>
      <c r="G631" t="s">
        <v>2046</v>
      </c>
      <c r="H631" t="s">
        <v>590</v>
      </c>
      <c r="I631" t="s">
        <v>805</v>
      </c>
      <c r="L631">
        <v>715</v>
      </c>
      <c r="M631">
        <v>2395.25</v>
      </c>
      <c r="N631">
        <v>-715</v>
      </c>
      <c r="O631">
        <v>-2395.25</v>
      </c>
      <c r="Z631" s="3">
        <f t="shared" si="9"/>
        <v>3.35</v>
      </c>
    </row>
    <row r="632" spans="1:26" hidden="1">
      <c r="A632" t="s">
        <v>706</v>
      </c>
      <c r="B632" s="6">
        <v>44287</v>
      </c>
      <c r="C632" s="6">
        <v>44651</v>
      </c>
      <c r="D632">
        <v>20210401</v>
      </c>
      <c r="E632">
        <v>20220331</v>
      </c>
      <c r="F632" t="s">
        <v>2047</v>
      </c>
      <c r="G632" t="s">
        <v>2048</v>
      </c>
      <c r="H632" t="s">
        <v>590</v>
      </c>
      <c r="I632" t="s">
        <v>805</v>
      </c>
      <c r="L632">
        <v>2915</v>
      </c>
      <c r="M632">
        <v>13409</v>
      </c>
      <c r="N632">
        <v>-2915</v>
      </c>
      <c r="O632">
        <v>-13409</v>
      </c>
      <c r="Z632" s="3">
        <f t="shared" si="9"/>
        <v>4.5999999999999996</v>
      </c>
    </row>
    <row r="633" spans="1:26" hidden="1">
      <c r="A633" t="s">
        <v>706</v>
      </c>
      <c r="B633" s="6">
        <v>44287</v>
      </c>
      <c r="C633" s="6">
        <v>44651</v>
      </c>
      <c r="D633">
        <v>20210401</v>
      </c>
      <c r="E633">
        <v>20220331</v>
      </c>
      <c r="F633" t="s">
        <v>2049</v>
      </c>
      <c r="G633" t="s">
        <v>2050</v>
      </c>
      <c r="H633" t="s">
        <v>590</v>
      </c>
      <c r="I633" t="s">
        <v>805</v>
      </c>
      <c r="L633">
        <v>2950</v>
      </c>
      <c r="M633">
        <v>10325</v>
      </c>
      <c r="N633">
        <v>-2950</v>
      </c>
      <c r="O633">
        <v>-10325</v>
      </c>
      <c r="Z633" s="3">
        <f t="shared" si="9"/>
        <v>3.5</v>
      </c>
    </row>
    <row r="634" spans="1:26" hidden="1">
      <c r="A634" t="s">
        <v>706</v>
      </c>
      <c r="B634" s="6">
        <v>44287</v>
      </c>
      <c r="C634" s="6">
        <v>44651</v>
      </c>
      <c r="D634">
        <v>20210401</v>
      </c>
      <c r="E634">
        <v>20220331</v>
      </c>
      <c r="F634" t="s">
        <v>2051</v>
      </c>
      <c r="G634" t="s">
        <v>2052</v>
      </c>
      <c r="H634" t="s">
        <v>590</v>
      </c>
      <c r="I634" t="s">
        <v>805</v>
      </c>
      <c r="L634">
        <v>881</v>
      </c>
      <c r="M634">
        <v>56384</v>
      </c>
      <c r="N634">
        <v>-881</v>
      </c>
      <c r="O634">
        <v>-56384</v>
      </c>
      <c r="Z634" s="3">
        <f t="shared" si="9"/>
        <v>64</v>
      </c>
    </row>
    <row r="635" spans="1:26" hidden="1">
      <c r="A635" t="s">
        <v>706</v>
      </c>
      <c r="B635" s="6">
        <v>44287</v>
      </c>
      <c r="C635" s="6">
        <v>44651</v>
      </c>
      <c r="D635">
        <v>20210401</v>
      </c>
      <c r="E635">
        <v>20220331</v>
      </c>
      <c r="F635" t="s">
        <v>2053</v>
      </c>
      <c r="G635" t="s">
        <v>2054</v>
      </c>
      <c r="H635" t="s">
        <v>590</v>
      </c>
      <c r="I635" t="s">
        <v>805</v>
      </c>
      <c r="J635">
        <v>11</v>
      </c>
      <c r="K635">
        <v>5578.58</v>
      </c>
      <c r="L635">
        <v>361</v>
      </c>
      <c r="M635">
        <v>189665</v>
      </c>
      <c r="N635">
        <v>-355</v>
      </c>
      <c r="O635">
        <v>-186124.42</v>
      </c>
      <c r="X635">
        <v>17</v>
      </c>
      <c r="Y635">
        <v>9119.16</v>
      </c>
      <c r="Z635" s="3">
        <f t="shared" si="9"/>
        <v>524.2941408450705</v>
      </c>
    </row>
    <row r="636" spans="1:26" hidden="1">
      <c r="A636" t="s">
        <v>706</v>
      </c>
      <c r="B636" s="6">
        <v>44287</v>
      </c>
      <c r="C636" s="6">
        <v>44651</v>
      </c>
      <c r="D636">
        <v>20210401</v>
      </c>
      <c r="E636">
        <v>20220331</v>
      </c>
      <c r="F636" t="s">
        <v>2055</v>
      </c>
      <c r="G636" t="s">
        <v>2056</v>
      </c>
      <c r="H636" t="s">
        <v>613</v>
      </c>
      <c r="I636" t="s">
        <v>805</v>
      </c>
      <c r="L636">
        <v>155.30000000000001</v>
      </c>
      <c r="M636">
        <v>21431.4</v>
      </c>
      <c r="X636">
        <v>155.30000000000001</v>
      </c>
      <c r="Y636">
        <v>21431.4</v>
      </c>
      <c r="Z636" s="3">
        <f t="shared" si="9"/>
        <v>138</v>
      </c>
    </row>
    <row r="637" spans="1:26" hidden="1">
      <c r="A637" t="s">
        <v>706</v>
      </c>
      <c r="B637" s="6">
        <v>44287</v>
      </c>
      <c r="C637" s="6">
        <v>44651</v>
      </c>
      <c r="D637">
        <v>20210401</v>
      </c>
      <c r="E637">
        <v>20220331</v>
      </c>
      <c r="F637" t="s">
        <v>2057</v>
      </c>
      <c r="G637" t="s">
        <v>2058</v>
      </c>
      <c r="H637" t="s">
        <v>590</v>
      </c>
      <c r="I637" t="s">
        <v>805</v>
      </c>
      <c r="L637">
        <v>893</v>
      </c>
      <c r="M637">
        <v>3125.5</v>
      </c>
      <c r="N637">
        <v>-893</v>
      </c>
      <c r="O637">
        <v>-3125.5</v>
      </c>
      <c r="Z637" s="3">
        <f t="shared" si="9"/>
        <v>3.5</v>
      </c>
    </row>
    <row r="638" spans="1:26" hidden="1">
      <c r="A638" t="s">
        <v>706</v>
      </c>
      <c r="B638" s="6">
        <v>44287</v>
      </c>
      <c r="C638" s="6">
        <v>44651</v>
      </c>
      <c r="D638">
        <v>20210401</v>
      </c>
      <c r="E638">
        <v>20220331</v>
      </c>
      <c r="F638" t="s">
        <v>2059</v>
      </c>
      <c r="G638" t="s">
        <v>2060</v>
      </c>
      <c r="H638" t="s">
        <v>590</v>
      </c>
      <c r="I638" t="s">
        <v>805</v>
      </c>
      <c r="L638">
        <v>875</v>
      </c>
      <c r="M638">
        <v>4025</v>
      </c>
      <c r="N638">
        <v>-875</v>
      </c>
      <c r="O638">
        <v>-4025</v>
      </c>
      <c r="Z638" s="3">
        <f t="shared" si="9"/>
        <v>4.5999999999999996</v>
      </c>
    </row>
    <row r="639" spans="1:26" hidden="1">
      <c r="A639" t="s">
        <v>706</v>
      </c>
      <c r="B639" s="6">
        <v>44287</v>
      </c>
      <c r="C639" s="6">
        <v>44651</v>
      </c>
      <c r="D639">
        <v>20210401</v>
      </c>
      <c r="E639">
        <v>20220331</v>
      </c>
      <c r="F639" t="s">
        <v>2061</v>
      </c>
      <c r="G639" t="s">
        <v>2062</v>
      </c>
      <c r="H639" t="s">
        <v>590</v>
      </c>
      <c r="I639" t="s">
        <v>805</v>
      </c>
      <c r="L639">
        <v>875</v>
      </c>
      <c r="M639">
        <v>3062.5</v>
      </c>
      <c r="N639">
        <v>-875</v>
      </c>
      <c r="O639">
        <v>-3062.5</v>
      </c>
      <c r="Z639" s="3">
        <f t="shared" si="9"/>
        <v>3.5</v>
      </c>
    </row>
    <row r="640" spans="1:26" hidden="1">
      <c r="A640" t="s">
        <v>706</v>
      </c>
      <c r="B640" s="6">
        <v>44287</v>
      </c>
      <c r="C640" s="6">
        <v>44651</v>
      </c>
      <c r="D640">
        <v>20210401</v>
      </c>
      <c r="E640">
        <v>20220331</v>
      </c>
      <c r="F640" t="s">
        <v>2063</v>
      </c>
      <c r="G640" t="s">
        <v>2064</v>
      </c>
      <c r="H640" t="s">
        <v>590</v>
      </c>
      <c r="I640" t="s">
        <v>805</v>
      </c>
      <c r="L640">
        <v>875</v>
      </c>
      <c r="M640">
        <v>4025</v>
      </c>
      <c r="N640">
        <v>-875</v>
      </c>
      <c r="O640">
        <v>-4025</v>
      </c>
      <c r="Z640" s="3">
        <f t="shared" si="9"/>
        <v>4.5999999999999996</v>
      </c>
    </row>
    <row r="641" spans="1:26" hidden="1">
      <c r="A641" t="s">
        <v>706</v>
      </c>
      <c r="B641" s="6">
        <v>44287</v>
      </c>
      <c r="C641" s="6">
        <v>44651</v>
      </c>
      <c r="D641">
        <v>20210401</v>
      </c>
      <c r="E641">
        <v>20220331</v>
      </c>
      <c r="F641" t="s">
        <v>2065</v>
      </c>
      <c r="G641" t="s">
        <v>2066</v>
      </c>
      <c r="H641" t="s">
        <v>590</v>
      </c>
      <c r="I641" t="s">
        <v>805</v>
      </c>
      <c r="L641">
        <v>875</v>
      </c>
      <c r="M641">
        <v>3062.5</v>
      </c>
      <c r="N641">
        <v>-875</v>
      </c>
      <c r="O641">
        <v>-3062.5</v>
      </c>
      <c r="Z641" s="3">
        <f t="shared" si="9"/>
        <v>3.5</v>
      </c>
    </row>
    <row r="642" spans="1:26" hidden="1">
      <c r="A642" t="s">
        <v>706</v>
      </c>
      <c r="B642" s="6">
        <v>44287</v>
      </c>
      <c r="C642" s="6">
        <v>44651</v>
      </c>
      <c r="D642">
        <v>20210401</v>
      </c>
      <c r="E642">
        <v>20220331</v>
      </c>
      <c r="F642" t="s">
        <v>2067</v>
      </c>
      <c r="G642" t="s">
        <v>2068</v>
      </c>
      <c r="H642" t="s">
        <v>590</v>
      </c>
      <c r="I642" t="s">
        <v>805</v>
      </c>
      <c r="L642">
        <v>875</v>
      </c>
      <c r="M642">
        <v>4025</v>
      </c>
      <c r="N642">
        <v>-875</v>
      </c>
      <c r="O642">
        <v>-4025</v>
      </c>
      <c r="Z642" s="3">
        <f t="shared" si="9"/>
        <v>4.5999999999999996</v>
      </c>
    </row>
    <row r="643" spans="1:26" hidden="1">
      <c r="A643" t="s">
        <v>706</v>
      </c>
      <c r="B643" s="6">
        <v>44287</v>
      </c>
      <c r="C643" s="6">
        <v>44651</v>
      </c>
      <c r="D643">
        <v>20210401</v>
      </c>
      <c r="E643">
        <v>20220331</v>
      </c>
      <c r="F643" t="s">
        <v>2069</v>
      </c>
      <c r="G643" t="s">
        <v>2070</v>
      </c>
      <c r="H643" t="s">
        <v>590</v>
      </c>
      <c r="I643" t="s">
        <v>805</v>
      </c>
      <c r="L643">
        <v>111</v>
      </c>
      <c r="M643">
        <v>1831.5</v>
      </c>
      <c r="N643">
        <v>-111</v>
      </c>
      <c r="O643">
        <v>-1831.5</v>
      </c>
      <c r="Z643" s="3">
        <f t="shared" ref="Z643:Z706" si="10">IFERROR((O643+Q643)/(N643+P643),Y643/X643)</f>
        <v>16.5</v>
      </c>
    </row>
    <row r="644" spans="1:26" hidden="1">
      <c r="A644" t="s">
        <v>706</v>
      </c>
      <c r="B644" s="6">
        <v>44287</v>
      </c>
      <c r="C644" s="6">
        <v>44651</v>
      </c>
      <c r="D644">
        <v>20210401</v>
      </c>
      <c r="E644">
        <v>20220331</v>
      </c>
      <c r="F644" t="s">
        <v>2071</v>
      </c>
      <c r="G644" t="s">
        <v>2072</v>
      </c>
      <c r="H644" t="s">
        <v>2073</v>
      </c>
      <c r="I644" t="s">
        <v>1462</v>
      </c>
      <c r="L644">
        <v>3000</v>
      </c>
      <c r="M644">
        <v>8500</v>
      </c>
      <c r="N644">
        <v>-3000</v>
      </c>
      <c r="O644">
        <v>-8500</v>
      </c>
      <c r="Z644" s="3">
        <f t="shared" si="10"/>
        <v>2.8333333333333335</v>
      </c>
    </row>
    <row r="645" spans="1:26" hidden="1">
      <c r="A645" t="s">
        <v>706</v>
      </c>
      <c r="B645" s="6">
        <v>44287</v>
      </c>
      <c r="C645" s="6">
        <v>44651</v>
      </c>
      <c r="D645">
        <v>20210401</v>
      </c>
      <c r="E645">
        <v>20220331</v>
      </c>
      <c r="F645" t="s">
        <v>2074</v>
      </c>
      <c r="G645" t="s">
        <v>2075</v>
      </c>
      <c r="H645" t="s">
        <v>590</v>
      </c>
      <c r="I645" t="s">
        <v>805</v>
      </c>
      <c r="L645">
        <v>679</v>
      </c>
      <c r="M645">
        <v>14598.5</v>
      </c>
      <c r="N645">
        <v>-679</v>
      </c>
      <c r="O645">
        <v>-14598.5</v>
      </c>
      <c r="Z645" s="3">
        <f t="shared" si="10"/>
        <v>21.5</v>
      </c>
    </row>
    <row r="646" spans="1:26" hidden="1">
      <c r="A646" t="s">
        <v>706</v>
      </c>
      <c r="B646" s="6">
        <v>44287</v>
      </c>
      <c r="C646" s="6">
        <v>44651</v>
      </c>
      <c r="D646">
        <v>20210401</v>
      </c>
      <c r="E646">
        <v>20220331</v>
      </c>
      <c r="F646" t="s">
        <v>2076</v>
      </c>
      <c r="G646" t="s">
        <v>2077</v>
      </c>
      <c r="H646" t="s">
        <v>590</v>
      </c>
      <c r="I646" t="s">
        <v>805</v>
      </c>
      <c r="L646">
        <v>200</v>
      </c>
      <c r="M646">
        <v>1700</v>
      </c>
      <c r="N646">
        <v>-200</v>
      </c>
      <c r="O646">
        <v>-1700</v>
      </c>
      <c r="Z646" s="3">
        <f t="shared" si="10"/>
        <v>8.5</v>
      </c>
    </row>
    <row r="647" spans="1:26" hidden="1">
      <c r="A647" t="s">
        <v>706</v>
      </c>
      <c r="B647" s="6">
        <v>44287</v>
      </c>
      <c r="C647" s="6">
        <v>44651</v>
      </c>
      <c r="D647">
        <v>20210401</v>
      </c>
      <c r="E647">
        <v>20220331</v>
      </c>
      <c r="F647" t="s">
        <v>2078</v>
      </c>
      <c r="G647" t="s">
        <v>2079</v>
      </c>
      <c r="H647" t="s">
        <v>590</v>
      </c>
      <c r="I647" t="s">
        <v>805</v>
      </c>
      <c r="L647">
        <v>100</v>
      </c>
      <c r="M647">
        <v>900</v>
      </c>
      <c r="N647">
        <v>-100</v>
      </c>
      <c r="O647">
        <v>-900</v>
      </c>
      <c r="Z647" s="3">
        <f t="shared" si="10"/>
        <v>9</v>
      </c>
    </row>
    <row r="648" spans="1:26" hidden="1">
      <c r="A648" t="s">
        <v>706</v>
      </c>
      <c r="B648" s="6">
        <v>44287</v>
      </c>
      <c r="C648" s="6">
        <v>44651</v>
      </c>
      <c r="D648">
        <v>20210401</v>
      </c>
      <c r="E648">
        <v>20220331</v>
      </c>
      <c r="F648" t="s">
        <v>2080</v>
      </c>
      <c r="G648" t="s">
        <v>2081</v>
      </c>
      <c r="H648" t="s">
        <v>590</v>
      </c>
      <c r="I648" t="s">
        <v>805</v>
      </c>
      <c r="L648">
        <v>330</v>
      </c>
      <c r="M648">
        <v>7194</v>
      </c>
      <c r="N648">
        <v>-330</v>
      </c>
      <c r="O648">
        <v>-7194</v>
      </c>
      <c r="Z648" s="3">
        <f t="shared" si="10"/>
        <v>21.8</v>
      </c>
    </row>
    <row r="649" spans="1:26" hidden="1">
      <c r="A649" t="s">
        <v>706</v>
      </c>
      <c r="B649" s="6">
        <v>44287</v>
      </c>
      <c r="C649" s="6">
        <v>44651</v>
      </c>
      <c r="D649">
        <v>20210401</v>
      </c>
      <c r="E649">
        <v>20220331</v>
      </c>
      <c r="F649" t="s">
        <v>2082</v>
      </c>
      <c r="G649" t="s">
        <v>2083</v>
      </c>
      <c r="H649" t="s">
        <v>590</v>
      </c>
      <c r="I649" t="s">
        <v>805</v>
      </c>
      <c r="J649">
        <v>2</v>
      </c>
      <c r="K649">
        <v>800</v>
      </c>
      <c r="N649">
        <v>-2</v>
      </c>
      <c r="O649">
        <v>-800</v>
      </c>
      <c r="Z649" s="3">
        <f t="shared" si="10"/>
        <v>400</v>
      </c>
    </row>
    <row r="650" spans="1:26">
      <c r="A650" t="s">
        <v>706</v>
      </c>
      <c r="B650" s="6">
        <v>44287</v>
      </c>
      <c r="C650" s="6">
        <v>44651</v>
      </c>
      <c r="D650">
        <v>20210401</v>
      </c>
      <c r="E650">
        <v>20220331</v>
      </c>
      <c r="F650" t="s">
        <v>2084</v>
      </c>
      <c r="G650" t="s">
        <v>2085</v>
      </c>
      <c r="H650" t="s">
        <v>613</v>
      </c>
      <c r="I650" t="s">
        <v>846</v>
      </c>
      <c r="P650">
        <v>160</v>
      </c>
      <c r="Q650">
        <v>1280</v>
      </c>
      <c r="R650">
        <v>-160</v>
      </c>
      <c r="S650">
        <v>-1280</v>
      </c>
      <c r="Z650" s="3">
        <f t="shared" si="10"/>
        <v>8</v>
      </c>
    </row>
    <row r="651" spans="1:26" hidden="1">
      <c r="A651" t="s">
        <v>706</v>
      </c>
      <c r="B651" s="6">
        <v>44287</v>
      </c>
      <c r="C651" s="6">
        <v>44651</v>
      </c>
      <c r="D651">
        <v>20210401</v>
      </c>
      <c r="E651">
        <v>20220331</v>
      </c>
      <c r="F651" t="s">
        <v>2086</v>
      </c>
      <c r="G651" t="s">
        <v>2087</v>
      </c>
      <c r="H651" t="s">
        <v>590</v>
      </c>
      <c r="I651" t="s">
        <v>805</v>
      </c>
      <c r="J651">
        <v>38</v>
      </c>
      <c r="K651">
        <v>7904</v>
      </c>
      <c r="X651">
        <v>38</v>
      </c>
      <c r="Y651">
        <v>7904</v>
      </c>
      <c r="Z651" s="3">
        <f t="shared" si="10"/>
        <v>208</v>
      </c>
    </row>
    <row r="652" spans="1:26" hidden="1">
      <c r="A652" t="s">
        <v>706</v>
      </c>
      <c r="B652" s="6">
        <v>44287</v>
      </c>
      <c r="C652" s="6">
        <v>44651</v>
      </c>
      <c r="D652">
        <v>20210401</v>
      </c>
      <c r="E652">
        <v>20220331</v>
      </c>
      <c r="F652" t="s">
        <v>2088</v>
      </c>
      <c r="G652" t="s">
        <v>2089</v>
      </c>
      <c r="H652" t="s">
        <v>590</v>
      </c>
      <c r="I652" t="s">
        <v>805</v>
      </c>
      <c r="J652">
        <v>34</v>
      </c>
      <c r="K652">
        <v>7072</v>
      </c>
      <c r="X652">
        <v>34</v>
      </c>
      <c r="Y652">
        <v>7072</v>
      </c>
      <c r="Z652" s="3">
        <f t="shared" si="10"/>
        <v>208</v>
      </c>
    </row>
    <row r="653" spans="1:26" hidden="1">
      <c r="A653" t="s">
        <v>706</v>
      </c>
      <c r="B653" s="6">
        <v>44287</v>
      </c>
      <c r="C653" s="6">
        <v>44651</v>
      </c>
      <c r="D653">
        <v>20210401</v>
      </c>
      <c r="E653">
        <v>20220331</v>
      </c>
      <c r="F653" t="s">
        <v>2090</v>
      </c>
      <c r="G653" t="s">
        <v>2091</v>
      </c>
      <c r="H653" t="s">
        <v>1585</v>
      </c>
      <c r="I653" t="s">
        <v>805</v>
      </c>
      <c r="J653">
        <v>7</v>
      </c>
      <c r="K653">
        <v>3220.89</v>
      </c>
      <c r="L653">
        <v>2</v>
      </c>
      <c r="M653">
        <v>790</v>
      </c>
      <c r="N653">
        <v>-9</v>
      </c>
      <c r="O653">
        <v>-4010.88</v>
      </c>
      <c r="Y653">
        <v>0.01</v>
      </c>
      <c r="Z653" s="3">
        <f t="shared" si="10"/>
        <v>445.65333333333336</v>
      </c>
    </row>
    <row r="654" spans="1:26" hidden="1">
      <c r="A654" t="s">
        <v>706</v>
      </c>
      <c r="B654" s="6">
        <v>44287</v>
      </c>
      <c r="C654" s="6">
        <v>44651</v>
      </c>
      <c r="D654">
        <v>20210401</v>
      </c>
      <c r="E654">
        <v>20220331</v>
      </c>
      <c r="F654" t="s">
        <v>2092</v>
      </c>
      <c r="G654" t="s">
        <v>2093</v>
      </c>
      <c r="H654" t="s">
        <v>1585</v>
      </c>
      <c r="I654" t="s">
        <v>805</v>
      </c>
      <c r="L654">
        <v>300</v>
      </c>
      <c r="M654">
        <v>159000</v>
      </c>
      <c r="N654">
        <v>-300</v>
      </c>
      <c r="O654">
        <v>-159000</v>
      </c>
      <c r="Z654" s="3">
        <f t="shared" si="10"/>
        <v>530</v>
      </c>
    </row>
    <row r="655" spans="1:26" hidden="1">
      <c r="A655" t="s">
        <v>706</v>
      </c>
      <c r="B655" s="6">
        <v>44287</v>
      </c>
      <c r="C655" s="6">
        <v>44651</v>
      </c>
      <c r="D655">
        <v>20210401</v>
      </c>
      <c r="E655">
        <v>20220331</v>
      </c>
      <c r="F655" t="s">
        <v>2094</v>
      </c>
      <c r="G655" t="s">
        <v>2095</v>
      </c>
      <c r="H655" t="s">
        <v>1585</v>
      </c>
      <c r="I655" t="s">
        <v>805</v>
      </c>
      <c r="L655">
        <v>40</v>
      </c>
      <c r="M655">
        <v>16600</v>
      </c>
      <c r="N655">
        <v>-40</v>
      </c>
      <c r="O655">
        <v>-16600</v>
      </c>
      <c r="Z655" s="3">
        <f t="shared" si="10"/>
        <v>415</v>
      </c>
    </row>
    <row r="656" spans="1:26" hidden="1">
      <c r="A656" t="s">
        <v>706</v>
      </c>
      <c r="B656" s="6">
        <v>44287</v>
      </c>
      <c r="C656" s="6">
        <v>44651</v>
      </c>
      <c r="D656">
        <v>20210401</v>
      </c>
      <c r="E656">
        <v>20220331</v>
      </c>
      <c r="F656" t="s">
        <v>2096</v>
      </c>
      <c r="G656" t="s">
        <v>2097</v>
      </c>
      <c r="H656" t="s">
        <v>590</v>
      </c>
      <c r="I656" t="s">
        <v>805</v>
      </c>
      <c r="J656">
        <v>1</v>
      </c>
      <c r="K656">
        <v>1</v>
      </c>
      <c r="N656">
        <v>-1</v>
      </c>
      <c r="O656">
        <v>-1</v>
      </c>
      <c r="Z656" s="3">
        <f t="shared" si="10"/>
        <v>1</v>
      </c>
    </row>
    <row r="657" spans="1:26" hidden="1">
      <c r="A657" t="s">
        <v>706</v>
      </c>
      <c r="B657" s="6">
        <v>44287</v>
      </c>
      <c r="C657" s="6">
        <v>44651</v>
      </c>
      <c r="D657">
        <v>20210401</v>
      </c>
      <c r="E657">
        <v>20220331</v>
      </c>
      <c r="F657" t="s">
        <v>2098</v>
      </c>
      <c r="G657" t="s">
        <v>2099</v>
      </c>
      <c r="H657" t="s">
        <v>590</v>
      </c>
      <c r="I657" t="s">
        <v>805</v>
      </c>
      <c r="L657">
        <v>30</v>
      </c>
      <c r="M657">
        <v>7350.01</v>
      </c>
      <c r="N657">
        <v>-30</v>
      </c>
      <c r="O657">
        <v>-7350</v>
      </c>
      <c r="Y657">
        <v>0.01</v>
      </c>
      <c r="Z657" s="3">
        <f t="shared" si="10"/>
        <v>245</v>
      </c>
    </row>
    <row r="658" spans="1:26" hidden="1">
      <c r="A658" t="s">
        <v>706</v>
      </c>
      <c r="B658" s="6">
        <v>44287</v>
      </c>
      <c r="C658" s="6">
        <v>44651</v>
      </c>
      <c r="D658">
        <v>20210401</v>
      </c>
      <c r="E658">
        <v>20220331</v>
      </c>
      <c r="F658" t="s">
        <v>2100</v>
      </c>
      <c r="G658" t="s">
        <v>2101</v>
      </c>
      <c r="H658" t="s">
        <v>590</v>
      </c>
      <c r="I658" t="s">
        <v>1462</v>
      </c>
      <c r="J658">
        <v>1</v>
      </c>
      <c r="K658">
        <v>450</v>
      </c>
      <c r="N658">
        <v>-1</v>
      </c>
      <c r="O658">
        <v>-450</v>
      </c>
      <c r="Z658" s="3">
        <f t="shared" si="10"/>
        <v>450</v>
      </c>
    </row>
    <row r="659" spans="1:26" hidden="1">
      <c r="A659" t="s">
        <v>706</v>
      </c>
      <c r="B659" s="6">
        <v>44287</v>
      </c>
      <c r="C659" s="6">
        <v>44651</v>
      </c>
      <c r="D659">
        <v>20210401</v>
      </c>
      <c r="E659">
        <v>20220331</v>
      </c>
      <c r="F659" t="s">
        <v>2102</v>
      </c>
      <c r="G659" t="s">
        <v>2103</v>
      </c>
      <c r="H659" t="s">
        <v>613</v>
      </c>
      <c r="I659" t="s">
        <v>805</v>
      </c>
      <c r="L659">
        <v>4.1109999999999998</v>
      </c>
      <c r="M659">
        <v>1109.97</v>
      </c>
      <c r="N659">
        <v>-4.1109999999999998</v>
      </c>
      <c r="O659">
        <v>-1109.97</v>
      </c>
      <c r="Z659" s="3">
        <f t="shared" si="10"/>
        <v>270</v>
      </c>
    </row>
    <row r="660" spans="1:26" hidden="1">
      <c r="A660" t="s">
        <v>706</v>
      </c>
      <c r="B660" s="6">
        <v>44287</v>
      </c>
      <c r="C660" s="6">
        <v>44651</v>
      </c>
      <c r="D660">
        <v>20210401</v>
      </c>
      <c r="E660">
        <v>20220331</v>
      </c>
      <c r="F660" t="s">
        <v>2104</v>
      </c>
      <c r="G660" t="s">
        <v>2105</v>
      </c>
      <c r="H660" t="s">
        <v>590</v>
      </c>
      <c r="I660" t="s">
        <v>1462</v>
      </c>
      <c r="L660">
        <v>60</v>
      </c>
      <c r="M660">
        <v>42600</v>
      </c>
      <c r="N660">
        <v>-60</v>
      </c>
      <c r="O660">
        <v>-42600</v>
      </c>
      <c r="Z660" s="3">
        <f t="shared" si="10"/>
        <v>710</v>
      </c>
    </row>
    <row r="661" spans="1:26" hidden="1">
      <c r="A661" t="s">
        <v>706</v>
      </c>
      <c r="B661" s="6">
        <v>44287</v>
      </c>
      <c r="C661" s="6">
        <v>44651</v>
      </c>
      <c r="D661">
        <v>20210401</v>
      </c>
      <c r="E661">
        <v>20220331</v>
      </c>
      <c r="F661" t="s">
        <v>2106</v>
      </c>
      <c r="G661" t="s">
        <v>2107</v>
      </c>
      <c r="H661" t="s">
        <v>590</v>
      </c>
      <c r="I661" t="s">
        <v>1462</v>
      </c>
      <c r="L661">
        <v>200</v>
      </c>
      <c r="M661">
        <v>150000</v>
      </c>
      <c r="N661">
        <v>-200</v>
      </c>
      <c r="O661">
        <v>-150000</v>
      </c>
      <c r="Z661" s="3">
        <f t="shared" si="10"/>
        <v>750</v>
      </c>
    </row>
    <row r="662" spans="1:26" hidden="1">
      <c r="A662" t="s">
        <v>706</v>
      </c>
      <c r="B662" s="6">
        <v>44287</v>
      </c>
      <c r="C662" s="6">
        <v>44651</v>
      </c>
      <c r="D662">
        <v>20210401</v>
      </c>
      <c r="E662">
        <v>20220331</v>
      </c>
      <c r="F662" t="s">
        <v>2108</v>
      </c>
      <c r="G662" t="s">
        <v>2109</v>
      </c>
      <c r="H662" t="s">
        <v>590</v>
      </c>
      <c r="I662" t="s">
        <v>805</v>
      </c>
      <c r="L662">
        <v>6</v>
      </c>
      <c r="M662">
        <v>3300</v>
      </c>
      <c r="N662">
        <v>-6</v>
      </c>
      <c r="O662">
        <v>-3300</v>
      </c>
      <c r="Z662" s="3">
        <f t="shared" si="10"/>
        <v>550</v>
      </c>
    </row>
    <row r="663" spans="1:26" hidden="1">
      <c r="A663" t="s">
        <v>706</v>
      </c>
      <c r="B663" s="6">
        <v>44287</v>
      </c>
      <c r="C663" s="6">
        <v>44651</v>
      </c>
      <c r="D663">
        <v>20210401</v>
      </c>
      <c r="E663">
        <v>20220331</v>
      </c>
      <c r="F663" t="s">
        <v>2110</v>
      </c>
      <c r="G663" t="s">
        <v>2111</v>
      </c>
      <c r="H663" t="s">
        <v>590</v>
      </c>
      <c r="I663" t="s">
        <v>805</v>
      </c>
      <c r="J663">
        <v>800</v>
      </c>
      <c r="K663">
        <v>24479.74</v>
      </c>
      <c r="N663">
        <v>-800</v>
      </c>
      <c r="O663">
        <v>-24479.759999999998</v>
      </c>
      <c r="Y663">
        <v>-0.02</v>
      </c>
      <c r="Z663" s="3">
        <f t="shared" si="10"/>
        <v>30.599699999999999</v>
      </c>
    </row>
    <row r="664" spans="1:26" hidden="1">
      <c r="A664" t="s">
        <v>706</v>
      </c>
      <c r="B664" s="6">
        <v>44287</v>
      </c>
      <c r="C664" s="6">
        <v>44651</v>
      </c>
      <c r="D664">
        <v>20210401</v>
      </c>
      <c r="E664">
        <v>20220331</v>
      </c>
      <c r="F664" t="s">
        <v>2112</v>
      </c>
      <c r="G664" t="s">
        <v>2113</v>
      </c>
      <c r="H664" t="s">
        <v>590</v>
      </c>
      <c r="I664" t="s">
        <v>805</v>
      </c>
      <c r="L664">
        <v>30</v>
      </c>
      <c r="M664">
        <v>13200</v>
      </c>
      <c r="N664">
        <v>-30</v>
      </c>
      <c r="O664">
        <v>-13200</v>
      </c>
      <c r="Z664" s="3">
        <f t="shared" si="10"/>
        <v>440</v>
      </c>
    </row>
    <row r="665" spans="1:26" hidden="1">
      <c r="A665" t="s">
        <v>706</v>
      </c>
      <c r="B665" s="6">
        <v>44287</v>
      </c>
      <c r="C665" s="6">
        <v>44651</v>
      </c>
      <c r="D665">
        <v>20210401</v>
      </c>
      <c r="E665">
        <v>20220331</v>
      </c>
      <c r="F665" t="s">
        <v>2114</v>
      </c>
      <c r="G665" t="s">
        <v>2115</v>
      </c>
      <c r="H665" t="s">
        <v>590</v>
      </c>
      <c r="I665" t="s">
        <v>805</v>
      </c>
      <c r="L665">
        <v>5</v>
      </c>
      <c r="M665">
        <v>6720</v>
      </c>
      <c r="N665">
        <v>-5</v>
      </c>
      <c r="O665">
        <v>-6720</v>
      </c>
      <c r="Z665" s="3">
        <f t="shared" si="10"/>
        <v>1344</v>
      </c>
    </row>
    <row r="666" spans="1:26" hidden="1">
      <c r="A666" t="s">
        <v>706</v>
      </c>
      <c r="B666" s="6">
        <v>44287</v>
      </c>
      <c r="C666" s="6">
        <v>44651</v>
      </c>
      <c r="D666">
        <v>20210401</v>
      </c>
      <c r="E666">
        <v>20220331</v>
      </c>
      <c r="F666" t="s">
        <v>2116</v>
      </c>
      <c r="G666" t="s">
        <v>2117</v>
      </c>
      <c r="H666" t="s">
        <v>590</v>
      </c>
      <c r="I666" t="s">
        <v>805</v>
      </c>
      <c r="L666">
        <v>82</v>
      </c>
      <c r="M666">
        <v>245487</v>
      </c>
      <c r="N666">
        <v>-82</v>
      </c>
      <c r="O666">
        <v>-245487</v>
      </c>
      <c r="Z666" s="3">
        <f t="shared" si="10"/>
        <v>2993.7439024390242</v>
      </c>
    </row>
    <row r="667" spans="1:26" hidden="1">
      <c r="A667" t="s">
        <v>706</v>
      </c>
      <c r="B667" s="6">
        <v>44287</v>
      </c>
      <c r="C667" s="6">
        <v>44651</v>
      </c>
      <c r="D667">
        <v>20210401</v>
      </c>
      <c r="E667">
        <v>20220331</v>
      </c>
      <c r="F667" t="s">
        <v>2118</v>
      </c>
      <c r="G667" t="s">
        <v>2119</v>
      </c>
      <c r="H667" t="s">
        <v>590</v>
      </c>
      <c r="I667" t="s">
        <v>805</v>
      </c>
      <c r="L667">
        <v>190</v>
      </c>
      <c r="M667">
        <v>193230</v>
      </c>
      <c r="N667">
        <v>-190</v>
      </c>
      <c r="O667">
        <v>-193230</v>
      </c>
      <c r="Z667" s="3">
        <f t="shared" si="10"/>
        <v>1017</v>
      </c>
    </row>
    <row r="668" spans="1:26" hidden="1">
      <c r="A668" t="s">
        <v>706</v>
      </c>
      <c r="B668" s="6">
        <v>44287</v>
      </c>
      <c r="C668" s="6">
        <v>44651</v>
      </c>
      <c r="D668">
        <v>20210401</v>
      </c>
      <c r="E668">
        <v>20220331</v>
      </c>
      <c r="F668" t="s">
        <v>2120</v>
      </c>
      <c r="G668" t="s">
        <v>2121</v>
      </c>
      <c r="H668" t="s">
        <v>590</v>
      </c>
      <c r="I668" t="s">
        <v>805</v>
      </c>
      <c r="L668">
        <v>10</v>
      </c>
      <c r="M668">
        <v>1572.5</v>
      </c>
      <c r="N668">
        <v>-10</v>
      </c>
      <c r="O668">
        <v>-1572.5</v>
      </c>
      <c r="Z668" s="3">
        <f t="shared" si="10"/>
        <v>157.25</v>
      </c>
    </row>
    <row r="669" spans="1:26" hidden="1">
      <c r="A669" t="s">
        <v>706</v>
      </c>
      <c r="B669" s="6">
        <v>44287</v>
      </c>
      <c r="C669" s="6">
        <v>44651</v>
      </c>
      <c r="D669">
        <v>20210401</v>
      </c>
      <c r="E669">
        <v>20220331</v>
      </c>
      <c r="F669" t="s">
        <v>2122</v>
      </c>
      <c r="G669" t="s">
        <v>2123</v>
      </c>
      <c r="H669" t="s">
        <v>590</v>
      </c>
      <c r="I669" t="s">
        <v>1462</v>
      </c>
      <c r="L669">
        <v>108</v>
      </c>
      <c r="M669">
        <v>251346</v>
      </c>
      <c r="N669">
        <v>-108</v>
      </c>
      <c r="O669">
        <v>-251346.01</v>
      </c>
      <c r="Y669">
        <v>-0.01</v>
      </c>
      <c r="Z669" s="3">
        <f t="shared" si="10"/>
        <v>2327.2778703703702</v>
      </c>
    </row>
    <row r="670" spans="1:26" hidden="1">
      <c r="A670" t="s">
        <v>706</v>
      </c>
      <c r="B670" s="6">
        <v>44287</v>
      </c>
      <c r="C670" s="6">
        <v>44651</v>
      </c>
      <c r="D670">
        <v>20210401</v>
      </c>
      <c r="E670">
        <v>20220331</v>
      </c>
      <c r="F670" t="s">
        <v>2124</v>
      </c>
      <c r="G670" t="s">
        <v>2125</v>
      </c>
      <c r="H670" t="s">
        <v>590</v>
      </c>
      <c r="I670" t="s">
        <v>805</v>
      </c>
      <c r="L670">
        <v>290</v>
      </c>
      <c r="M670">
        <v>168200</v>
      </c>
      <c r="N670">
        <v>-290</v>
      </c>
      <c r="O670">
        <v>-168200</v>
      </c>
      <c r="Z670" s="3">
        <f t="shared" si="10"/>
        <v>580</v>
      </c>
    </row>
    <row r="671" spans="1:26" hidden="1">
      <c r="A671" t="s">
        <v>706</v>
      </c>
      <c r="B671" s="6">
        <v>44287</v>
      </c>
      <c r="C671" s="6">
        <v>44651</v>
      </c>
      <c r="D671">
        <v>20210401</v>
      </c>
      <c r="E671">
        <v>20220331</v>
      </c>
      <c r="F671" t="s">
        <v>2126</v>
      </c>
      <c r="G671" t="s">
        <v>2127</v>
      </c>
      <c r="H671" t="s">
        <v>590</v>
      </c>
      <c r="I671" t="s">
        <v>805</v>
      </c>
      <c r="L671">
        <v>2</v>
      </c>
      <c r="M671">
        <v>1907.2</v>
      </c>
      <c r="N671">
        <v>-2</v>
      </c>
      <c r="O671">
        <v>-1907.2</v>
      </c>
      <c r="Z671" s="3">
        <f t="shared" si="10"/>
        <v>953.6</v>
      </c>
    </row>
    <row r="672" spans="1:26" hidden="1">
      <c r="A672" t="s">
        <v>706</v>
      </c>
      <c r="B672" s="6">
        <v>44287</v>
      </c>
      <c r="C672" s="6">
        <v>44651</v>
      </c>
      <c r="D672">
        <v>20210401</v>
      </c>
      <c r="E672">
        <v>20220331</v>
      </c>
      <c r="F672" t="s">
        <v>2128</v>
      </c>
      <c r="G672" t="s">
        <v>2129</v>
      </c>
      <c r="H672" t="s">
        <v>590</v>
      </c>
      <c r="I672" t="s">
        <v>805</v>
      </c>
      <c r="L672">
        <v>58</v>
      </c>
      <c r="M672">
        <v>132114.6</v>
      </c>
      <c r="N672">
        <v>-58</v>
      </c>
      <c r="O672">
        <v>-132114.6</v>
      </c>
      <c r="Z672" s="3">
        <f t="shared" si="10"/>
        <v>2277.8379310344831</v>
      </c>
    </row>
    <row r="673" spans="1:26" hidden="1">
      <c r="A673" t="s">
        <v>706</v>
      </c>
      <c r="B673" s="6">
        <v>44287</v>
      </c>
      <c r="C673" s="6">
        <v>44651</v>
      </c>
      <c r="D673">
        <v>20210401</v>
      </c>
      <c r="E673">
        <v>20220331</v>
      </c>
      <c r="F673" t="s">
        <v>2130</v>
      </c>
      <c r="G673" t="s">
        <v>2131</v>
      </c>
      <c r="H673" t="s">
        <v>590</v>
      </c>
      <c r="I673" t="s">
        <v>805</v>
      </c>
      <c r="L673">
        <v>280</v>
      </c>
      <c r="M673">
        <v>113175</v>
      </c>
      <c r="N673">
        <v>-280</v>
      </c>
      <c r="O673">
        <v>-113175</v>
      </c>
      <c r="Z673" s="3">
        <f t="shared" si="10"/>
        <v>404.19642857142856</v>
      </c>
    </row>
    <row r="674" spans="1:26" hidden="1">
      <c r="A674" t="s">
        <v>706</v>
      </c>
      <c r="B674" s="6">
        <v>44287</v>
      </c>
      <c r="C674" s="6">
        <v>44651</v>
      </c>
      <c r="D674">
        <v>20210401</v>
      </c>
      <c r="E674">
        <v>20220331</v>
      </c>
      <c r="F674" t="s">
        <v>2132</v>
      </c>
      <c r="G674" t="s">
        <v>2133</v>
      </c>
      <c r="H674" t="s">
        <v>590</v>
      </c>
      <c r="I674" t="s">
        <v>1462</v>
      </c>
      <c r="L674">
        <v>36</v>
      </c>
      <c r="M674">
        <v>109308</v>
      </c>
      <c r="N674">
        <v>-36</v>
      </c>
      <c r="O674">
        <v>-109308</v>
      </c>
      <c r="Z674" s="3">
        <f t="shared" si="10"/>
        <v>3036.3333333333335</v>
      </c>
    </row>
    <row r="675" spans="1:26" hidden="1">
      <c r="A675" t="s">
        <v>706</v>
      </c>
      <c r="B675" s="6">
        <v>44287</v>
      </c>
      <c r="C675" s="6">
        <v>44651</v>
      </c>
      <c r="D675">
        <v>20210401</v>
      </c>
      <c r="E675">
        <v>20220331</v>
      </c>
      <c r="F675" t="s">
        <v>2134</v>
      </c>
      <c r="G675" t="s">
        <v>2135</v>
      </c>
      <c r="H675" t="s">
        <v>590</v>
      </c>
      <c r="I675" t="s">
        <v>805</v>
      </c>
      <c r="L675">
        <v>20</v>
      </c>
      <c r="M675">
        <v>44278</v>
      </c>
      <c r="N675">
        <v>-20</v>
      </c>
      <c r="O675">
        <v>-44278</v>
      </c>
      <c r="Z675" s="3">
        <f t="shared" si="10"/>
        <v>2213.9</v>
      </c>
    </row>
    <row r="676" spans="1:26" hidden="1">
      <c r="A676" t="s">
        <v>706</v>
      </c>
      <c r="B676" s="6">
        <v>44287</v>
      </c>
      <c r="C676" s="6">
        <v>44651</v>
      </c>
      <c r="D676">
        <v>20210401</v>
      </c>
      <c r="E676">
        <v>20220331</v>
      </c>
      <c r="F676" t="s">
        <v>2136</v>
      </c>
      <c r="G676" t="s">
        <v>2137</v>
      </c>
      <c r="H676" t="s">
        <v>590</v>
      </c>
      <c r="I676" t="s">
        <v>805</v>
      </c>
      <c r="L676">
        <v>5</v>
      </c>
      <c r="M676">
        <v>2125</v>
      </c>
      <c r="N676">
        <v>-5</v>
      </c>
      <c r="O676">
        <v>-2125</v>
      </c>
      <c r="Z676" s="3">
        <f t="shared" si="10"/>
        <v>425</v>
      </c>
    </row>
    <row r="677" spans="1:26" hidden="1">
      <c r="A677" t="s">
        <v>706</v>
      </c>
      <c r="B677" s="6">
        <v>44287</v>
      </c>
      <c r="C677" s="6">
        <v>44651</v>
      </c>
      <c r="D677">
        <v>20210401</v>
      </c>
      <c r="E677">
        <v>20220331</v>
      </c>
      <c r="F677" t="s">
        <v>2138</v>
      </c>
      <c r="G677" t="s">
        <v>2139</v>
      </c>
      <c r="H677" t="s">
        <v>590</v>
      </c>
      <c r="I677" t="s">
        <v>805</v>
      </c>
      <c r="L677">
        <v>14</v>
      </c>
      <c r="M677">
        <v>18963</v>
      </c>
      <c r="N677">
        <v>-14</v>
      </c>
      <c r="O677">
        <v>-18963</v>
      </c>
      <c r="Z677" s="3">
        <f t="shared" si="10"/>
        <v>1354.5</v>
      </c>
    </row>
    <row r="678" spans="1:26" hidden="1">
      <c r="A678" t="s">
        <v>706</v>
      </c>
      <c r="B678" s="6">
        <v>44287</v>
      </c>
      <c r="C678" s="6">
        <v>44651</v>
      </c>
      <c r="D678">
        <v>20210401</v>
      </c>
      <c r="E678">
        <v>20220331</v>
      </c>
      <c r="F678" t="s">
        <v>2140</v>
      </c>
      <c r="G678" t="s">
        <v>2141</v>
      </c>
      <c r="H678" t="s">
        <v>590</v>
      </c>
      <c r="I678" t="s">
        <v>805</v>
      </c>
      <c r="L678">
        <v>9</v>
      </c>
      <c r="M678">
        <v>3825</v>
      </c>
      <c r="N678">
        <v>-9</v>
      </c>
      <c r="O678">
        <v>-3825</v>
      </c>
      <c r="Z678" s="3">
        <f t="shared" si="10"/>
        <v>425</v>
      </c>
    </row>
    <row r="679" spans="1:26" hidden="1">
      <c r="A679" t="s">
        <v>706</v>
      </c>
      <c r="B679" s="6">
        <v>44287</v>
      </c>
      <c r="C679" s="6">
        <v>44651</v>
      </c>
      <c r="D679">
        <v>20210401</v>
      </c>
      <c r="E679">
        <v>20220331</v>
      </c>
      <c r="F679" t="s">
        <v>2142</v>
      </c>
      <c r="G679" t="s">
        <v>2143</v>
      </c>
      <c r="H679" t="s">
        <v>590</v>
      </c>
      <c r="I679" t="s">
        <v>805</v>
      </c>
      <c r="L679">
        <v>17</v>
      </c>
      <c r="M679">
        <v>19720</v>
      </c>
      <c r="N679">
        <v>-17</v>
      </c>
      <c r="O679">
        <v>-19720</v>
      </c>
      <c r="Z679" s="3">
        <f t="shared" si="10"/>
        <v>1160</v>
      </c>
    </row>
    <row r="680" spans="1:26" hidden="1">
      <c r="A680" t="s">
        <v>706</v>
      </c>
      <c r="B680" s="6">
        <v>44287</v>
      </c>
      <c r="C680" s="6">
        <v>44651</v>
      </c>
      <c r="D680">
        <v>20210401</v>
      </c>
      <c r="E680">
        <v>20220331</v>
      </c>
      <c r="F680" t="s">
        <v>2144</v>
      </c>
      <c r="G680" t="s">
        <v>2145</v>
      </c>
      <c r="H680" t="s">
        <v>590</v>
      </c>
      <c r="I680" t="s">
        <v>805</v>
      </c>
      <c r="L680">
        <v>100</v>
      </c>
      <c r="M680">
        <v>10200</v>
      </c>
      <c r="N680">
        <v>-100</v>
      </c>
      <c r="O680">
        <v>-10200</v>
      </c>
      <c r="Z680" s="3">
        <f t="shared" si="10"/>
        <v>102</v>
      </c>
    </row>
    <row r="681" spans="1:26" hidden="1">
      <c r="A681" t="s">
        <v>706</v>
      </c>
      <c r="B681" s="6">
        <v>44287</v>
      </c>
      <c r="C681" s="6">
        <v>44651</v>
      </c>
      <c r="D681">
        <v>20210401</v>
      </c>
      <c r="E681">
        <v>20220331</v>
      </c>
      <c r="F681" t="s">
        <v>2146</v>
      </c>
      <c r="G681" t="s">
        <v>2147</v>
      </c>
      <c r="H681" t="s">
        <v>590</v>
      </c>
      <c r="I681" t="s">
        <v>805</v>
      </c>
      <c r="L681">
        <v>9</v>
      </c>
      <c r="M681">
        <v>38335.5</v>
      </c>
      <c r="N681">
        <v>-9</v>
      </c>
      <c r="O681">
        <v>-38335.5</v>
      </c>
      <c r="Z681" s="3">
        <f t="shared" si="10"/>
        <v>4259.5</v>
      </c>
    </row>
    <row r="682" spans="1:26" hidden="1">
      <c r="A682" t="s">
        <v>706</v>
      </c>
      <c r="B682" s="6">
        <v>44287</v>
      </c>
      <c r="C682" s="6">
        <v>44651</v>
      </c>
      <c r="D682">
        <v>20210401</v>
      </c>
      <c r="E682">
        <v>20220331</v>
      </c>
      <c r="F682" t="s">
        <v>2148</v>
      </c>
      <c r="G682" t="s">
        <v>2149</v>
      </c>
      <c r="H682" t="s">
        <v>590</v>
      </c>
      <c r="I682" t="s">
        <v>805</v>
      </c>
      <c r="L682">
        <v>10</v>
      </c>
      <c r="M682">
        <v>2728</v>
      </c>
      <c r="N682">
        <v>-10</v>
      </c>
      <c r="O682">
        <v>-2728</v>
      </c>
      <c r="Z682" s="3">
        <f t="shared" si="10"/>
        <v>272.8</v>
      </c>
    </row>
    <row r="683" spans="1:26" hidden="1">
      <c r="A683" t="s">
        <v>706</v>
      </c>
      <c r="B683" s="6">
        <v>44287</v>
      </c>
      <c r="C683" s="6">
        <v>44651</v>
      </c>
      <c r="D683">
        <v>20210401</v>
      </c>
      <c r="E683">
        <v>20220331</v>
      </c>
      <c r="F683" t="s">
        <v>2150</v>
      </c>
      <c r="G683" t="s">
        <v>2151</v>
      </c>
      <c r="H683" t="s">
        <v>590</v>
      </c>
      <c r="I683" t="s">
        <v>805</v>
      </c>
      <c r="L683">
        <v>13</v>
      </c>
      <c r="M683">
        <v>24251.5</v>
      </c>
      <c r="N683">
        <v>-13</v>
      </c>
      <c r="O683">
        <v>-24251.5</v>
      </c>
      <c r="Z683" s="3">
        <f t="shared" si="10"/>
        <v>1865.5</v>
      </c>
    </row>
    <row r="684" spans="1:26" hidden="1">
      <c r="A684" t="s">
        <v>706</v>
      </c>
      <c r="B684" s="6">
        <v>44287</v>
      </c>
      <c r="C684" s="6">
        <v>44651</v>
      </c>
      <c r="D684">
        <v>20210401</v>
      </c>
      <c r="E684">
        <v>20220331</v>
      </c>
      <c r="F684" t="s">
        <v>2152</v>
      </c>
      <c r="G684" t="s">
        <v>2153</v>
      </c>
      <c r="H684" t="s">
        <v>590</v>
      </c>
      <c r="I684" t="s">
        <v>1462</v>
      </c>
      <c r="L684">
        <v>19</v>
      </c>
      <c r="M684">
        <v>22800</v>
      </c>
      <c r="N684">
        <v>-19</v>
      </c>
      <c r="O684">
        <v>-22800</v>
      </c>
      <c r="Z684" s="3">
        <f t="shared" si="10"/>
        <v>1200</v>
      </c>
    </row>
    <row r="685" spans="1:26" hidden="1">
      <c r="A685" t="s">
        <v>706</v>
      </c>
      <c r="B685" s="6">
        <v>44287</v>
      </c>
      <c r="C685" s="6">
        <v>44651</v>
      </c>
      <c r="D685">
        <v>20210401</v>
      </c>
      <c r="E685">
        <v>20220331</v>
      </c>
      <c r="F685" t="s">
        <v>2154</v>
      </c>
      <c r="G685" t="s">
        <v>2155</v>
      </c>
      <c r="H685" t="s">
        <v>590</v>
      </c>
      <c r="I685" t="s">
        <v>805</v>
      </c>
      <c r="L685">
        <v>1</v>
      </c>
      <c r="M685">
        <v>69825</v>
      </c>
      <c r="N685">
        <v>-1</v>
      </c>
      <c r="O685">
        <v>-69825</v>
      </c>
      <c r="Z685" s="3">
        <f t="shared" si="10"/>
        <v>69825</v>
      </c>
    </row>
    <row r="686" spans="1:26" hidden="1">
      <c r="A686" t="s">
        <v>706</v>
      </c>
      <c r="B686" s="6">
        <v>44287</v>
      </c>
      <c r="C686" s="6">
        <v>44651</v>
      </c>
      <c r="D686">
        <v>20210401</v>
      </c>
      <c r="E686">
        <v>20220331</v>
      </c>
      <c r="F686" t="s">
        <v>2156</v>
      </c>
      <c r="G686" t="s">
        <v>2157</v>
      </c>
      <c r="H686" t="s">
        <v>590</v>
      </c>
      <c r="I686" t="s">
        <v>805</v>
      </c>
      <c r="L686">
        <v>10</v>
      </c>
      <c r="M686">
        <v>8450</v>
      </c>
      <c r="N686">
        <v>-10</v>
      </c>
      <c r="O686">
        <v>-8450</v>
      </c>
      <c r="Z686" s="3">
        <f t="shared" si="10"/>
        <v>845</v>
      </c>
    </row>
    <row r="687" spans="1:26" hidden="1">
      <c r="A687" t="s">
        <v>706</v>
      </c>
      <c r="B687" s="6">
        <v>44287</v>
      </c>
      <c r="C687" s="6">
        <v>44651</v>
      </c>
      <c r="D687">
        <v>20210401</v>
      </c>
      <c r="E687">
        <v>20220331</v>
      </c>
      <c r="F687" t="s">
        <v>2158</v>
      </c>
      <c r="G687" t="s">
        <v>2159</v>
      </c>
      <c r="H687" t="s">
        <v>590</v>
      </c>
      <c r="I687" t="s">
        <v>805</v>
      </c>
      <c r="L687">
        <v>6</v>
      </c>
      <c r="M687">
        <v>6540</v>
      </c>
      <c r="N687">
        <v>-6</v>
      </c>
      <c r="O687">
        <v>-6540</v>
      </c>
      <c r="Z687" s="3">
        <f t="shared" si="10"/>
        <v>1090</v>
      </c>
    </row>
    <row r="688" spans="1:26" hidden="1">
      <c r="A688" t="s">
        <v>706</v>
      </c>
      <c r="B688" s="6">
        <v>44287</v>
      </c>
      <c r="C688" s="6">
        <v>44651</v>
      </c>
      <c r="D688">
        <v>20210401</v>
      </c>
      <c r="E688">
        <v>20220331</v>
      </c>
      <c r="F688" t="s">
        <v>2160</v>
      </c>
      <c r="G688" t="s">
        <v>2161</v>
      </c>
      <c r="H688" t="s">
        <v>590</v>
      </c>
      <c r="I688" t="s">
        <v>805</v>
      </c>
      <c r="L688">
        <v>110</v>
      </c>
      <c r="M688">
        <v>11550</v>
      </c>
      <c r="N688">
        <v>-110</v>
      </c>
      <c r="O688">
        <v>-11550</v>
      </c>
      <c r="Z688" s="3">
        <f t="shared" si="10"/>
        <v>105</v>
      </c>
    </row>
    <row r="689" spans="1:26" hidden="1">
      <c r="A689" t="s">
        <v>706</v>
      </c>
      <c r="B689" s="6">
        <v>44287</v>
      </c>
      <c r="C689" s="6">
        <v>44651</v>
      </c>
      <c r="D689">
        <v>20210401</v>
      </c>
      <c r="E689">
        <v>20220331</v>
      </c>
      <c r="F689" t="s">
        <v>2162</v>
      </c>
      <c r="G689" t="s">
        <v>2163</v>
      </c>
      <c r="H689" t="s">
        <v>590</v>
      </c>
      <c r="I689" t="s">
        <v>805</v>
      </c>
      <c r="J689">
        <v>1</v>
      </c>
      <c r="K689">
        <v>1.01</v>
      </c>
      <c r="N689">
        <v>-1</v>
      </c>
      <c r="O689">
        <v>-1</v>
      </c>
      <c r="Y689">
        <v>0.01</v>
      </c>
      <c r="Z689" s="3">
        <f t="shared" si="10"/>
        <v>1</v>
      </c>
    </row>
    <row r="690" spans="1:26" hidden="1">
      <c r="A690" t="s">
        <v>706</v>
      </c>
      <c r="B690" s="6">
        <v>44287</v>
      </c>
      <c r="C690" s="6">
        <v>44651</v>
      </c>
      <c r="D690">
        <v>20210401</v>
      </c>
      <c r="E690">
        <v>20220331</v>
      </c>
      <c r="F690" t="s">
        <v>2164</v>
      </c>
      <c r="G690" t="s">
        <v>2165</v>
      </c>
      <c r="H690" t="s">
        <v>590</v>
      </c>
      <c r="I690" t="s">
        <v>805</v>
      </c>
      <c r="L690">
        <v>11</v>
      </c>
      <c r="M690">
        <v>13650</v>
      </c>
      <c r="N690">
        <v>-11</v>
      </c>
      <c r="O690">
        <v>-13650</v>
      </c>
      <c r="Z690" s="3">
        <f t="shared" si="10"/>
        <v>1240.909090909091</v>
      </c>
    </row>
    <row r="691" spans="1:26" hidden="1">
      <c r="A691" t="s">
        <v>706</v>
      </c>
      <c r="B691" s="6">
        <v>44287</v>
      </c>
      <c r="C691" s="6">
        <v>44651</v>
      </c>
      <c r="D691">
        <v>20210401</v>
      </c>
      <c r="E691">
        <v>20220331</v>
      </c>
      <c r="F691" t="s">
        <v>2166</v>
      </c>
      <c r="G691" t="s">
        <v>2167</v>
      </c>
      <c r="H691" t="s">
        <v>590</v>
      </c>
      <c r="I691" t="s">
        <v>805</v>
      </c>
      <c r="L691">
        <v>170</v>
      </c>
      <c r="M691">
        <v>50445</v>
      </c>
      <c r="N691">
        <v>-170</v>
      </c>
      <c r="O691">
        <v>-50445</v>
      </c>
      <c r="Z691" s="3">
        <f t="shared" si="10"/>
        <v>296.73529411764707</v>
      </c>
    </row>
    <row r="692" spans="1:26" hidden="1">
      <c r="A692" t="s">
        <v>706</v>
      </c>
      <c r="B692" s="6">
        <v>44287</v>
      </c>
      <c r="C692" s="6">
        <v>44651</v>
      </c>
      <c r="D692">
        <v>20210401</v>
      </c>
      <c r="E692">
        <v>20220331</v>
      </c>
      <c r="F692" t="s">
        <v>2168</v>
      </c>
      <c r="G692" t="s">
        <v>2169</v>
      </c>
      <c r="H692" t="s">
        <v>590</v>
      </c>
      <c r="I692" t="s">
        <v>805</v>
      </c>
      <c r="L692">
        <v>3</v>
      </c>
      <c r="M692">
        <v>2250</v>
      </c>
      <c r="N692">
        <v>-3</v>
      </c>
      <c r="O692">
        <v>-2250</v>
      </c>
      <c r="Z692" s="3">
        <f t="shared" si="10"/>
        <v>750</v>
      </c>
    </row>
    <row r="693" spans="1:26" hidden="1">
      <c r="A693" t="s">
        <v>706</v>
      </c>
      <c r="B693" s="6">
        <v>44287</v>
      </c>
      <c r="C693" s="6">
        <v>44651</v>
      </c>
      <c r="D693">
        <v>20210401</v>
      </c>
      <c r="E693">
        <v>20220331</v>
      </c>
      <c r="F693" t="s">
        <v>2170</v>
      </c>
      <c r="G693" t="s">
        <v>2171</v>
      </c>
      <c r="H693" t="s">
        <v>590</v>
      </c>
      <c r="I693" t="s">
        <v>1462</v>
      </c>
      <c r="L693">
        <v>91</v>
      </c>
      <c r="M693">
        <v>323680</v>
      </c>
      <c r="N693">
        <v>-91</v>
      </c>
      <c r="O693">
        <v>-323680</v>
      </c>
      <c r="Z693" s="3">
        <f t="shared" si="10"/>
        <v>3556.9230769230771</v>
      </c>
    </row>
    <row r="694" spans="1:26" hidden="1">
      <c r="A694" t="s">
        <v>706</v>
      </c>
      <c r="B694" s="6">
        <v>44287</v>
      </c>
      <c r="C694" s="6">
        <v>44651</v>
      </c>
      <c r="D694">
        <v>20210401</v>
      </c>
      <c r="E694">
        <v>20220331</v>
      </c>
      <c r="F694" t="s">
        <v>2172</v>
      </c>
      <c r="G694" t="s">
        <v>2173</v>
      </c>
      <c r="H694" t="s">
        <v>590</v>
      </c>
      <c r="I694" t="s">
        <v>805</v>
      </c>
      <c r="L694">
        <v>2</v>
      </c>
      <c r="M694">
        <v>1800</v>
      </c>
      <c r="N694">
        <v>-2</v>
      </c>
      <c r="O694">
        <v>-1800</v>
      </c>
      <c r="Z694" s="3">
        <f t="shared" si="10"/>
        <v>900</v>
      </c>
    </row>
    <row r="695" spans="1:26" hidden="1">
      <c r="A695" t="s">
        <v>706</v>
      </c>
      <c r="B695" s="6">
        <v>44287</v>
      </c>
      <c r="C695" s="6">
        <v>44651</v>
      </c>
      <c r="D695">
        <v>20210401</v>
      </c>
      <c r="E695">
        <v>20220331</v>
      </c>
      <c r="F695" t="s">
        <v>2174</v>
      </c>
      <c r="G695" t="s">
        <v>2175</v>
      </c>
      <c r="H695" t="s">
        <v>590</v>
      </c>
      <c r="I695" t="s">
        <v>805</v>
      </c>
      <c r="L695">
        <v>10</v>
      </c>
      <c r="M695">
        <v>4873.5</v>
      </c>
      <c r="N695">
        <v>-10</v>
      </c>
      <c r="O695">
        <v>-4873.5</v>
      </c>
      <c r="Z695" s="3">
        <f t="shared" si="10"/>
        <v>487.35</v>
      </c>
    </row>
    <row r="696" spans="1:26" hidden="1">
      <c r="A696" t="s">
        <v>706</v>
      </c>
      <c r="B696" s="6">
        <v>44287</v>
      </c>
      <c r="C696" s="6">
        <v>44651</v>
      </c>
      <c r="D696">
        <v>20210401</v>
      </c>
      <c r="E696">
        <v>20220331</v>
      </c>
      <c r="F696" t="s">
        <v>2176</v>
      </c>
      <c r="G696" t="s">
        <v>2177</v>
      </c>
      <c r="H696" t="s">
        <v>590</v>
      </c>
      <c r="I696" t="s">
        <v>805</v>
      </c>
      <c r="L696">
        <v>9</v>
      </c>
      <c r="M696">
        <v>9787.5</v>
      </c>
      <c r="N696">
        <v>-9</v>
      </c>
      <c r="O696">
        <v>-9787.5</v>
      </c>
      <c r="Z696" s="3">
        <f t="shared" si="10"/>
        <v>1087.5</v>
      </c>
    </row>
    <row r="697" spans="1:26" hidden="1">
      <c r="A697" t="s">
        <v>706</v>
      </c>
      <c r="B697" s="6">
        <v>44287</v>
      </c>
      <c r="C697" s="6">
        <v>44651</v>
      </c>
      <c r="D697">
        <v>20210401</v>
      </c>
      <c r="E697">
        <v>20220331</v>
      </c>
      <c r="F697" t="s">
        <v>2178</v>
      </c>
      <c r="G697" t="s">
        <v>2179</v>
      </c>
      <c r="H697" t="s">
        <v>590</v>
      </c>
      <c r="I697" t="s">
        <v>805</v>
      </c>
      <c r="L697">
        <v>1</v>
      </c>
      <c r="M697">
        <v>3700</v>
      </c>
      <c r="N697">
        <v>-1</v>
      </c>
      <c r="O697">
        <v>-3700</v>
      </c>
      <c r="Z697" s="3">
        <f t="shared" si="10"/>
        <v>3700</v>
      </c>
    </row>
    <row r="698" spans="1:26" hidden="1">
      <c r="A698" t="s">
        <v>706</v>
      </c>
      <c r="B698" s="6">
        <v>44287</v>
      </c>
      <c r="C698" s="6">
        <v>44651</v>
      </c>
      <c r="D698">
        <v>20210401</v>
      </c>
      <c r="E698">
        <v>20220331</v>
      </c>
      <c r="F698" t="s">
        <v>2180</v>
      </c>
      <c r="G698" t="s">
        <v>2181</v>
      </c>
      <c r="H698" t="s">
        <v>590</v>
      </c>
      <c r="I698" t="s">
        <v>805</v>
      </c>
      <c r="L698">
        <v>2</v>
      </c>
      <c r="M698">
        <v>5190</v>
      </c>
      <c r="N698">
        <v>-2</v>
      </c>
      <c r="O698">
        <v>-5190</v>
      </c>
      <c r="Z698" s="3">
        <f t="shared" si="10"/>
        <v>2595</v>
      </c>
    </row>
    <row r="699" spans="1:26" hidden="1">
      <c r="A699" t="s">
        <v>706</v>
      </c>
      <c r="B699" s="6">
        <v>44287</v>
      </c>
      <c r="C699" s="6">
        <v>44651</v>
      </c>
      <c r="D699">
        <v>20210401</v>
      </c>
      <c r="E699">
        <v>20220331</v>
      </c>
      <c r="F699" t="s">
        <v>2182</v>
      </c>
      <c r="G699" t="s">
        <v>2183</v>
      </c>
      <c r="H699" t="s">
        <v>590</v>
      </c>
      <c r="I699" t="s">
        <v>805</v>
      </c>
      <c r="L699">
        <v>7</v>
      </c>
      <c r="M699">
        <v>14612.43</v>
      </c>
      <c r="N699">
        <v>-7</v>
      </c>
      <c r="O699">
        <v>-14612.43</v>
      </c>
      <c r="Z699" s="3">
        <f t="shared" si="10"/>
        <v>2087.4900000000002</v>
      </c>
    </row>
    <row r="700" spans="1:26" hidden="1">
      <c r="A700" t="s">
        <v>706</v>
      </c>
      <c r="B700" s="6">
        <v>44287</v>
      </c>
      <c r="C700" s="6">
        <v>44651</v>
      </c>
      <c r="D700">
        <v>20210401</v>
      </c>
      <c r="E700">
        <v>20220331</v>
      </c>
      <c r="F700" t="s">
        <v>2184</v>
      </c>
      <c r="G700" t="s">
        <v>2185</v>
      </c>
      <c r="H700" t="s">
        <v>590</v>
      </c>
      <c r="I700" t="s">
        <v>805</v>
      </c>
      <c r="J700">
        <v>2</v>
      </c>
      <c r="K700">
        <v>2</v>
      </c>
      <c r="L700">
        <v>10</v>
      </c>
      <c r="M700">
        <v>9683.7999999999993</v>
      </c>
      <c r="N700">
        <v>-12</v>
      </c>
      <c r="O700">
        <v>-9685.7999999999993</v>
      </c>
      <c r="Z700" s="3">
        <f t="shared" si="10"/>
        <v>807.15</v>
      </c>
    </row>
    <row r="701" spans="1:26" hidden="1">
      <c r="A701" t="s">
        <v>706</v>
      </c>
      <c r="B701" s="6">
        <v>44287</v>
      </c>
      <c r="C701" s="6">
        <v>44651</v>
      </c>
      <c r="D701">
        <v>20210401</v>
      </c>
      <c r="E701">
        <v>20220331</v>
      </c>
      <c r="F701" t="s">
        <v>2186</v>
      </c>
      <c r="G701" t="s">
        <v>2187</v>
      </c>
      <c r="H701" t="s">
        <v>590</v>
      </c>
      <c r="I701" t="s">
        <v>805</v>
      </c>
      <c r="L701">
        <v>3</v>
      </c>
      <c r="M701">
        <v>15001.5</v>
      </c>
      <c r="N701">
        <v>-3</v>
      </c>
      <c r="O701">
        <v>-15001.5</v>
      </c>
      <c r="Z701" s="3">
        <f t="shared" si="10"/>
        <v>5000.5</v>
      </c>
    </row>
    <row r="702" spans="1:26" hidden="1">
      <c r="A702" t="s">
        <v>706</v>
      </c>
      <c r="B702" s="6">
        <v>44287</v>
      </c>
      <c r="C702" s="6">
        <v>44651</v>
      </c>
      <c r="D702">
        <v>20210401</v>
      </c>
      <c r="E702">
        <v>20220331</v>
      </c>
      <c r="F702" t="s">
        <v>2188</v>
      </c>
      <c r="G702" t="s">
        <v>2189</v>
      </c>
      <c r="H702" t="s">
        <v>590</v>
      </c>
      <c r="I702" t="s">
        <v>805</v>
      </c>
      <c r="L702">
        <v>2</v>
      </c>
      <c r="M702">
        <v>4986</v>
      </c>
      <c r="N702">
        <v>-2</v>
      </c>
      <c r="O702">
        <v>-4986</v>
      </c>
      <c r="Z702" s="3">
        <f t="shared" si="10"/>
        <v>2493</v>
      </c>
    </row>
    <row r="703" spans="1:26" hidden="1">
      <c r="A703" t="s">
        <v>706</v>
      </c>
      <c r="B703" s="6">
        <v>44287</v>
      </c>
      <c r="C703" s="6">
        <v>44651</v>
      </c>
      <c r="D703">
        <v>20210401</v>
      </c>
      <c r="E703">
        <v>20220331</v>
      </c>
      <c r="F703" t="s">
        <v>2190</v>
      </c>
      <c r="G703" t="s">
        <v>2191</v>
      </c>
      <c r="H703" t="s">
        <v>590</v>
      </c>
      <c r="I703" t="s">
        <v>805</v>
      </c>
      <c r="L703">
        <v>51</v>
      </c>
      <c r="M703">
        <v>138669</v>
      </c>
      <c r="N703">
        <v>-51</v>
      </c>
      <c r="O703">
        <v>-138669</v>
      </c>
      <c r="Z703" s="3">
        <f t="shared" si="10"/>
        <v>2719</v>
      </c>
    </row>
    <row r="704" spans="1:26" hidden="1">
      <c r="A704" t="s">
        <v>706</v>
      </c>
      <c r="B704" s="6">
        <v>44287</v>
      </c>
      <c r="C704" s="6">
        <v>44651</v>
      </c>
      <c r="D704">
        <v>20210401</v>
      </c>
      <c r="E704">
        <v>20220331</v>
      </c>
      <c r="F704" t="s">
        <v>2192</v>
      </c>
      <c r="G704" t="s">
        <v>2193</v>
      </c>
      <c r="H704" t="s">
        <v>590</v>
      </c>
      <c r="I704" t="s">
        <v>805</v>
      </c>
      <c r="K704">
        <v>0.01</v>
      </c>
      <c r="L704">
        <v>176</v>
      </c>
      <c r="M704">
        <v>129388.8</v>
      </c>
      <c r="N704">
        <v>-176</v>
      </c>
      <c r="O704">
        <v>-129388.8</v>
      </c>
      <c r="Y704">
        <v>0.01</v>
      </c>
      <c r="Z704" s="3">
        <f t="shared" si="10"/>
        <v>735.16363636363633</v>
      </c>
    </row>
    <row r="705" spans="1:26" hidden="1">
      <c r="A705" t="s">
        <v>706</v>
      </c>
      <c r="B705" s="6">
        <v>44287</v>
      </c>
      <c r="C705" s="6">
        <v>44651</v>
      </c>
      <c r="D705">
        <v>20210401</v>
      </c>
      <c r="E705">
        <v>20220331</v>
      </c>
      <c r="F705" t="s">
        <v>2194</v>
      </c>
      <c r="G705" t="s">
        <v>2195</v>
      </c>
      <c r="H705" t="s">
        <v>590</v>
      </c>
      <c r="I705" t="s">
        <v>805</v>
      </c>
      <c r="K705">
        <v>0.01</v>
      </c>
      <c r="L705">
        <v>135</v>
      </c>
      <c r="M705">
        <v>87588</v>
      </c>
      <c r="N705">
        <v>-135</v>
      </c>
      <c r="O705">
        <v>-87588</v>
      </c>
      <c r="Y705">
        <v>0.01</v>
      </c>
      <c r="Z705" s="3">
        <f t="shared" si="10"/>
        <v>648.79999999999995</v>
      </c>
    </row>
    <row r="706" spans="1:26" hidden="1">
      <c r="A706" t="s">
        <v>706</v>
      </c>
      <c r="B706" s="6">
        <v>44287</v>
      </c>
      <c r="C706" s="6">
        <v>44651</v>
      </c>
      <c r="D706">
        <v>20210401</v>
      </c>
      <c r="E706">
        <v>20220331</v>
      </c>
      <c r="F706" t="s">
        <v>2196</v>
      </c>
      <c r="G706" t="s">
        <v>2197</v>
      </c>
      <c r="H706" t="s">
        <v>590</v>
      </c>
      <c r="I706" t="s">
        <v>805</v>
      </c>
      <c r="L706">
        <v>140</v>
      </c>
      <c r="M706">
        <v>66500</v>
      </c>
      <c r="N706">
        <v>-140</v>
      </c>
      <c r="O706">
        <v>-66500</v>
      </c>
      <c r="Z706" s="3">
        <f t="shared" si="10"/>
        <v>475</v>
      </c>
    </row>
    <row r="707" spans="1:26" hidden="1">
      <c r="A707" t="s">
        <v>706</v>
      </c>
      <c r="B707" s="6">
        <v>44287</v>
      </c>
      <c r="C707" s="6">
        <v>44651</v>
      </c>
      <c r="D707">
        <v>20210401</v>
      </c>
      <c r="E707">
        <v>20220331</v>
      </c>
      <c r="F707" t="s">
        <v>2198</v>
      </c>
      <c r="G707" t="s">
        <v>2199</v>
      </c>
      <c r="H707" t="s">
        <v>590</v>
      </c>
      <c r="I707" t="s">
        <v>805</v>
      </c>
      <c r="L707">
        <v>130</v>
      </c>
      <c r="M707">
        <v>81510</v>
      </c>
      <c r="N707">
        <v>-130</v>
      </c>
      <c r="O707">
        <v>-81510</v>
      </c>
      <c r="Z707" s="3">
        <f t="shared" ref="Z707:Z770" si="11">IFERROR((O707+Q707)/(N707+P707),Y707/X707)</f>
        <v>627</v>
      </c>
    </row>
    <row r="708" spans="1:26" hidden="1">
      <c r="A708" t="s">
        <v>706</v>
      </c>
      <c r="B708" s="6">
        <v>44287</v>
      </c>
      <c r="C708" s="6">
        <v>44651</v>
      </c>
      <c r="D708">
        <v>20210401</v>
      </c>
      <c r="E708">
        <v>20220331</v>
      </c>
      <c r="F708" t="s">
        <v>2200</v>
      </c>
      <c r="G708" t="s">
        <v>2201</v>
      </c>
      <c r="H708" t="s">
        <v>590</v>
      </c>
      <c r="I708" t="s">
        <v>805</v>
      </c>
      <c r="L708">
        <v>30</v>
      </c>
      <c r="M708">
        <v>81567.45</v>
      </c>
      <c r="N708">
        <v>-30</v>
      </c>
      <c r="O708">
        <v>-81567.45</v>
      </c>
      <c r="Z708" s="3">
        <f t="shared" si="11"/>
        <v>2718.915</v>
      </c>
    </row>
    <row r="709" spans="1:26" hidden="1">
      <c r="A709" t="s">
        <v>706</v>
      </c>
      <c r="B709" s="6">
        <v>44287</v>
      </c>
      <c r="C709" s="6">
        <v>44651</v>
      </c>
      <c r="D709">
        <v>20210401</v>
      </c>
      <c r="E709">
        <v>20220331</v>
      </c>
      <c r="F709" t="s">
        <v>2202</v>
      </c>
      <c r="G709" t="s">
        <v>2203</v>
      </c>
      <c r="H709" t="s">
        <v>590</v>
      </c>
      <c r="I709" t="s">
        <v>805</v>
      </c>
      <c r="L709">
        <v>1</v>
      </c>
      <c r="M709">
        <v>13168.9</v>
      </c>
      <c r="N709">
        <v>-1</v>
      </c>
      <c r="O709">
        <v>-13168.9</v>
      </c>
      <c r="Z709" s="3">
        <f t="shared" si="11"/>
        <v>13168.9</v>
      </c>
    </row>
    <row r="710" spans="1:26" hidden="1">
      <c r="A710" t="s">
        <v>706</v>
      </c>
      <c r="B710" s="6">
        <v>44287</v>
      </c>
      <c r="C710" s="6">
        <v>44651</v>
      </c>
      <c r="D710">
        <v>20210401</v>
      </c>
      <c r="E710">
        <v>20220331</v>
      </c>
      <c r="F710" t="s">
        <v>2204</v>
      </c>
      <c r="G710" t="s">
        <v>2205</v>
      </c>
      <c r="H710" t="s">
        <v>590</v>
      </c>
      <c r="I710" t="s">
        <v>805</v>
      </c>
      <c r="L710">
        <v>45</v>
      </c>
      <c r="M710">
        <v>34497.75</v>
      </c>
      <c r="N710">
        <v>-45</v>
      </c>
      <c r="O710">
        <v>-33502.29</v>
      </c>
      <c r="Y710">
        <v>995.46</v>
      </c>
      <c r="Z710" s="3">
        <f t="shared" si="11"/>
        <v>744.49533333333341</v>
      </c>
    </row>
    <row r="711" spans="1:26" hidden="1">
      <c r="A711" t="s">
        <v>706</v>
      </c>
      <c r="B711" s="6">
        <v>44287</v>
      </c>
      <c r="C711" s="6">
        <v>44651</v>
      </c>
      <c r="D711">
        <v>20210401</v>
      </c>
      <c r="E711">
        <v>20220331</v>
      </c>
      <c r="F711" t="s">
        <v>2206</v>
      </c>
      <c r="G711" t="s">
        <v>2207</v>
      </c>
      <c r="H711" t="s">
        <v>590</v>
      </c>
      <c r="I711" t="s">
        <v>805</v>
      </c>
      <c r="L711">
        <v>60</v>
      </c>
      <c r="M711">
        <v>6300</v>
      </c>
      <c r="N711">
        <v>-60</v>
      </c>
      <c r="O711">
        <v>-6300</v>
      </c>
      <c r="Z711" s="3">
        <f t="shared" si="11"/>
        <v>105</v>
      </c>
    </row>
    <row r="712" spans="1:26" hidden="1">
      <c r="A712" t="s">
        <v>706</v>
      </c>
      <c r="B712" s="6">
        <v>44287</v>
      </c>
      <c r="C712" s="6">
        <v>44651</v>
      </c>
      <c r="D712">
        <v>20210401</v>
      </c>
      <c r="E712">
        <v>20220331</v>
      </c>
      <c r="F712" t="s">
        <v>2208</v>
      </c>
      <c r="G712" t="s">
        <v>2209</v>
      </c>
      <c r="H712" t="s">
        <v>590</v>
      </c>
      <c r="I712" t="s">
        <v>805</v>
      </c>
      <c r="L712">
        <v>3</v>
      </c>
      <c r="M712">
        <v>3445.65</v>
      </c>
      <c r="N712">
        <v>-3</v>
      </c>
      <c r="O712">
        <v>-3445.65</v>
      </c>
      <c r="Z712" s="3">
        <f t="shared" si="11"/>
        <v>1148.55</v>
      </c>
    </row>
    <row r="713" spans="1:26" hidden="1">
      <c r="A713" t="s">
        <v>706</v>
      </c>
      <c r="B713" s="6">
        <v>44287</v>
      </c>
      <c r="C713" s="6">
        <v>44651</v>
      </c>
      <c r="D713">
        <v>20210401</v>
      </c>
      <c r="E713">
        <v>20220331</v>
      </c>
      <c r="F713" t="s">
        <v>2210</v>
      </c>
      <c r="G713" t="s">
        <v>2211</v>
      </c>
      <c r="H713" t="s">
        <v>590</v>
      </c>
      <c r="I713" t="s">
        <v>805</v>
      </c>
      <c r="L713">
        <v>2</v>
      </c>
      <c r="M713">
        <v>8750.4</v>
      </c>
      <c r="N713">
        <v>-2</v>
      </c>
      <c r="O713">
        <v>-8750.4</v>
      </c>
      <c r="Z713" s="3">
        <f t="shared" si="11"/>
        <v>4375.2</v>
      </c>
    </row>
    <row r="714" spans="1:26" hidden="1">
      <c r="A714" t="s">
        <v>706</v>
      </c>
      <c r="B714" s="6">
        <v>44287</v>
      </c>
      <c r="C714" s="6">
        <v>44651</v>
      </c>
      <c r="D714">
        <v>20210401</v>
      </c>
      <c r="E714">
        <v>20220331</v>
      </c>
      <c r="F714" t="s">
        <v>2212</v>
      </c>
      <c r="G714" t="s">
        <v>2213</v>
      </c>
      <c r="H714" t="s">
        <v>590</v>
      </c>
      <c r="I714" t="s">
        <v>805</v>
      </c>
      <c r="L714">
        <v>4</v>
      </c>
      <c r="M714">
        <v>6400</v>
      </c>
      <c r="N714">
        <v>-4</v>
      </c>
      <c r="O714">
        <v>-6400</v>
      </c>
      <c r="Z714" s="3">
        <f t="shared" si="11"/>
        <v>1600</v>
      </c>
    </row>
    <row r="715" spans="1:26" hidden="1">
      <c r="A715" t="s">
        <v>706</v>
      </c>
      <c r="B715" s="6">
        <v>44287</v>
      </c>
      <c r="C715" s="6">
        <v>44651</v>
      </c>
      <c r="D715">
        <v>20210401</v>
      </c>
      <c r="E715">
        <v>20220331</v>
      </c>
      <c r="F715" t="s">
        <v>2214</v>
      </c>
      <c r="G715" t="s">
        <v>2215</v>
      </c>
      <c r="H715" t="s">
        <v>590</v>
      </c>
      <c r="I715" t="s">
        <v>805</v>
      </c>
      <c r="L715">
        <v>10</v>
      </c>
      <c r="M715">
        <v>2112</v>
      </c>
      <c r="N715">
        <v>-10</v>
      </c>
      <c r="O715">
        <v>-2112</v>
      </c>
      <c r="Z715" s="3">
        <f t="shared" si="11"/>
        <v>211.2</v>
      </c>
    </row>
    <row r="716" spans="1:26" hidden="1">
      <c r="A716" t="s">
        <v>706</v>
      </c>
      <c r="B716" s="6">
        <v>44287</v>
      </c>
      <c r="C716" s="6">
        <v>44651</v>
      </c>
      <c r="D716">
        <v>20210401</v>
      </c>
      <c r="E716">
        <v>20220331</v>
      </c>
      <c r="F716" t="s">
        <v>2216</v>
      </c>
      <c r="G716" t="s">
        <v>2217</v>
      </c>
      <c r="H716" t="s">
        <v>590</v>
      </c>
      <c r="I716" t="s">
        <v>805</v>
      </c>
      <c r="L716">
        <v>2</v>
      </c>
      <c r="M716">
        <v>1407.6</v>
      </c>
      <c r="N716">
        <v>-2</v>
      </c>
      <c r="O716">
        <v>-1407.6</v>
      </c>
      <c r="Z716" s="3">
        <f t="shared" si="11"/>
        <v>703.8</v>
      </c>
    </row>
    <row r="717" spans="1:26" hidden="1">
      <c r="A717" t="s">
        <v>706</v>
      </c>
      <c r="B717" s="6">
        <v>44287</v>
      </c>
      <c r="C717" s="6">
        <v>44651</v>
      </c>
      <c r="D717">
        <v>20210401</v>
      </c>
      <c r="E717">
        <v>20220331</v>
      </c>
      <c r="F717" t="s">
        <v>2218</v>
      </c>
      <c r="G717" t="s">
        <v>2219</v>
      </c>
      <c r="H717" t="s">
        <v>590</v>
      </c>
      <c r="I717" t="s">
        <v>805</v>
      </c>
      <c r="L717">
        <v>13</v>
      </c>
      <c r="M717">
        <v>42315</v>
      </c>
      <c r="N717">
        <v>-13</v>
      </c>
      <c r="O717">
        <v>-42315</v>
      </c>
      <c r="Z717" s="3">
        <f t="shared" si="11"/>
        <v>3255</v>
      </c>
    </row>
    <row r="718" spans="1:26" hidden="1">
      <c r="A718" t="s">
        <v>706</v>
      </c>
      <c r="B718" s="6">
        <v>44287</v>
      </c>
      <c r="C718" s="6">
        <v>44651</v>
      </c>
      <c r="D718">
        <v>20210401</v>
      </c>
      <c r="E718">
        <v>20220331</v>
      </c>
      <c r="F718" t="s">
        <v>2220</v>
      </c>
      <c r="G718" t="s">
        <v>2221</v>
      </c>
      <c r="H718" t="s">
        <v>590</v>
      </c>
      <c r="I718" t="s">
        <v>805</v>
      </c>
      <c r="L718">
        <v>1</v>
      </c>
      <c r="M718">
        <v>1375</v>
      </c>
      <c r="N718">
        <v>-1</v>
      </c>
      <c r="O718">
        <v>-1375</v>
      </c>
      <c r="Z718" s="3">
        <f t="shared" si="11"/>
        <v>1375</v>
      </c>
    </row>
    <row r="719" spans="1:26" hidden="1">
      <c r="A719" t="s">
        <v>706</v>
      </c>
      <c r="B719" s="6">
        <v>44287</v>
      </c>
      <c r="C719" s="6">
        <v>44651</v>
      </c>
      <c r="D719">
        <v>20210401</v>
      </c>
      <c r="E719">
        <v>20220331</v>
      </c>
      <c r="F719" t="s">
        <v>2222</v>
      </c>
      <c r="G719" t="s">
        <v>2223</v>
      </c>
      <c r="H719" t="s">
        <v>590</v>
      </c>
      <c r="I719" t="s">
        <v>1462</v>
      </c>
      <c r="L719">
        <v>5</v>
      </c>
      <c r="M719">
        <v>14782.5</v>
      </c>
      <c r="N719">
        <v>-5</v>
      </c>
      <c r="O719">
        <v>-14782.5</v>
      </c>
      <c r="Z719" s="3">
        <f t="shared" si="11"/>
        <v>2956.5</v>
      </c>
    </row>
    <row r="720" spans="1:26" hidden="1">
      <c r="A720" t="s">
        <v>706</v>
      </c>
      <c r="B720" s="6">
        <v>44287</v>
      </c>
      <c r="C720" s="6">
        <v>44651</v>
      </c>
      <c r="D720">
        <v>20210401</v>
      </c>
      <c r="E720">
        <v>20220331</v>
      </c>
      <c r="F720" t="s">
        <v>2224</v>
      </c>
      <c r="G720" t="s">
        <v>2225</v>
      </c>
      <c r="H720" t="s">
        <v>590</v>
      </c>
      <c r="I720" t="s">
        <v>805</v>
      </c>
      <c r="L720">
        <v>13</v>
      </c>
      <c r="M720">
        <v>8866</v>
      </c>
      <c r="N720">
        <v>-13</v>
      </c>
      <c r="O720">
        <v>-8866</v>
      </c>
      <c r="Z720" s="3">
        <f t="shared" si="11"/>
        <v>682</v>
      </c>
    </row>
    <row r="721" spans="1:26" hidden="1">
      <c r="A721" t="s">
        <v>706</v>
      </c>
      <c r="B721" s="6">
        <v>44287</v>
      </c>
      <c r="C721" s="6">
        <v>44651</v>
      </c>
      <c r="D721">
        <v>20210401</v>
      </c>
      <c r="E721">
        <v>20220331</v>
      </c>
      <c r="F721" t="s">
        <v>2226</v>
      </c>
      <c r="G721" t="s">
        <v>2227</v>
      </c>
      <c r="H721" t="s">
        <v>590</v>
      </c>
      <c r="I721" t="s">
        <v>805</v>
      </c>
      <c r="L721">
        <v>790</v>
      </c>
      <c r="M721">
        <v>237206.5</v>
      </c>
      <c r="N721">
        <v>-790</v>
      </c>
      <c r="O721">
        <v>-237206.51</v>
      </c>
      <c r="Y721">
        <v>-0.01</v>
      </c>
      <c r="Z721" s="3">
        <f t="shared" si="11"/>
        <v>300.26140506329114</v>
      </c>
    </row>
    <row r="722" spans="1:26" hidden="1">
      <c r="A722" t="s">
        <v>706</v>
      </c>
      <c r="B722" s="6">
        <v>44287</v>
      </c>
      <c r="C722" s="6">
        <v>44651</v>
      </c>
      <c r="D722">
        <v>20210401</v>
      </c>
      <c r="E722">
        <v>20220331</v>
      </c>
      <c r="F722" t="s">
        <v>2228</v>
      </c>
      <c r="G722" t="s">
        <v>2229</v>
      </c>
      <c r="H722" t="s">
        <v>590</v>
      </c>
      <c r="I722" t="s">
        <v>805</v>
      </c>
      <c r="L722">
        <v>50</v>
      </c>
      <c r="M722">
        <v>7750</v>
      </c>
      <c r="N722">
        <v>-50</v>
      </c>
      <c r="O722">
        <v>-7750</v>
      </c>
      <c r="Z722" s="3">
        <f t="shared" si="11"/>
        <v>155</v>
      </c>
    </row>
    <row r="723" spans="1:26" hidden="1">
      <c r="A723" t="s">
        <v>706</v>
      </c>
      <c r="B723" s="6">
        <v>44287</v>
      </c>
      <c r="C723" s="6">
        <v>44651</v>
      </c>
      <c r="D723">
        <v>20210401</v>
      </c>
      <c r="E723">
        <v>20220331</v>
      </c>
      <c r="F723" t="s">
        <v>2230</v>
      </c>
      <c r="G723" t="s">
        <v>2231</v>
      </c>
      <c r="H723" t="s">
        <v>590</v>
      </c>
      <c r="I723" t="s">
        <v>805</v>
      </c>
      <c r="L723">
        <v>50</v>
      </c>
      <c r="M723">
        <v>7750</v>
      </c>
      <c r="N723">
        <v>-50</v>
      </c>
      <c r="O723">
        <v>-7750</v>
      </c>
      <c r="Z723" s="3">
        <f t="shared" si="11"/>
        <v>155</v>
      </c>
    </row>
    <row r="724" spans="1:26" hidden="1">
      <c r="A724" t="s">
        <v>706</v>
      </c>
      <c r="B724" s="6">
        <v>44287</v>
      </c>
      <c r="C724" s="6">
        <v>44651</v>
      </c>
      <c r="D724">
        <v>20210401</v>
      </c>
      <c r="E724">
        <v>20220331</v>
      </c>
      <c r="F724" t="s">
        <v>2232</v>
      </c>
      <c r="G724" t="s">
        <v>2233</v>
      </c>
      <c r="H724" t="s">
        <v>590</v>
      </c>
      <c r="I724" t="s">
        <v>805</v>
      </c>
      <c r="L724">
        <v>890</v>
      </c>
      <c r="M724">
        <v>265068</v>
      </c>
      <c r="N724">
        <v>-890</v>
      </c>
      <c r="O724">
        <v>-265068</v>
      </c>
      <c r="Z724" s="3">
        <f t="shared" si="11"/>
        <v>297.82921348314608</v>
      </c>
    </row>
    <row r="725" spans="1:26" hidden="1">
      <c r="A725" t="s">
        <v>706</v>
      </c>
      <c r="B725" s="6">
        <v>44287</v>
      </c>
      <c r="C725" s="6">
        <v>44651</v>
      </c>
      <c r="D725">
        <v>20210401</v>
      </c>
      <c r="E725">
        <v>20220331</v>
      </c>
      <c r="F725" t="s">
        <v>2234</v>
      </c>
      <c r="G725" t="s">
        <v>2235</v>
      </c>
      <c r="H725" t="s">
        <v>590</v>
      </c>
      <c r="I725" t="s">
        <v>805</v>
      </c>
      <c r="L725">
        <v>30</v>
      </c>
      <c r="M725">
        <v>14250</v>
      </c>
      <c r="N725">
        <v>-30</v>
      </c>
      <c r="O725">
        <v>-14250</v>
      </c>
      <c r="Z725" s="3">
        <f t="shared" si="11"/>
        <v>475</v>
      </c>
    </row>
    <row r="726" spans="1:26" hidden="1">
      <c r="A726" t="s">
        <v>706</v>
      </c>
      <c r="B726" s="6">
        <v>44287</v>
      </c>
      <c r="C726" s="6">
        <v>44651</v>
      </c>
      <c r="D726">
        <v>20210401</v>
      </c>
      <c r="E726">
        <v>20220331</v>
      </c>
      <c r="F726" t="s">
        <v>2236</v>
      </c>
      <c r="G726" t="s">
        <v>2237</v>
      </c>
      <c r="H726" t="s">
        <v>590</v>
      </c>
      <c r="I726" t="s">
        <v>805</v>
      </c>
      <c r="L726">
        <v>5</v>
      </c>
      <c r="M726">
        <v>10116</v>
      </c>
      <c r="N726">
        <v>-5</v>
      </c>
      <c r="O726">
        <v>-10116</v>
      </c>
      <c r="Z726" s="3">
        <f t="shared" si="11"/>
        <v>2023.2</v>
      </c>
    </row>
    <row r="727" spans="1:26" hidden="1">
      <c r="A727" t="s">
        <v>706</v>
      </c>
      <c r="B727" s="6">
        <v>44287</v>
      </c>
      <c r="C727" s="6">
        <v>44651</v>
      </c>
      <c r="D727">
        <v>20210401</v>
      </c>
      <c r="E727">
        <v>20220331</v>
      </c>
      <c r="F727" t="s">
        <v>2238</v>
      </c>
      <c r="G727" t="s">
        <v>2239</v>
      </c>
      <c r="H727" t="s">
        <v>590</v>
      </c>
      <c r="I727" t="s">
        <v>805</v>
      </c>
      <c r="L727">
        <v>11</v>
      </c>
      <c r="M727">
        <v>22662.9</v>
      </c>
      <c r="N727">
        <v>-11</v>
      </c>
      <c r="O727">
        <v>-22662.9</v>
      </c>
      <c r="Z727" s="3">
        <f t="shared" si="11"/>
        <v>2060.2636363636366</v>
      </c>
    </row>
    <row r="728" spans="1:26" hidden="1">
      <c r="A728" t="s">
        <v>706</v>
      </c>
      <c r="B728" s="6">
        <v>44287</v>
      </c>
      <c r="C728" s="6">
        <v>44651</v>
      </c>
      <c r="D728">
        <v>20210401</v>
      </c>
      <c r="E728">
        <v>20220331</v>
      </c>
      <c r="F728" t="s">
        <v>2240</v>
      </c>
      <c r="G728" t="s">
        <v>2241</v>
      </c>
      <c r="H728" t="s">
        <v>590</v>
      </c>
      <c r="I728" t="s">
        <v>805</v>
      </c>
      <c r="L728">
        <v>2</v>
      </c>
      <c r="M728">
        <v>5779.6</v>
      </c>
      <c r="N728">
        <v>-2</v>
      </c>
      <c r="O728">
        <v>-5779.6</v>
      </c>
      <c r="Z728" s="3">
        <f t="shared" si="11"/>
        <v>2889.8</v>
      </c>
    </row>
    <row r="729" spans="1:26" hidden="1">
      <c r="A729" t="s">
        <v>706</v>
      </c>
      <c r="B729" s="6">
        <v>44287</v>
      </c>
      <c r="C729" s="6">
        <v>44651</v>
      </c>
      <c r="D729">
        <v>20210401</v>
      </c>
      <c r="E729">
        <v>20220331</v>
      </c>
      <c r="F729" t="s">
        <v>2242</v>
      </c>
      <c r="G729" t="s">
        <v>2243</v>
      </c>
      <c r="H729" t="s">
        <v>590</v>
      </c>
      <c r="I729" t="s">
        <v>805</v>
      </c>
      <c r="L729">
        <v>22</v>
      </c>
      <c r="M729">
        <v>35600.400000000001</v>
      </c>
      <c r="N729">
        <v>-22</v>
      </c>
      <c r="O729">
        <v>-35600.410000000003</v>
      </c>
      <c r="Y729">
        <v>-0.01</v>
      </c>
      <c r="Z729" s="3">
        <f t="shared" si="11"/>
        <v>1618.2004545454547</v>
      </c>
    </row>
    <row r="730" spans="1:26" hidden="1">
      <c r="A730" t="s">
        <v>706</v>
      </c>
      <c r="B730" s="6">
        <v>44287</v>
      </c>
      <c r="C730" s="6">
        <v>44651</v>
      </c>
      <c r="D730">
        <v>20210401</v>
      </c>
      <c r="E730">
        <v>20220331</v>
      </c>
      <c r="F730" t="s">
        <v>2244</v>
      </c>
      <c r="G730" t="s">
        <v>2245</v>
      </c>
      <c r="H730" t="s">
        <v>590</v>
      </c>
      <c r="I730" t="s">
        <v>805</v>
      </c>
      <c r="L730">
        <v>34</v>
      </c>
      <c r="M730">
        <v>23562</v>
      </c>
      <c r="N730">
        <v>-34</v>
      </c>
      <c r="O730">
        <v>-23562</v>
      </c>
      <c r="Z730" s="3">
        <f t="shared" si="11"/>
        <v>693</v>
      </c>
    </row>
    <row r="731" spans="1:26" hidden="1">
      <c r="A731" t="s">
        <v>706</v>
      </c>
      <c r="B731" s="6">
        <v>44287</v>
      </c>
      <c r="C731" s="6">
        <v>44651</v>
      </c>
      <c r="D731">
        <v>20210401</v>
      </c>
      <c r="E731">
        <v>20220331</v>
      </c>
      <c r="F731" t="s">
        <v>2246</v>
      </c>
      <c r="G731" t="s">
        <v>2247</v>
      </c>
      <c r="H731" t="s">
        <v>590</v>
      </c>
      <c r="I731" t="s">
        <v>805</v>
      </c>
      <c r="L731">
        <v>38</v>
      </c>
      <c r="M731">
        <v>22230</v>
      </c>
      <c r="N731">
        <v>-38</v>
      </c>
      <c r="O731">
        <v>-22230</v>
      </c>
      <c r="Z731" s="3">
        <f t="shared" si="11"/>
        <v>585</v>
      </c>
    </row>
    <row r="732" spans="1:26" hidden="1">
      <c r="A732" t="s">
        <v>706</v>
      </c>
      <c r="B732" s="6">
        <v>44287</v>
      </c>
      <c r="C732" s="6">
        <v>44651</v>
      </c>
      <c r="D732">
        <v>20210401</v>
      </c>
      <c r="E732">
        <v>20220331</v>
      </c>
      <c r="F732" t="s">
        <v>2248</v>
      </c>
      <c r="G732" t="s">
        <v>2249</v>
      </c>
      <c r="H732" t="s">
        <v>590</v>
      </c>
      <c r="I732" t="s">
        <v>805</v>
      </c>
      <c r="L732">
        <v>30</v>
      </c>
      <c r="M732">
        <v>4050</v>
      </c>
      <c r="N732">
        <v>-30</v>
      </c>
      <c r="O732">
        <v>-4050</v>
      </c>
      <c r="Z732" s="3">
        <f t="shared" si="11"/>
        <v>135</v>
      </c>
    </row>
    <row r="733" spans="1:26" hidden="1">
      <c r="A733" t="s">
        <v>706</v>
      </c>
      <c r="B733" s="6">
        <v>44287</v>
      </c>
      <c r="C733" s="6">
        <v>44651</v>
      </c>
      <c r="D733">
        <v>20210401</v>
      </c>
      <c r="E733">
        <v>20220331</v>
      </c>
      <c r="F733" t="s">
        <v>2250</v>
      </c>
      <c r="G733" t="s">
        <v>2251</v>
      </c>
      <c r="H733" t="s">
        <v>590</v>
      </c>
      <c r="I733" t="s">
        <v>805</v>
      </c>
      <c r="L733">
        <v>100</v>
      </c>
      <c r="M733">
        <v>170355</v>
      </c>
      <c r="N733">
        <v>-100</v>
      </c>
      <c r="O733">
        <v>-170355</v>
      </c>
      <c r="Z733" s="3">
        <f t="shared" si="11"/>
        <v>1703.55</v>
      </c>
    </row>
    <row r="734" spans="1:26" hidden="1">
      <c r="A734" t="s">
        <v>706</v>
      </c>
      <c r="B734" s="6">
        <v>44287</v>
      </c>
      <c r="C734" s="6">
        <v>44651</v>
      </c>
      <c r="D734">
        <v>20210401</v>
      </c>
      <c r="E734">
        <v>20220331</v>
      </c>
      <c r="F734" t="s">
        <v>2252</v>
      </c>
      <c r="G734" t="s">
        <v>2253</v>
      </c>
      <c r="H734" t="s">
        <v>590</v>
      </c>
      <c r="I734" t="s">
        <v>805</v>
      </c>
      <c r="L734">
        <v>260</v>
      </c>
      <c r="M734">
        <v>107787.5</v>
      </c>
      <c r="N734">
        <v>-260</v>
      </c>
      <c r="O734">
        <v>-107787.5</v>
      </c>
      <c r="Z734" s="3">
        <f t="shared" si="11"/>
        <v>414.56730769230768</v>
      </c>
    </row>
    <row r="735" spans="1:26" hidden="1">
      <c r="A735" t="s">
        <v>706</v>
      </c>
      <c r="B735" s="6">
        <v>44287</v>
      </c>
      <c r="C735" s="6">
        <v>44651</v>
      </c>
      <c r="D735">
        <v>20210401</v>
      </c>
      <c r="E735">
        <v>20220331</v>
      </c>
      <c r="F735" t="s">
        <v>2254</v>
      </c>
      <c r="G735" t="s">
        <v>2255</v>
      </c>
      <c r="H735" t="s">
        <v>590</v>
      </c>
      <c r="I735" t="s">
        <v>805</v>
      </c>
      <c r="L735">
        <v>8</v>
      </c>
      <c r="M735">
        <v>12916.8</v>
      </c>
      <c r="N735">
        <v>-8</v>
      </c>
      <c r="O735">
        <v>-12916.8</v>
      </c>
      <c r="Z735" s="3">
        <f t="shared" si="11"/>
        <v>1614.6</v>
      </c>
    </row>
    <row r="736" spans="1:26" hidden="1">
      <c r="A736" t="s">
        <v>706</v>
      </c>
      <c r="B736" s="6">
        <v>44287</v>
      </c>
      <c r="C736" s="6">
        <v>44651</v>
      </c>
      <c r="D736">
        <v>20210401</v>
      </c>
      <c r="E736">
        <v>20220331</v>
      </c>
      <c r="F736" t="s">
        <v>2256</v>
      </c>
      <c r="G736" t="s">
        <v>2257</v>
      </c>
      <c r="H736" t="s">
        <v>590</v>
      </c>
      <c r="I736" t="s">
        <v>805</v>
      </c>
      <c r="L736">
        <v>3</v>
      </c>
      <c r="M736">
        <v>630</v>
      </c>
      <c r="N736">
        <v>-3</v>
      </c>
      <c r="O736">
        <v>-630</v>
      </c>
      <c r="Z736" s="3">
        <f t="shared" si="11"/>
        <v>210</v>
      </c>
    </row>
    <row r="737" spans="1:26" hidden="1">
      <c r="A737" t="s">
        <v>706</v>
      </c>
      <c r="B737" s="6">
        <v>44287</v>
      </c>
      <c r="C737" s="6">
        <v>44651</v>
      </c>
      <c r="D737">
        <v>20210401</v>
      </c>
      <c r="E737">
        <v>20220331</v>
      </c>
      <c r="F737" t="s">
        <v>2258</v>
      </c>
      <c r="G737" t="s">
        <v>2259</v>
      </c>
      <c r="H737" t="s">
        <v>590</v>
      </c>
      <c r="I737" t="s">
        <v>805</v>
      </c>
      <c r="L737">
        <v>14</v>
      </c>
      <c r="M737">
        <v>3118</v>
      </c>
      <c r="N737">
        <v>-14</v>
      </c>
      <c r="O737">
        <v>-3118</v>
      </c>
      <c r="Z737" s="3">
        <f t="shared" si="11"/>
        <v>222.71428571428572</v>
      </c>
    </row>
    <row r="738" spans="1:26" hidden="1">
      <c r="A738" t="s">
        <v>706</v>
      </c>
      <c r="B738" s="6">
        <v>44287</v>
      </c>
      <c r="C738" s="6">
        <v>44651</v>
      </c>
      <c r="D738">
        <v>20210401</v>
      </c>
      <c r="E738">
        <v>20220331</v>
      </c>
      <c r="F738" t="s">
        <v>2260</v>
      </c>
      <c r="G738" t="s">
        <v>2261</v>
      </c>
      <c r="H738" t="s">
        <v>590</v>
      </c>
      <c r="I738" t="s">
        <v>805</v>
      </c>
      <c r="L738">
        <v>29</v>
      </c>
      <c r="M738">
        <v>173536</v>
      </c>
      <c r="N738">
        <v>-29</v>
      </c>
      <c r="O738">
        <v>-173536</v>
      </c>
      <c r="Z738" s="3">
        <f t="shared" si="11"/>
        <v>5984</v>
      </c>
    </row>
    <row r="739" spans="1:26" hidden="1">
      <c r="A739" t="s">
        <v>706</v>
      </c>
      <c r="B739" s="6">
        <v>44287</v>
      </c>
      <c r="C739" s="6">
        <v>44651</v>
      </c>
      <c r="D739">
        <v>20210401</v>
      </c>
      <c r="E739">
        <v>20220331</v>
      </c>
      <c r="F739" t="s">
        <v>2262</v>
      </c>
      <c r="G739" t="s">
        <v>2263</v>
      </c>
      <c r="H739" t="s">
        <v>590</v>
      </c>
      <c r="I739" t="s">
        <v>805</v>
      </c>
      <c r="L739">
        <v>310</v>
      </c>
      <c r="M739">
        <v>305719.5</v>
      </c>
      <c r="N739">
        <v>-310</v>
      </c>
      <c r="O739">
        <v>-305719.5</v>
      </c>
      <c r="Z739" s="3">
        <f t="shared" si="11"/>
        <v>986.19193548387102</v>
      </c>
    </row>
    <row r="740" spans="1:26" hidden="1">
      <c r="A740" t="s">
        <v>706</v>
      </c>
      <c r="B740" s="6">
        <v>44287</v>
      </c>
      <c r="C740" s="6">
        <v>44651</v>
      </c>
      <c r="D740">
        <v>20210401</v>
      </c>
      <c r="E740">
        <v>20220331</v>
      </c>
      <c r="F740" t="s">
        <v>2264</v>
      </c>
      <c r="G740" t="s">
        <v>2265</v>
      </c>
      <c r="H740" t="s">
        <v>590</v>
      </c>
      <c r="I740" t="s">
        <v>805</v>
      </c>
      <c r="L740">
        <v>5</v>
      </c>
      <c r="M740">
        <v>70065</v>
      </c>
      <c r="N740">
        <v>-5</v>
      </c>
      <c r="O740">
        <v>-70065</v>
      </c>
      <c r="Z740" s="3">
        <f t="shared" si="11"/>
        <v>14013</v>
      </c>
    </row>
    <row r="741" spans="1:26" hidden="1">
      <c r="A741" t="s">
        <v>706</v>
      </c>
      <c r="B741" s="6">
        <v>44287</v>
      </c>
      <c r="C741" s="6">
        <v>44651</v>
      </c>
      <c r="D741">
        <v>20210401</v>
      </c>
      <c r="E741">
        <v>20220331</v>
      </c>
      <c r="F741" t="s">
        <v>2266</v>
      </c>
      <c r="G741" t="s">
        <v>2267</v>
      </c>
      <c r="H741" t="s">
        <v>590</v>
      </c>
      <c r="I741" t="s">
        <v>805</v>
      </c>
      <c r="L741">
        <v>12</v>
      </c>
      <c r="M741">
        <v>48805.2</v>
      </c>
      <c r="N741">
        <v>-12</v>
      </c>
      <c r="O741">
        <v>-48805.2</v>
      </c>
      <c r="Z741" s="3">
        <f t="shared" si="11"/>
        <v>4067.1</v>
      </c>
    </row>
    <row r="742" spans="1:26" hidden="1">
      <c r="A742" t="s">
        <v>706</v>
      </c>
      <c r="B742" s="6">
        <v>44287</v>
      </c>
      <c r="C742" s="6">
        <v>44651</v>
      </c>
      <c r="D742">
        <v>20210401</v>
      </c>
      <c r="E742">
        <v>20220331</v>
      </c>
      <c r="F742" t="s">
        <v>2268</v>
      </c>
      <c r="G742" t="s">
        <v>2269</v>
      </c>
      <c r="H742" t="s">
        <v>590</v>
      </c>
      <c r="I742" t="s">
        <v>805</v>
      </c>
      <c r="L742">
        <v>15</v>
      </c>
      <c r="M742">
        <v>63000</v>
      </c>
      <c r="N742">
        <v>-15</v>
      </c>
      <c r="O742">
        <v>-63000</v>
      </c>
      <c r="Z742" s="3">
        <f t="shared" si="11"/>
        <v>4200</v>
      </c>
    </row>
    <row r="743" spans="1:26" hidden="1">
      <c r="A743" t="s">
        <v>706</v>
      </c>
      <c r="B743" s="6">
        <v>44287</v>
      </c>
      <c r="C743" s="6">
        <v>44651</v>
      </c>
      <c r="D743">
        <v>20210401</v>
      </c>
      <c r="E743">
        <v>20220331</v>
      </c>
      <c r="F743" t="s">
        <v>2270</v>
      </c>
      <c r="G743" t="s">
        <v>2271</v>
      </c>
      <c r="H743" t="s">
        <v>590</v>
      </c>
      <c r="I743" t="s">
        <v>805</v>
      </c>
      <c r="L743">
        <v>7</v>
      </c>
      <c r="M743">
        <v>3395</v>
      </c>
      <c r="N743">
        <v>-7</v>
      </c>
      <c r="O743">
        <v>-3395</v>
      </c>
      <c r="Z743" s="3">
        <f t="shared" si="11"/>
        <v>485</v>
      </c>
    </row>
    <row r="744" spans="1:26" hidden="1">
      <c r="A744" t="s">
        <v>706</v>
      </c>
      <c r="B744" s="6">
        <v>44287</v>
      </c>
      <c r="C744" s="6">
        <v>44651</v>
      </c>
      <c r="D744">
        <v>20210401</v>
      </c>
      <c r="E744">
        <v>20220331</v>
      </c>
      <c r="F744" t="s">
        <v>2272</v>
      </c>
      <c r="G744" t="s">
        <v>2273</v>
      </c>
      <c r="H744" t="s">
        <v>590</v>
      </c>
      <c r="I744" t="s">
        <v>805</v>
      </c>
      <c r="K744">
        <v>0.01</v>
      </c>
      <c r="L744">
        <v>67</v>
      </c>
      <c r="M744">
        <v>176770</v>
      </c>
      <c r="N744">
        <v>-67</v>
      </c>
      <c r="O744">
        <v>-176770</v>
      </c>
      <c r="Y744">
        <v>0.01</v>
      </c>
      <c r="Z744" s="3">
        <f t="shared" si="11"/>
        <v>2638.3582089552237</v>
      </c>
    </row>
    <row r="745" spans="1:26" hidden="1">
      <c r="A745" t="s">
        <v>706</v>
      </c>
      <c r="B745" s="6">
        <v>44287</v>
      </c>
      <c r="C745" s="6">
        <v>44651</v>
      </c>
      <c r="D745">
        <v>20210401</v>
      </c>
      <c r="E745">
        <v>20220331</v>
      </c>
      <c r="F745" t="s">
        <v>2274</v>
      </c>
      <c r="G745" t="s">
        <v>2275</v>
      </c>
      <c r="H745" t="s">
        <v>590</v>
      </c>
      <c r="I745" t="s">
        <v>805</v>
      </c>
      <c r="L745">
        <v>19</v>
      </c>
      <c r="M745">
        <v>11133.9</v>
      </c>
      <c r="N745">
        <v>-19</v>
      </c>
      <c r="O745">
        <v>-11133.91</v>
      </c>
      <c r="Y745">
        <v>-0.01</v>
      </c>
      <c r="Z745" s="3">
        <f t="shared" si="11"/>
        <v>585.99526315789478</v>
      </c>
    </row>
    <row r="746" spans="1:26" hidden="1">
      <c r="A746" t="s">
        <v>706</v>
      </c>
      <c r="B746" s="6">
        <v>44287</v>
      </c>
      <c r="C746" s="6">
        <v>44651</v>
      </c>
      <c r="D746">
        <v>20210401</v>
      </c>
      <c r="E746">
        <v>20220331</v>
      </c>
      <c r="F746" t="s">
        <v>2276</v>
      </c>
      <c r="G746" t="s">
        <v>2277</v>
      </c>
      <c r="H746" t="s">
        <v>590</v>
      </c>
      <c r="I746" t="s">
        <v>805</v>
      </c>
      <c r="L746">
        <v>13</v>
      </c>
      <c r="M746">
        <v>10276.5</v>
      </c>
      <c r="N746">
        <v>-13</v>
      </c>
      <c r="O746">
        <v>-10276.5</v>
      </c>
      <c r="Z746" s="3">
        <f t="shared" si="11"/>
        <v>790.5</v>
      </c>
    </row>
    <row r="747" spans="1:26" hidden="1">
      <c r="A747" t="s">
        <v>706</v>
      </c>
      <c r="B747" s="6">
        <v>44287</v>
      </c>
      <c r="C747" s="6">
        <v>44651</v>
      </c>
      <c r="D747">
        <v>20210401</v>
      </c>
      <c r="E747">
        <v>20220331</v>
      </c>
      <c r="F747" t="s">
        <v>2278</v>
      </c>
      <c r="G747" t="s">
        <v>2279</v>
      </c>
      <c r="H747" t="s">
        <v>590</v>
      </c>
      <c r="I747" t="s">
        <v>805</v>
      </c>
      <c r="L747">
        <v>2</v>
      </c>
      <c r="M747">
        <v>3861</v>
      </c>
      <c r="N747">
        <v>-2</v>
      </c>
      <c r="O747">
        <v>-3861</v>
      </c>
      <c r="Z747" s="3">
        <f t="shared" si="11"/>
        <v>1930.5</v>
      </c>
    </row>
    <row r="748" spans="1:26" hidden="1">
      <c r="A748" t="s">
        <v>706</v>
      </c>
      <c r="B748" s="6">
        <v>44287</v>
      </c>
      <c r="C748" s="6">
        <v>44651</v>
      </c>
      <c r="D748">
        <v>20210401</v>
      </c>
      <c r="E748">
        <v>20220331</v>
      </c>
      <c r="F748" t="s">
        <v>2280</v>
      </c>
      <c r="G748" t="s">
        <v>2281</v>
      </c>
      <c r="H748" t="s">
        <v>590</v>
      </c>
      <c r="I748" t="s">
        <v>805</v>
      </c>
      <c r="L748">
        <v>2</v>
      </c>
      <c r="M748">
        <v>3861</v>
      </c>
      <c r="N748">
        <v>-2</v>
      </c>
      <c r="O748">
        <v>-3861</v>
      </c>
      <c r="Z748" s="3">
        <f t="shared" si="11"/>
        <v>1930.5</v>
      </c>
    </row>
    <row r="749" spans="1:26" hidden="1">
      <c r="A749" t="s">
        <v>706</v>
      </c>
      <c r="B749" s="6">
        <v>44287</v>
      </c>
      <c r="C749" s="6">
        <v>44651</v>
      </c>
      <c r="D749">
        <v>20210401</v>
      </c>
      <c r="E749">
        <v>20220331</v>
      </c>
      <c r="F749" t="s">
        <v>2282</v>
      </c>
      <c r="G749" t="s">
        <v>2283</v>
      </c>
      <c r="H749" t="s">
        <v>590</v>
      </c>
      <c r="I749" t="s">
        <v>805</v>
      </c>
      <c r="L749">
        <v>6</v>
      </c>
      <c r="M749">
        <v>16680</v>
      </c>
      <c r="N749">
        <v>-6</v>
      </c>
      <c r="O749">
        <v>-16680</v>
      </c>
      <c r="Z749" s="3">
        <f t="shared" si="11"/>
        <v>2780</v>
      </c>
    </row>
    <row r="750" spans="1:26" hidden="1">
      <c r="A750" t="s">
        <v>706</v>
      </c>
      <c r="B750" s="6">
        <v>44287</v>
      </c>
      <c r="C750" s="6">
        <v>44651</v>
      </c>
      <c r="D750">
        <v>20210401</v>
      </c>
      <c r="E750">
        <v>20220331</v>
      </c>
      <c r="F750" t="s">
        <v>2284</v>
      </c>
      <c r="G750" t="s">
        <v>2285</v>
      </c>
      <c r="H750" t="s">
        <v>590</v>
      </c>
      <c r="I750" t="s">
        <v>805</v>
      </c>
      <c r="L750">
        <v>90</v>
      </c>
      <c r="M750">
        <v>43650</v>
      </c>
      <c r="N750">
        <v>-90</v>
      </c>
      <c r="O750">
        <v>-43650</v>
      </c>
      <c r="Z750" s="3">
        <f t="shared" si="11"/>
        <v>485</v>
      </c>
    </row>
    <row r="751" spans="1:26" hidden="1">
      <c r="A751" t="s">
        <v>706</v>
      </c>
      <c r="B751" s="6">
        <v>44287</v>
      </c>
      <c r="C751" s="6">
        <v>44651</v>
      </c>
      <c r="D751">
        <v>20210401</v>
      </c>
      <c r="E751">
        <v>20220331</v>
      </c>
      <c r="F751" t="s">
        <v>2286</v>
      </c>
      <c r="G751" t="s">
        <v>2287</v>
      </c>
      <c r="H751" t="s">
        <v>590</v>
      </c>
      <c r="I751" t="s">
        <v>805</v>
      </c>
      <c r="L751">
        <v>3</v>
      </c>
      <c r="M751">
        <v>2493.75</v>
      </c>
      <c r="N751">
        <v>-3</v>
      </c>
      <c r="O751">
        <v>-2493.75</v>
      </c>
      <c r="Z751" s="3">
        <f t="shared" si="11"/>
        <v>831.25</v>
      </c>
    </row>
    <row r="752" spans="1:26" hidden="1">
      <c r="A752" t="s">
        <v>706</v>
      </c>
      <c r="B752" s="6">
        <v>44287</v>
      </c>
      <c r="C752" s="6">
        <v>44651</v>
      </c>
      <c r="D752">
        <v>20210401</v>
      </c>
      <c r="E752">
        <v>20220331</v>
      </c>
      <c r="F752" t="s">
        <v>2288</v>
      </c>
      <c r="G752" t="s">
        <v>2289</v>
      </c>
      <c r="H752" t="s">
        <v>590</v>
      </c>
      <c r="I752" t="s">
        <v>805</v>
      </c>
      <c r="L752">
        <v>160</v>
      </c>
      <c r="M752">
        <v>136800</v>
      </c>
      <c r="N752">
        <v>-160</v>
      </c>
      <c r="O752">
        <v>-136800</v>
      </c>
      <c r="Z752" s="3">
        <f t="shared" si="11"/>
        <v>855</v>
      </c>
    </row>
    <row r="753" spans="1:26" hidden="1">
      <c r="A753" t="s">
        <v>706</v>
      </c>
      <c r="B753" s="6">
        <v>44287</v>
      </c>
      <c r="C753" s="6">
        <v>44651</v>
      </c>
      <c r="D753">
        <v>20210401</v>
      </c>
      <c r="E753">
        <v>20220331</v>
      </c>
      <c r="F753" t="s">
        <v>2290</v>
      </c>
      <c r="G753" t="s">
        <v>2291</v>
      </c>
      <c r="H753" t="s">
        <v>590</v>
      </c>
      <c r="I753" t="s">
        <v>805</v>
      </c>
      <c r="L753">
        <v>5</v>
      </c>
      <c r="M753">
        <v>12256.2</v>
      </c>
      <c r="N753">
        <v>-5</v>
      </c>
      <c r="O753">
        <v>-12256.2</v>
      </c>
      <c r="Z753" s="3">
        <f t="shared" si="11"/>
        <v>2451.2400000000002</v>
      </c>
    </row>
    <row r="754" spans="1:26" hidden="1">
      <c r="A754" t="s">
        <v>706</v>
      </c>
      <c r="B754" s="6">
        <v>44287</v>
      </c>
      <c r="C754" s="6">
        <v>44651</v>
      </c>
      <c r="D754">
        <v>20210401</v>
      </c>
      <c r="E754">
        <v>20220331</v>
      </c>
      <c r="F754" t="s">
        <v>2292</v>
      </c>
      <c r="G754" t="s">
        <v>2293</v>
      </c>
      <c r="H754" t="s">
        <v>590</v>
      </c>
      <c r="I754" t="s">
        <v>805</v>
      </c>
      <c r="L754">
        <v>3</v>
      </c>
      <c r="M754">
        <v>14607</v>
      </c>
      <c r="N754">
        <v>-3</v>
      </c>
      <c r="O754">
        <v>-14607</v>
      </c>
      <c r="Z754" s="3">
        <f t="shared" si="11"/>
        <v>4869</v>
      </c>
    </row>
    <row r="755" spans="1:26" hidden="1">
      <c r="A755" t="s">
        <v>706</v>
      </c>
      <c r="B755" s="6">
        <v>44287</v>
      </c>
      <c r="C755" s="6">
        <v>44651</v>
      </c>
      <c r="D755">
        <v>20210401</v>
      </c>
      <c r="E755">
        <v>20220331</v>
      </c>
      <c r="F755" t="s">
        <v>2294</v>
      </c>
      <c r="G755" t="s">
        <v>2295</v>
      </c>
      <c r="H755" t="s">
        <v>590</v>
      </c>
      <c r="I755" t="s">
        <v>805</v>
      </c>
      <c r="L755">
        <v>40</v>
      </c>
      <c r="M755">
        <v>3800</v>
      </c>
      <c r="N755">
        <v>-40</v>
      </c>
      <c r="O755">
        <v>-3800</v>
      </c>
      <c r="Z755" s="3">
        <f t="shared" si="11"/>
        <v>95</v>
      </c>
    </row>
    <row r="756" spans="1:26" hidden="1">
      <c r="A756" t="s">
        <v>706</v>
      </c>
      <c r="B756" s="6">
        <v>44287</v>
      </c>
      <c r="C756" s="6">
        <v>44651</v>
      </c>
      <c r="D756">
        <v>20210401</v>
      </c>
      <c r="E756">
        <v>20220331</v>
      </c>
      <c r="F756" t="s">
        <v>2296</v>
      </c>
      <c r="G756" t="s">
        <v>2297</v>
      </c>
      <c r="H756" t="s">
        <v>590</v>
      </c>
      <c r="I756" t="s">
        <v>805</v>
      </c>
      <c r="L756">
        <v>5</v>
      </c>
      <c r="M756">
        <v>875</v>
      </c>
      <c r="N756">
        <v>-5</v>
      </c>
      <c r="O756">
        <v>-875</v>
      </c>
      <c r="Z756" s="3">
        <f t="shared" si="11"/>
        <v>175</v>
      </c>
    </row>
    <row r="757" spans="1:26" hidden="1">
      <c r="A757" t="s">
        <v>706</v>
      </c>
      <c r="B757" s="6">
        <v>44287</v>
      </c>
      <c r="C757" s="6">
        <v>44651</v>
      </c>
      <c r="D757">
        <v>20210401</v>
      </c>
      <c r="E757">
        <v>20220331</v>
      </c>
      <c r="F757" t="s">
        <v>2298</v>
      </c>
      <c r="G757" t="s">
        <v>2299</v>
      </c>
      <c r="H757" t="s">
        <v>590</v>
      </c>
      <c r="I757" t="s">
        <v>805</v>
      </c>
      <c r="L757">
        <v>1</v>
      </c>
      <c r="M757">
        <v>210</v>
      </c>
      <c r="N757">
        <v>-1</v>
      </c>
      <c r="O757">
        <v>-210</v>
      </c>
      <c r="Z757" s="3">
        <f t="shared" si="11"/>
        <v>210</v>
      </c>
    </row>
    <row r="758" spans="1:26" hidden="1">
      <c r="A758" t="s">
        <v>706</v>
      </c>
      <c r="B758" s="6">
        <v>44287</v>
      </c>
      <c r="C758" s="6">
        <v>44651</v>
      </c>
      <c r="D758">
        <v>20210401</v>
      </c>
      <c r="E758">
        <v>20220331</v>
      </c>
      <c r="F758" t="s">
        <v>2300</v>
      </c>
      <c r="G758" t="s">
        <v>2301</v>
      </c>
      <c r="H758" t="s">
        <v>590</v>
      </c>
      <c r="I758" t="s">
        <v>805</v>
      </c>
      <c r="L758">
        <v>5</v>
      </c>
      <c r="M758">
        <v>875</v>
      </c>
      <c r="N758">
        <v>-5</v>
      </c>
      <c r="O758">
        <v>-875</v>
      </c>
      <c r="Z758" s="3">
        <f t="shared" si="11"/>
        <v>175</v>
      </c>
    </row>
    <row r="759" spans="1:26" hidden="1">
      <c r="A759" t="s">
        <v>706</v>
      </c>
      <c r="B759" s="6">
        <v>44287</v>
      </c>
      <c r="C759" s="6">
        <v>44651</v>
      </c>
      <c r="D759">
        <v>20210401</v>
      </c>
      <c r="E759">
        <v>20220331</v>
      </c>
      <c r="F759" t="s">
        <v>2302</v>
      </c>
      <c r="G759" t="s">
        <v>2303</v>
      </c>
      <c r="H759" t="s">
        <v>590</v>
      </c>
      <c r="I759" t="s">
        <v>805</v>
      </c>
      <c r="L759">
        <v>5</v>
      </c>
      <c r="M759">
        <v>875</v>
      </c>
      <c r="N759">
        <v>-5</v>
      </c>
      <c r="O759">
        <v>-875</v>
      </c>
      <c r="Z759" s="3">
        <f t="shared" si="11"/>
        <v>175</v>
      </c>
    </row>
    <row r="760" spans="1:26" hidden="1">
      <c r="A760" t="s">
        <v>706</v>
      </c>
      <c r="B760" s="6">
        <v>44287</v>
      </c>
      <c r="C760" s="6">
        <v>44651</v>
      </c>
      <c r="D760">
        <v>20210401</v>
      </c>
      <c r="E760">
        <v>20220331</v>
      </c>
      <c r="F760" t="s">
        <v>2304</v>
      </c>
      <c r="G760" t="s">
        <v>2305</v>
      </c>
      <c r="H760" t="s">
        <v>590</v>
      </c>
      <c r="I760" t="s">
        <v>805</v>
      </c>
      <c r="L760">
        <v>7</v>
      </c>
      <c r="M760">
        <v>17241</v>
      </c>
      <c r="N760">
        <v>-7</v>
      </c>
      <c r="O760">
        <v>-17241</v>
      </c>
      <c r="Z760" s="3">
        <f t="shared" si="11"/>
        <v>2463</v>
      </c>
    </row>
    <row r="761" spans="1:26" hidden="1">
      <c r="A761" t="s">
        <v>706</v>
      </c>
      <c r="B761" s="6">
        <v>44287</v>
      </c>
      <c r="C761" s="6">
        <v>44651</v>
      </c>
      <c r="D761">
        <v>20210401</v>
      </c>
      <c r="E761">
        <v>20220331</v>
      </c>
      <c r="F761" t="s">
        <v>2306</v>
      </c>
      <c r="G761" t="s">
        <v>2307</v>
      </c>
      <c r="H761" t="s">
        <v>590</v>
      </c>
      <c r="I761" t="s">
        <v>805</v>
      </c>
      <c r="K761">
        <v>0.01</v>
      </c>
      <c r="L761">
        <v>30</v>
      </c>
      <c r="M761">
        <v>113979.75</v>
      </c>
      <c r="N761">
        <v>-30</v>
      </c>
      <c r="O761">
        <v>-113979.75</v>
      </c>
      <c r="Y761">
        <v>0.01</v>
      </c>
      <c r="Z761" s="3">
        <f t="shared" si="11"/>
        <v>3799.3249999999998</v>
      </c>
    </row>
    <row r="762" spans="1:26" hidden="1">
      <c r="A762" t="s">
        <v>706</v>
      </c>
      <c r="B762" s="6">
        <v>44287</v>
      </c>
      <c r="C762" s="6">
        <v>44651</v>
      </c>
      <c r="D762">
        <v>20210401</v>
      </c>
      <c r="E762">
        <v>20220331</v>
      </c>
      <c r="F762" t="s">
        <v>2308</v>
      </c>
      <c r="G762" t="s">
        <v>2309</v>
      </c>
      <c r="H762" t="s">
        <v>590</v>
      </c>
      <c r="I762" t="s">
        <v>805</v>
      </c>
      <c r="L762">
        <v>7</v>
      </c>
      <c r="M762">
        <v>6815.2</v>
      </c>
      <c r="N762">
        <v>-7</v>
      </c>
      <c r="O762">
        <v>-6815.2</v>
      </c>
      <c r="Z762" s="3">
        <f t="shared" si="11"/>
        <v>973.6</v>
      </c>
    </row>
    <row r="763" spans="1:26" hidden="1">
      <c r="A763" t="s">
        <v>706</v>
      </c>
      <c r="B763" s="6">
        <v>44287</v>
      </c>
      <c r="C763" s="6">
        <v>44651</v>
      </c>
      <c r="D763">
        <v>20210401</v>
      </c>
      <c r="E763">
        <v>20220331</v>
      </c>
      <c r="F763" t="s">
        <v>2310</v>
      </c>
      <c r="G763" t="s">
        <v>2311</v>
      </c>
      <c r="H763" t="s">
        <v>590</v>
      </c>
      <c r="I763" t="s">
        <v>805</v>
      </c>
      <c r="L763">
        <v>460</v>
      </c>
      <c r="M763">
        <v>115621.5</v>
      </c>
      <c r="N763">
        <v>-460</v>
      </c>
      <c r="O763">
        <v>-115621.5</v>
      </c>
      <c r="Z763" s="3">
        <f t="shared" si="11"/>
        <v>251.35108695652173</v>
      </c>
    </row>
    <row r="764" spans="1:26" hidden="1">
      <c r="A764" t="s">
        <v>706</v>
      </c>
      <c r="B764" s="6">
        <v>44287</v>
      </c>
      <c r="C764" s="6">
        <v>44651</v>
      </c>
      <c r="D764">
        <v>20210401</v>
      </c>
      <c r="E764">
        <v>20220331</v>
      </c>
      <c r="F764" t="s">
        <v>2312</v>
      </c>
      <c r="G764" t="s">
        <v>2313</v>
      </c>
      <c r="H764" t="s">
        <v>590</v>
      </c>
      <c r="I764" t="s">
        <v>805</v>
      </c>
      <c r="L764">
        <v>20</v>
      </c>
      <c r="M764">
        <v>3040</v>
      </c>
      <c r="N764">
        <v>-20</v>
      </c>
      <c r="O764">
        <v>-3040</v>
      </c>
      <c r="Z764" s="3">
        <f t="shared" si="11"/>
        <v>152</v>
      </c>
    </row>
    <row r="765" spans="1:26" hidden="1">
      <c r="A765" t="s">
        <v>706</v>
      </c>
      <c r="B765" s="6">
        <v>44287</v>
      </c>
      <c r="C765" s="6">
        <v>44651</v>
      </c>
      <c r="D765">
        <v>20210401</v>
      </c>
      <c r="E765">
        <v>20220331</v>
      </c>
      <c r="F765" t="s">
        <v>2314</v>
      </c>
      <c r="G765" t="s">
        <v>2315</v>
      </c>
      <c r="H765" t="s">
        <v>590</v>
      </c>
      <c r="I765" t="s">
        <v>805</v>
      </c>
      <c r="L765">
        <v>3</v>
      </c>
      <c r="M765">
        <v>13095.75</v>
      </c>
      <c r="N765">
        <v>-3</v>
      </c>
      <c r="O765">
        <v>-13095.75</v>
      </c>
      <c r="Z765" s="3">
        <f t="shared" si="11"/>
        <v>4365.25</v>
      </c>
    </row>
    <row r="766" spans="1:26" hidden="1">
      <c r="A766" t="s">
        <v>706</v>
      </c>
      <c r="B766" s="6">
        <v>44287</v>
      </c>
      <c r="C766" s="6">
        <v>44651</v>
      </c>
      <c r="D766">
        <v>20210401</v>
      </c>
      <c r="E766">
        <v>20220331</v>
      </c>
      <c r="F766" t="s">
        <v>2316</v>
      </c>
      <c r="G766" t="s">
        <v>2317</v>
      </c>
      <c r="H766" t="s">
        <v>590</v>
      </c>
      <c r="I766" t="s">
        <v>805</v>
      </c>
      <c r="L766">
        <v>80</v>
      </c>
      <c r="M766">
        <v>23600</v>
      </c>
      <c r="N766">
        <v>-80</v>
      </c>
      <c r="O766">
        <v>-23600</v>
      </c>
      <c r="Z766" s="3">
        <f t="shared" si="11"/>
        <v>295</v>
      </c>
    </row>
    <row r="767" spans="1:26" hidden="1">
      <c r="A767" t="s">
        <v>706</v>
      </c>
      <c r="B767" s="6">
        <v>44287</v>
      </c>
      <c r="C767" s="6">
        <v>44651</v>
      </c>
      <c r="D767">
        <v>20210401</v>
      </c>
      <c r="E767">
        <v>20220331</v>
      </c>
      <c r="F767" t="s">
        <v>2318</v>
      </c>
      <c r="G767" t="s">
        <v>2319</v>
      </c>
      <c r="H767" t="s">
        <v>590</v>
      </c>
      <c r="I767" t="s">
        <v>805</v>
      </c>
      <c r="L767">
        <v>103</v>
      </c>
      <c r="M767">
        <v>140011.28</v>
      </c>
      <c r="N767">
        <v>-103</v>
      </c>
      <c r="O767">
        <v>-140011.28</v>
      </c>
      <c r="Z767" s="3">
        <f t="shared" si="11"/>
        <v>1359.3328155339805</v>
      </c>
    </row>
    <row r="768" spans="1:26" hidden="1">
      <c r="A768" t="s">
        <v>706</v>
      </c>
      <c r="B768" s="6">
        <v>44287</v>
      </c>
      <c r="C768" s="6">
        <v>44651</v>
      </c>
      <c r="D768">
        <v>20210401</v>
      </c>
      <c r="E768">
        <v>20220331</v>
      </c>
      <c r="F768" t="s">
        <v>2320</v>
      </c>
      <c r="G768" t="s">
        <v>2321</v>
      </c>
      <c r="H768" t="s">
        <v>590</v>
      </c>
      <c r="I768" t="s">
        <v>805</v>
      </c>
      <c r="L768">
        <v>3</v>
      </c>
      <c r="M768">
        <v>8230.5</v>
      </c>
      <c r="N768">
        <v>-3</v>
      </c>
      <c r="O768">
        <v>-8230.5</v>
      </c>
      <c r="Z768" s="3">
        <f t="shared" si="11"/>
        <v>2743.5</v>
      </c>
    </row>
    <row r="769" spans="1:26" hidden="1">
      <c r="A769" t="s">
        <v>706</v>
      </c>
      <c r="B769" s="6">
        <v>44287</v>
      </c>
      <c r="C769" s="6">
        <v>44651</v>
      </c>
      <c r="D769">
        <v>20210401</v>
      </c>
      <c r="E769">
        <v>20220331</v>
      </c>
      <c r="F769" t="s">
        <v>2322</v>
      </c>
      <c r="G769" t="s">
        <v>2323</v>
      </c>
      <c r="H769" t="s">
        <v>590</v>
      </c>
      <c r="I769" t="s">
        <v>805</v>
      </c>
      <c r="L769">
        <v>11</v>
      </c>
      <c r="M769">
        <v>31808.7</v>
      </c>
      <c r="N769">
        <v>-11</v>
      </c>
      <c r="O769">
        <v>-31808.7</v>
      </c>
      <c r="Z769" s="3">
        <f t="shared" si="11"/>
        <v>2891.7000000000003</v>
      </c>
    </row>
    <row r="770" spans="1:26" hidden="1">
      <c r="A770" t="s">
        <v>706</v>
      </c>
      <c r="B770" s="6">
        <v>44287</v>
      </c>
      <c r="C770" s="6">
        <v>44651</v>
      </c>
      <c r="D770">
        <v>20210401</v>
      </c>
      <c r="E770">
        <v>20220331</v>
      </c>
      <c r="F770" t="s">
        <v>2324</v>
      </c>
      <c r="G770" t="s">
        <v>2325</v>
      </c>
      <c r="H770" t="s">
        <v>590</v>
      </c>
      <c r="I770" t="s">
        <v>805</v>
      </c>
      <c r="L770">
        <v>13</v>
      </c>
      <c r="M770">
        <v>73112</v>
      </c>
      <c r="N770">
        <v>-13</v>
      </c>
      <c r="O770">
        <v>-73112</v>
      </c>
      <c r="Z770" s="3">
        <f t="shared" si="11"/>
        <v>5624</v>
      </c>
    </row>
    <row r="771" spans="1:26" hidden="1">
      <c r="A771" t="s">
        <v>706</v>
      </c>
      <c r="B771" s="6">
        <v>44287</v>
      </c>
      <c r="C771" s="6">
        <v>44651</v>
      </c>
      <c r="D771">
        <v>20210401</v>
      </c>
      <c r="E771">
        <v>20220331</v>
      </c>
      <c r="F771" t="s">
        <v>2326</v>
      </c>
      <c r="G771" t="s">
        <v>2327</v>
      </c>
      <c r="H771" t="s">
        <v>590</v>
      </c>
      <c r="I771" t="s">
        <v>805</v>
      </c>
      <c r="L771">
        <v>8</v>
      </c>
      <c r="M771">
        <v>32640</v>
      </c>
      <c r="N771">
        <v>-8</v>
      </c>
      <c r="O771">
        <v>-32640</v>
      </c>
      <c r="Z771" s="3">
        <f t="shared" ref="Z771:Z834" si="12">IFERROR((O771+Q771)/(N771+P771),Y771/X771)</f>
        <v>4080</v>
      </c>
    </row>
    <row r="772" spans="1:26" hidden="1">
      <c r="A772" t="s">
        <v>706</v>
      </c>
      <c r="B772" s="6">
        <v>44287</v>
      </c>
      <c r="C772" s="6">
        <v>44651</v>
      </c>
      <c r="D772">
        <v>20210401</v>
      </c>
      <c r="E772">
        <v>20220331</v>
      </c>
      <c r="F772" t="s">
        <v>2328</v>
      </c>
      <c r="G772" t="s">
        <v>2329</v>
      </c>
      <c r="H772" t="s">
        <v>590</v>
      </c>
      <c r="I772" t="s">
        <v>805</v>
      </c>
      <c r="L772">
        <v>10</v>
      </c>
      <c r="M772">
        <v>47850</v>
      </c>
      <c r="N772">
        <v>-10</v>
      </c>
      <c r="O772">
        <v>-47850</v>
      </c>
      <c r="Z772" s="3">
        <f t="shared" si="12"/>
        <v>4785</v>
      </c>
    </row>
    <row r="773" spans="1:26" hidden="1">
      <c r="A773" t="s">
        <v>706</v>
      </c>
      <c r="B773" s="6">
        <v>44287</v>
      </c>
      <c r="C773" s="6">
        <v>44651</v>
      </c>
      <c r="D773">
        <v>20210401</v>
      </c>
      <c r="E773">
        <v>20220331</v>
      </c>
      <c r="F773" t="s">
        <v>2330</v>
      </c>
      <c r="G773" t="s">
        <v>2331</v>
      </c>
      <c r="H773" t="s">
        <v>590</v>
      </c>
      <c r="I773" t="s">
        <v>805</v>
      </c>
      <c r="L773">
        <v>10</v>
      </c>
      <c r="M773">
        <v>10320</v>
      </c>
      <c r="N773">
        <v>-10</v>
      </c>
      <c r="O773">
        <v>-10320</v>
      </c>
      <c r="Z773" s="3">
        <f t="shared" si="12"/>
        <v>1032</v>
      </c>
    </row>
    <row r="774" spans="1:26" hidden="1">
      <c r="A774" t="s">
        <v>706</v>
      </c>
      <c r="B774" s="6">
        <v>44287</v>
      </c>
      <c r="C774" s="6">
        <v>44651</v>
      </c>
      <c r="D774">
        <v>20210401</v>
      </c>
      <c r="E774">
        <v>20220331</v>
      </c>
      <c r="F774" t="s">
        <v>2332</v>
      </c>
      <c r="G774" t="s">
        <v>2333</v>
      </c>
      <c r="H774" t="s">
        <v>590</v>
      </c>
      <c r="I774" t="s">
        <v>805</v>
      </c>
      <c r="K774">
        <v>0.01</v>
      </c>
      <c r="L774">
        <v>2</v>
      </c>
      <c r="M774">
        <v>11440</v>
      </c>
      <c r="N774">
        <v>-2</v>
      </c>
      <c r="O774">
        <v>-11440</v>
      </c>
      <c r="Y774">
        <v>0.01</v>
      </c>
      <c r="Z774" s="3">
        <f t="shared" si="12"/>
        <v>5720</v>
      </c>
    </row>
    <row r="775" spans="1:26" hidden="1">
      <c r="A775" t="s">
        <v>706</v>
      </c>
      <c r="B775" s="6">
        <v>44287</v>
      </c>
      <c r="C775" s="6">
        <v>44651</v>
      </c>
      <c r="D775">
        <v>20210401</v>
      </c>
      <c r="E775">
        <v>20220331</v>
      </c>
      <c r="F775" t="s">
        <v>2334</v>
      </c>
      <c r="G775" t="s">
        <v>2335</v>
      </c>
      <c r="H775" t="s">
        <v>590</v>
      </c>
      <c r="I775" t="s">
        <v>805</v>
      </c>
      <c r="L775">
        <v>5</v>
      </c>
      <c r="M775">
        <v>92749.5</v>
      </c>
      <c r="N775">
        <v>-5</v>
      </c>
      <c r="O775">
        <v>-92749.5</v>
      </c>
      <c r="Z775" s="3">
        <f t="shared" si="12"/>
        <v>18549.900000000001</v>
      </c>
    </row>
    <row r="776" spans="1:26" hidden="1">
      <c r="A776" t="s">
        <v>706</v>
      </c>
      <c r="B776" s="6">
        <v>44287</v>
      </c>
      <c r="C776" s="6">
        <v>44651</v>
      </c>
      <c r="D776">
        <v>20210401</v>
      </c>
      <c r="E776">
        <v>20220331</v>
      </c>
      <c r="F776" t="s">
        <v>2336</v>
      </c>
      <c r="G776" t="s">
        <v>2337</v>
      </c>
      <c r="H776" t="s">
        <v>590</v>
      </c>
      <c r="I776" t="s">
        <v>805</v>
      </c>
      <c r="L776">
        <v>710</v>
      </c>
      <c r="M776">
        <v>183706.8</v>
      </c>
      <c r="N776">
        <v>-710</v>
      </c>
      <c r="O776">
        <v>-183706.8</v>
      </c>
      <c r="Z776" s="3">
        <f t="shared" si="12"/>
        <v>258.7419718309859</v>
      </c>
    </row>
    <row r="777" spans="1:26" hidden="1">
      <c r="A777" t="s">
        <v>706</v>
      </c>
      <c r="B777" s="6">
        <v>44287</v>
      </c>
      <c r="C777" s="6">
        <v>44651</v>
      </c>
      <c r="D777">
        <v>20210401</v>
      </c>
      <c r="E777">
        <v>20220331</v>
      </c>
      <c r="F777" t="s">
        <v>2338</v>
      </c>
      <c r="G777" t="s">
        <v>2339</v>
      </c>
      <c r="H777" t="s">
        <v>590</v>
      </c>
      <c r="I777" t="s">
        <v>1462</v>
      </c>
      <c r="L777">
        <v>41</v>
      </c>
      <c r="M777">
        <v>36266.800000000003</v>
      </c>
      <c r="N777">
        <v>-41</v>
      </c>
      <c r="O777">
        <v>-36266.800000000003</v>
      </c>
      <c r="Z777" s="3">
        <f t="shared" si="12"/>
        <v>884.55609756097567</v>
      </c>
    </row>
    <row r="778" spans="1:26" hidden="1">
      <c r="A778" t="s">
        <v>706</v>
      </c>
      <c r="B778" s="6">
        <v>44287</v>
      </c>
      <c r="C778" s="6">
        <v>44651</v>
      </c>
      <c r="D778">
        <v>20210401</v>
      </c>
      <c r="E778">
        <v>20220331</v>
      </c>
      <c r="F778" t="s">
        <v>2340</v>
      </c>
      <c r="G778" t="s">
        <v>2341</v>
      </c>
      <c r="H778" t="s">
        <v>590</v>
      </c>
      <c r="I778" t="s">
        <v>1462</v>
      </c>
      <c r="L778">
        <v>10</v>
      </c>
      <c r="M778">
        <v>5750</v>
      </c>
      <c r="N778">
        <v>-10</v>
      </c>
      <c r="O778">
        <v>-5750</v>
      </c>
      <c r="Z778" s="3">
        <f t="shared" si="12"/>
        <v>575</v>
      </c>
    </row>
    <row r="779" spans="1:26" hidden="1">
      <c r="A779" t="s">
        <v>706</v>
      </c>
      <c r="B779" s="6">
        <v>44287</v>
      </c>
      <c r="C779" s="6">
        <v>44651</v>
      </c>
      <c r="D779">
        <v>20210401</v>
      </c>
      <c r="E779">
        <v>20220331</v>
      </c>
      <c r="F779" t="s">
        <v>2342</v>
      </c>
      <c r="G779" t="s">
        <v>2343</v>
      </c>
      <c r="H779" t="s">
        <v>590</v>
      </c>
      <c r="I779" t="s">
        <v>805</v>
      </c>
      <c r="L779">
        <v>280</v>
      </c>
      <c r="M779">
        <v>287000</v>
      </c>
      <c r="N779">
        <v>-280</v>
      </c>
      <c r="O779">
        <v>-287000</v>
      </c>
      <c r="Z779" s="3">
        <f t="shared" si="12"/>
        <v>1025</v>
      </c>
    </row>
    <row r="780" spans="1:26" hidden="1">
      <c r="A780" t="s">
        <v>706</v>
      </c>
      <c r="B780" s="6">
        <v>44287</v>
      </c>
      <c r="C780" s="6">
        <v>44651</v>
      </c>
      <c r="D780">
        <v>20210401</v>
      </c>
      <c r="E780">
        <v>20220331</v>
      </c>
      <c r="F780" t="s">
        <v>2344</v>
      </c>
      <c r="G780" t="s">
        <v>2345</v>
      </c>
      <c r="H780" t="s">
        <v>590</v>
      </c>
      <c r="I780" t="s">
        <v>805</v>
      </c>
      <c r="L780">
        <v>6</v>
      </c>
      <c r="M780">
        <v>8418</v>
      </c>
      <c r="N780">
        <v>-6</v>
      </c>
      <c r="O780">
        <v>-8418</v>
      </c>
      <c r="Z780" s="3">
        <f t="shared" si="12"/>
        <v>1403</v>
      </c>
    </row>
    <row r="781" spans="1:26" hidden="1">
      <c r="A781" t="s">
        <v>706</v>
      </c>
      <c r="B781" s="6">
        <v>44287</v>
      </c>
      <c r="C781" s="6">
        <v>44651</v>
      </c>
      <c r="D781">
        <v>20210401</v>
      </c>
      <c r="E781">
        <v>20220331</v>
      </c>
      <c r="F781" t="s">
        <v>2346</v>
      </c>
      <c r="G781" t="s">
        <v>2347</v>
      </c>
      <c r="H781" t="s">
        <v>590</v>
      </c>
      <c r="I781" t="s">
        <v>805</v>
      </c>
      <c r="L781">
        <v>43</v>
      </c>
      <c r="M781">
        <v>51108</v>
      </c>
      <c r="N781">
        <v>-43</v>
      </c>
      <c r="O781">
        <v>-51108</v>
      </c>
      <c r="Z781" s="3">
        <f t="shared" si="12"/>
        <v>1188.5581395348838</v>
      </c>
    </row>
    <row r="782" spans="1:26" hidden="1">
      <c r="A782" t="s">
        <v>706</v>
      </c>
      <c r="B782" s="6">
        <v>44287</v>
      </c>
      <c r="C782" s="6">
        <v>44651</v>
      </c>
      <c r="D782">
        <v>20210401</v>
      </c>
      <c r="E782">
        <v>20220331</v>
      </c>
      <c r="F782" t="s">
        <v>2348</v>
      </c>
      <c r="G782" t="s">
        <v>2349</v>
      </c>
      <c r="H782" t="s">
        <v>590</v>
      </c>
      <c r="I782" t="s">
        <v>805</v>
      </c>
      <c r="L782">
        <v>14</v>
      </c>
      <c r="M782">
        <v>11052</v>
      </c>
      <c r="N782">
        <v>-14</v>
      </c>
      <c r="O782">
        <v>-11052</v>
      </c>
      <c r="Z782" s="3">
        <f t="shared" si="12"/>
        <v>789.42857142857144</v>
      </c>
    </row>
    <row r="783" spans="1:26" hidden="1">
      <c r="A783" t="s">
        <v>706</v>
      </c>
      <c r="B783" s="6">
        <v>44287</v>
      </c>
      <c r="C783" s="6">
        <v>44651</v>
      </c>
      <c r="D783">
        <v>20210401</v>
      </c>
      <c r="E783">
        <v>20220331</v>
      </c>
      <c r="F783" t="s">
        <v>2350</v>
      </c>
      <c r="G783" t="s">
        <v>2351</v>
      </c>
      <c r="H783" t="s">
        <v>590</v>
      </c>
      <c r="I783" t="s">
        <v>805</v>
      </c>
      <c r="L783">
        <v>2</v>
      </c>
      <c r="M783">
        <v>2232</v>
      </c>
      <c r="N783">
        <v>-2</v>
      </c>
      <c r="O783">
        <v>-2232</v>
      </c>
      <c r="Z783" s="3">
        <f t="shared" si="12"/>
        <v>1116</v>
      </c>
    </row>
    <row r="784" spans="1:26" hidden="1">
      <c r="A784" t="s">
        <v>706</v>
      </c>
      <c r="B784" s="6">
        <v>44287</v>
      </c>
      <c r="C784" s="6">
        <v>44651</v>
      </c>
      <c r="D784">
        <v>20210401</v>
      </c>
      <c r="E784">
        <v>20220331</v>
      </c>
      <c r="F784" t="s">
        <v>2352</v>
      </c>
      <c r="G784" t="s">
        <v>2353</v>
      </c>
      <c r="H784" t="s">
        <v>590</v>
      </c>
      <c r="I784" t="s">
        <v>805</v>
      </c>
      <c r="L784">
        <v>4</v>
      </c>
      <c r="M784">
        <v>6887</v>
      </c>
      <c r="N784">
        <v>-4</v>
      </c>
      <c r="O784">
        <v>-6887</v>
      </c>
      <c r="Z784" s="3">
        <f t="shared" si="12"/>
        <v>1721.75</v>
      </c>
    </row>
    <row r="785" spans="1:26" hidden="1">
      <c r="A785" t="s">
        <v>706</v>
      </c>
      <c r="B785" s="6">
        <v>44287</v>
      </c>
      <c r="C785" s="6">
        <v>44651</v>
      </c>
      <c r="D785">
        <v>20210401</v>
      </c>
      <c r="E785">
        <v>20220331</v>
      </c>
      <c r="F785" t="s">
        <v>2354</v>
      </c>
      <c r="G785" t="s">
        <v>2355</v>
      </c>
      <c r="H785" t="s">
        <v>590</v>
      </c>
      <c r="I785" t="s">
        <v>805</v>
      </c>
      <c r="L785">
        <v>2</v>
      </c>
      <c r="M785">
        <v>2697</v>
      </c>
      <c r="N785">
        <v>-2</v>
      </c>
      <c r="O785">
        <v>-2697</v>
      </c>
      <c r="Z785" s="3">
        <f t="shared" si="12"/>
        <v>1348.5</v>
      </c>
    </row>
    <row r="786" spans="1:26" hidden="1">
      <c r="A786" t="s">
        <v>706</v>
      </c>
      <c r="B786" s="6">
        <v>44287</v>
      </c>
      <c r="C786" s="6">
        <v>44651</v>
      </c>
      <c r="D786">
        <v>20210401</v>
      </c>
      <c r="E786">
        <v>20220331</v>
      </c>
      <c r="F786" t="s">
        <v>2356</v>
      </c>
      <c r="G786" t="s">
        <v>2357</v>
      </c>
      <c r="H786" t="s">
        <v>590</v>
      </c>
      <c r="I786" t="s">
        <v>805</v>
      </c>
      <c r="L786">
        <v>6</v>
      </c>
      <c r="M786">
        <v>7289.1</v>
      </c>
      <c r="N786">
        <v>-6</v>
      </c>
      <c r="O786">
        <v>-7289.1</v>
      </c>
      <c r="Z786" s="3">
        <f t="shared" si="12"/>
        <v>1214.8500000000001</v>
      </c>
    </row>
    <row r="787" spans="1:26" hidden="1">
      <c r="A787" t="s">
        <v>706</v>
      </c>
      <c r="B787" s="6">
        <v>44287</v>
      </c>
      <c r="C787" s="6">
        <v>44651</v>
      </c>
      <c r="D787">
        <v>20210401</v>
      </c>
      <c r="E787">
        <v>20220331</v>
      </c>
      <c r="F787" t="s">
        <v>2358</v>
      </c>
      <c r="G787" t="s">
        <v>2359</v>
      </c>
      <c r="H787" t="s">
        <v>590</v>
      </c>
      <c r="I787" t="s">
        <v>805</v>
      </c>
      <c r="L787">
        <v>90</v>
      </c>
      <c r="M787">
        <v>20610</v>
      </c>
      <c r="N787">
        <v>-90</v>
      </c>
      <c r="O787">
        <v>-20610</v>
      </c>
      <c r="Z787" s="3">
        <f t="shared" si="12"/>
        <v>229</v>
      </c>
    </row>
    <row r="788" spans="1:26" hidden="1">
      <c r="A788" t="s">
        <v>706</v>
      </c>
      <c r="B788" s="6">
        <v>44287</v>
      </c>
      <c r="C788" s="6">
        <v>44651</v>
      </c>
      <c r="D788">
        <v>20210401</v>
      </c>
      <c r="E788">
        <v>20220331</v>
      </c>
      <c r="F788" t="s">
        <v>2360</v>
      </c>
      <c r="G788" t="s">
        <v>2361</v>
      </c>
      <c r="H788" t="s">
        <v>590</v>
      </c>
      <c r="I788" t="s">
        <v>805</v>
      </c>
      <c r="L788">
        <v>3</v>
      </c>
      <c r="M788">
        <v>9000</v>
      </c>
      <c r="N788">
        <v>-3</v>
      </c>
      <c r="O788">
        <v>-9000</v>
      </c>
      <c r="Z788" s="3">
        <f t="shared" si="12"/>
        <v>3000</v>
      </c>
    </row>
    <row r="789" spans="1:26" hidden="1">
      <c r="A789" t="s">
        <v>706</v>
      </c>
      <c r="B789" s="6">
        <v>44287</v>
      </c>
      <c r="C789" s="6">
        <v>44651</v>
      </c>
      <c r="D789">
        <v>20210401</v>
      </c>
      <c r="E789">
        <v>20220331</v>
      </c>
      <c r="F789" t="s">
        <v>2362</v>
      </c>
      <c r="G789" t="s">
        <v>2363</v>
      </c>
      <c r="H789" t="s">
        <v>590</v>
      </c>
      <c r="I789" t="s">
        <v>805</v>
      </c>
      <c r="L789">
        <v>2</v>
      </c>
      <c r="M789">
        <v>1170</v>
      </c>
      <c r="N789">
        <v>-2</v>
      </c>
      <c r="O789">
        <v>-1170</v>
      </c>
      <c r="Z789" s="3">
        <f t="shared" si="12"/>
        <v>585</v>
      </c>
    </row>
    <row r="790" spans="1:26" hidden="1">
      <c r="A790" t="s">
        <v>706</v>
      </c>
      <c r="B790" s="6">
        <v>44287</v>
      </c>
      <c r="C790" s="6">
        <v>44651</v>
      </c>
      <c r="D790">
        <v>20210401</v>
      </c>
      <c r="E790">
        <v>20220331</v>
      </c>
      <c r="F790" t="s">
        <v>2364</v>
      </c>
      <c r="G790" t="s">
        <v>2365</v>
      </c>
      <c r="H790" t="s">
        <v>590</v>
      </c>
      <c r="I790" t="s">
        <v>805</v>
      </c>
      <c r="L790">
        <v>180</v>
      </c>
      <c r="M790">
        <v>40500</v>
      </c>
      <c r="N790">
        <v>-180</v>
      </c>
      <c r="O790">
        <v>-40500</v>
      </c>
      <c r="Z790" s="3">
        <f t="shared" si="12"/>
        <v>225</v>
      </c>
    </row>
    <row r="791" spans="1:26" hidden="1">
      <c r="A791" t="s">
        <v>706</v>
      </c>
      <c r="B791" s="6">
        <v>44287</v>
      </c>
      <c r="C791" s="6">
        <v>44651</v>
      </c>
      <c r="D791">
        <v>20210401</v>
      </c>
      <c r="E791">
        <v>20220331</v>
      </c>
      <c r="F791" t="s">
        <v>2366</v>
      </c>
      <c r="G791" t="s">
        <v>2367</v>
      </c>
      <c r="H791" t="s">
        <v>590</v>
      </c>
      <c r="I791" t="s">
        <v>805</v>
      </c>
      <c r="L791">
        <v>20</v>
      </c>
      <c r="M791">
        <v>4960</v>
      </c>
      <c r="N791">
        <v>-20</v>
      </c>
      <c r="O791">
        <v>-4960</v>
      </c>
      <c r="Z791" s="3">
        <f t="shared" si="12"/>
        <v>248</v>
      </c>
    </row>
    <row r="792" spans="1:26" hidden="1">
      <c r="A792" t="s">
        <v>706</v>
      </c>
      <c r="B792" s="6">
        <v>44287</v>
      </c>
      <c r="C792" s="6">
        <v>44651</v>
      </c>
      <c r="D792">
        <v>20210401</v>
      </c>
      <c r="E792">
        <v>20220331</v>
      </c>
      <c r="F792" t="s">
        <v>2368</v>
      </c>
      <c r="G792" t="s">
        <v>2369</v>
      </c>
      <c r="H792" t="s">
        <v>590</v>
      </c>
      <c r="I792" t="s">
        <v>805</v>
      </c>
      <c r="L792">
        <v>100</v>
      </c>
      <c r="M792">
        <v>28000</v>
      </c>
      <c r="N792">
        <v>-100</v>
      </c>
      <c r="O792">
        <v>-28000</v>
      </c>
      <c r="Z792" s="3">
        <f t="shared" si="12"/>
        <v>280</v>
      </c>
    </row>
    <row r="793" spans="1:26" hidden="1">
      <c r="A793" t="s">
        <v>706</v>
      </c>
      <c r="B793" s="6">
        <v>44287</v>
      </c>
      <c r="C793" s="6">
        <v>44651</v>
      </c>
      <c r="D793">
        <v>20210401</v>
      </c>
      <c r="E793">
        <v>20220331</v>
      </c>
      <c r="F793" t="s">
        <v>2370</v>
      </c>
      <c r="G793" t="s">
        <v>2371</v>
      </c>
      <c r="H793" t="s">
        <v>590</v>
      </c>
      <c r="I793" t="s">
        <v>805</v>
      </c>
      <c r="L793">
        <v>210</v>
      </c>
      <c r="M793">
        <v>54379.199999999997</v>
      </c>
      <c r="N793">
        <v>-210</v>
      </c>
      <c r="O793">
        <v>-54379.199999999997</v>
      </c>
      <c r="Z793" s="3">
        <f t="shared" si="12"/>
        <v>258.94857142857143</v>
      </c>
    </row>
    <row r="794" spans="1:26" hidden="1">
      <c r="A794" t="s">
        <v>706</v>
      </c>
      <c r="B794" s="6">
        <v>44287</v>
      </c>
      <c r="C794" s="6">
        <v>44651</v>
      </c>
      <c r="D794">
        <v>20210401</v>
      </c>
      <c r="E794">
        <v>20220331</v>
      </c>
      <c r="F794" t="s">
        <v>2372</v>
      </c>
      <c r="G794" t="s">
        <v>2373</v>
      </c>
      <c r="H794" t="s">
        <v>590</v>
      </c>
      <c r="I794" t="s">
        <v>805</v>
      </c>
      <c r="L794">
        <v>6</v>
      </c>
      <c r="M794">
        <v>41040</v>
      </c>
      <c r="N794">
        <v>-6</v>
      </c>
      <c r="O794">
        <v>-41040</v>
      </c>
      <c r="Z794" s="3">
        <f t="shared" si="12"/>
        <v>6840</v>
      </c>
    </row>
    <row r="795" spans="1:26" hidden="1">
      <c r="A795" t="s">
        <v>706</v>
      </c>
      <c r="B795" s="6">
        <v>44287</v>
      </c>
      <c r="C795" s="6">
        <v>44651</v>
      </c>
      <c r="D795">
        <v>20210401</v>
      </c>
      <c r="E795">
        <v>20220331</v>
      </c>
      <c r="F795" t="s">
        <v>2374</v>
      </c>
      <c r="G795" t="s">
        <v>2375</v>
      </c>
      <c r="H795" t="s">
        <v>590</v>
      </c>
      <c r="I795" t="s">
        <v>805</v>
      </c>
      <c r="L795">
        <v>3</v>
      </c>
      <c r="M795">
        <v>7389</v>
      </c>
      <c r="N795">
        <v>-3</v>
      </c>
      <c r="O795">
        <v>-7389</v>
      </c>
      <c r="Z795" s="3">
        <f t="shared" si="12"/>
        <v>2463</v>
      </c>
    </row>
    <row r="796" spans="1:26" hidden="1">
      <c r="A796" t="s">
        <v>706</v>
      </c>
      <c r="B796" s="6">
        <v>44287</v>
      </c>
      <c r="C796" s="6">
        <v>44651</v>
      </c>
      <c r="D796">
        <v>20210401</v>
      </c>
      <c r="E796">
        <v>20220331</v>
      </c>
      <c r="F796" t="s">
        <v>2376</v>
      </c>
      <c r="G796" t="s">
        <v>2377</v>
      </c>
      <c r="H796" t="s">
        <v>590</v>
      </c>
      <c r="I796" t="s">
        <v>805</v>
      </c>
      <c r="L796">
        <v>2</v>
      </c>
      <c r="M796">
        <v>11300</v>
      </c>
      <c r="N796">
        <v>-2</v>
      </c>
      <c r="O796">
        <v>-11300</v>
      </c>
      <c r="Z796" s="3">
        <f t="shared" si="12"/>
        <v>5650</v>
      </c>
    </row>
    <row r="797" spans="1:26" hidden="1">
      <c r="A797" t="s">
        <v>706</v>
      </c>
      <c r="B797" s="6">
        <v>44287</v>
      </c>
      <c r="C797" s="6">
        <v>44651</v>
      </c>
      <c r="D797">
        <v>20210401</v>
      </c>
      <c r="E797">
        <v>20220331</v>
      </c>
      <c r="F797" t="s">
        <v>2378</v>
      </c>
      <c r="G797" t="s">
        <v>2379</v>
      </c>
      <c r="H797" t="s">
        <v>590</v>
      </c>
      <c r="I797" t="s">
        <v>805</v>
      </c>
      <c r="L797">
        <v>1</v>
      </c>
      <c r="M797">
        <v>3690</v>
      </c>
      <c r="N797">
        <v>-1</v>
      </c>
      <c r="O797">
        <v>-3690</v>
      </c>
      <c r="Z797" s="3">
        <f t="shared" si="12"/>
        <v>3690</v>
      </c>
    </row>
    <row r="798" spans="1:26" hidden="1">
      <c r="A798" t="s">
        <v>706</v>
      </c>
      <c r="B798" s="6">
        <v>44287</v>
      </c>
      <c r="C798" s="6">
        <v>44651</v>
      </c>
      <c r="D798">
        <v>20210401</v>
      </c>
      <c r="E798">
        <v>20220331</v>
      </c>
      <c r="F798" t="s">
        <v>2380</v>
      </c>
      <c r="G798" t="s">
        <v>2381</v>
      </c>
      <c r="H798" t="s">
        <v>590</v>
      </c>
      <c r="I798" t="s">
        <v>805</v>
      </c>
      <c r="L798">
        <v>10</v>
      </c>
      <c r="M798">
        <v>1572.5</v>
      </c>
      <c r="N798">
        <v>-10</v>
      </c>
      <c r="O798">
        <v>-1572.5</v>
      </c>
      <c r="Z798" s="3">
        <f t="shared" si="12"/>
        <v>157.25</v>
      </c>
    </row>
    <row r="799" spans="1:26" hidden="1">
      <c r="A799" t="s">
        <v>706</v>
      </c>
      <c r="B799" s="6">
        <v>44287</v>
      </c>
      <c r="C799" s="6">
        <v>44651</v>
      </c>
      <c r="D799">
        <v>20210401</v>
      </c>
      <c r="E799">
        <v>20220331</v>
      </c>
      <c r="F799" t="s">
        <v>2382</v>
      </c>
      <c r="G799" t="s">
        <v>2383</v>
      </c>
      <c r="H799" t="s">
        <v>590</v>
      </c>
      <c r="I799" t="s">
        <v>805</v>
      </c>
      <c r="L799">
        <v>50</v>
      </c>
      <c r="M799">
        <v>6613</v>
      </c>
      <c r="N799">
        <v>-50</v>
      </c>
      <c r="O799">
        <v>-6613</v>
      </c>
      <c r="Z799" s="3">
        <f t="shared" si="12"/>
        <v>132.26</v>
      </c>
    </row>
    <row r="800" spans="1:26" hidden="1">
      <c r="A800" t="s">
        <v>706</v>
      </c>
      <c r="B800" s="6">
        <v>44287</v>
      </c>
      <c r="C800" s="6">
        <v>44651</v>
      </c>
      <c r="D800">
        <v>20210401</v>
      </c>
      <c r="E800">
        <v>20220331</v>
      </c>
      <c r="F800" t="s">
        <v>2384</v>
      </c>
      <c r="G800" t="s">
        <v>2385</v>
      </c>
      <c r="H800" t="s">
        <v>590</v>
      </c>
      <c r="I800" t="s">
        <v>805</v>
      </c>
      <c r="L800">
        <v>68</v>
      </c>
      <c r="M800">
        <v>6460</v>
      </c>
      <c r="N800">
        <v>-68</v>
      </c>
      <c r="O800">
        <v>-6460</v>
      </c>
      <c r="Z800" s="3">
        <f t="shared" si="12"/>
        <v>95</v>
      </c>
    </row>
    <row r="801" spans="1:26" hidden="1">
      <c r="A801" t="s">
        <v>706</v>
      </c>
      <c r="B801" s="6">
        <v>44287</v>
      </c>
      <c r="C801" s="6">
        <v>44651</v>
      </c>
      <c r="D801">
        <v>20210401</v>
      </c>
      <c r="E801">
        <v>20220331</v>
      </c>
      <c r="F801" t="s">
        <v>2386</v>
      </c>
      <c r="G801" t="s">
        <v>2387</v>
      </c>
      <c r="H801" t="s">
        <v>590</v>
      </c>
      <c r="I801" t="s">
        <v>805</v>
      </c>
      <c r="L801">
        <v>30</v>
      </c>
      <c r="M801">
        <v>2850</v>
      </c>
      <c r="N801">
        <v>-30</v>
      </c>
      <c r="O801">
        <v>-2850</v>
      </c>
      <c r="Z801" s="3">
        <f t="shared" si="12"/>
        <v>95</v>
      </c>
    </row>
    <row r="802" spans="1:26" hidden="1">
      <c r="A802" t="s">
        <v>706</v>
      </c>
      <c r="B802" s="6">
        <v>44287</v>
      </c>
      <c r="C802" s="6">
        <v>44651</v>
      </c>
      <c r="D802">
        <v>20210401</v>
      </c>
      <c r="E802">
        <v>20220331</v>
      </c>
      <c r="F802" t="s">
        <v>2388</v>
      </c>
      <c r="G802" t="s">
        <v>2389</v>
      </c>
      <c r="H802" t="s">
        <v>590</v>
      </c>
      <c r="I802" t="s">
        <v>805</v>
      </c>
      <c r="L802">
        <v>4</v>
      </c>
      <c r="M802">
        <v>15200</v>
      </c>
      <c r="N802">
        <v>-4</v>
      </c>
      <c r="O802">
        <v>-15200</v>
      </c>
      <c r="Z802" s="3">
        <f t="shared" si="12"/>
        <v>3800</v>
      </c>
    </row>
    <row r="803" spans="1:26" hidden="1">
      <c r="A803" t="s">
        <v>706</v>
      </c>
      <c r="B803" s="6">
        <v>44287</v>
      </c>
      <c r="C803" s="6">
        <v>44651</v>
      </c>
      <c r="D803">
        <v>20210401</v>
      </c>
      <c r="E803">
        <v>20220331</v>
      </c>
      <c r="F803" t="s">
        <v>2390</v>
      </c>
      <c r="G803" t="s">
        <v>2391</v>
      </c>
      <c r="H803" t="s">
        <v>590</v>
      </c>
      <c r="I803" t="s">
        <v>805</v>
      </c>
      <c r="L803">
        <v>15</v>
      </c>
      <c r="M803">
        <v>1721.25</v>
      </c>
      <c r="N803">
        <v>-15</v>
      </c>
      <c r="O803">
        <v>-1721.25</v>
      </c>
      <c r="Z803" s="3">
        <f t="shared" si="12"/>
        <v>114.75</v>
      </c>
    </row>
    <row r="804" spans="1:26" hidden="1">
      <c r="A804" t="s">
        <v>706</v>
      </c>
      <c r="B804" s="6">
        <v>44287</v>
      </c>
      <c r="C804" s="6">
        <v>44651</v>
      </c>
      <c r="D804">
        <v>20210401</v>
      </c>
      <c r="E804">
        <v>20220331</v>
      </c>
      <c r="F804" t="s">
        <v>2392</v>
      </c>
      <c r="G804" t="s">
        <v>2393</v>
      </c>
      <c r="H804" t="s">
        <v>590</v>
      </c>
      <c r="I804" t="s">
        <v>805</v>
      </c>
      <c r="L804">
        <v>80</v>
      </c>
      <c r="M804">
        <v>104000</v>
      </c>
      <c r="N804">
        <v>-80</v>
      </c>
      <c r="O804">
        <v>-104000</v>
      </c>
      <c r="Z804" s="3">
        <f t="shared" si="12"/>
        <v>1300</v>
      </c>
    </row>
    <row r="805" spans="1:26" hidden="1">
      <c r="A805" t="s">
        <v>706</v>
      </c>
      <c r="B805" s="6">
        <v>44287</v>
      </c>
      <c r="C805" s="6">
        <v>44651</v>
      </c>
      <c r="D805">
        <v>20210401</v>
      </c>
      <c r="E805">
        <v>20220331</v>
      </c>
      <c r="F805" t="s">
        <v>2394</v>
      </c>
      <c r="G805" t="s">
        <v>2395</v>
      </c>
      <c r="H805" t="s">
        <v>590</v>
      </c>
      <c r="I805" t="s">
        <v>805</v>
      </c>
      <c r="L805">
        <v>10</v>
      </c>
      <c r="M805">
        <v>191115</v>
      </c>
      <c r="N805">
        <v>-10</v>
      </c>
      <c r="O805">
        <v>-191115</v>
      </c>
      <c r="Z805" s="3">
        <f t="shared" si="12"/>
        <v>19111.5</v>
      </c>
    </row>
    <row r="806" spans="1:26" hidden="1">
      <c r="A806" t="s">
        <v>706</v>
      </c>
      <c r="B806" s="6">
        <v>44287</v>
      </c>
      <c r="C806" s="6">
        <v>44651</v>
      </c>
      <c r="D806">
        <v>20210401</v>
      </c>
      <c r="E806">
        <v>20220331</v>
      </c>
      <c r="F806" t="s">
        <v>2396</v>
      </c>
      <c r="G806" t="s">
        <v>2397</v>
      </c>
      <c r="H806" t="s">
        <v>590</v>
      </c>
      <c r="I806" t="s">
        <v>805</v>
      </c>
      <c r="L806">
        <v>30</v>
      </c>
      <c r="M806">
        <v>4717.5</v>
      </c>
      <c r="N806">
        <v>-30</v>
      </c>
      <c r="O806">
        <v>-4717.5</v>
      </c>
      <c r="Z806" s="3">
        <f t="shared" si="12"/>
        <v>157.25</v>
      </c>
    </row>
    <row r="807" spans="1:26" hidden="1">
      <c r="A807" t="s">
        <v>706</v>
      </c>
      <c r="B807" s="6">
        <v>44287</v>
      </c>
      <c r="C807" s="6">
        <v>44651</v>
      </c>
      <c r="D807">
        <v>20210401</v>
      </c>
      <c r="E807">
        <v>20220331</v>
      </c>
      <c r="F807" t="s">
        <v>2398</v>
      </c>
      <c r="G807" t="s">
        <v>2399</v>
      </c>
      <c r="H807" t="s">
        <v>590</v>
      </c>
      <c r="I807" t="s">
        <v>805</v>
      </c>
      <c r="L807">
        <v>890</v>
      </c>
      <c r="M807">
        <v>865436</v>
      </c>
      <c r="N807">
        <v>-890</v>
      </c>
      <c r="O807">
        <v>-865436</v>
      </c>
      <c r="Z807" s="3">
        <f t="shared" si="12"/>
        <v>972.4</v>
      </c>
    </row>
    <row r="808" spans="1:26" hidden="1">
      <c r="A808" t="s">
        <v>706</v>
      </c>
      <c r="B808" s="6">
        <v>44287</v>
      </c>
      <c r="C808" s="6">
        <v>44651</v>
      </c>
      <c r="D808">
        <v>20210401</v>
      </c>
      <c r="E808">
        <v>20220331</v>
      </c>
      <c r="F808" t="s">
        <v>2400</v>
      </c>
      <c r="G808" t="s">
        <v>2401</v>
      </c>
      <c r="H808" t="s">
        <v>590</v>
      </c>
      <c r="I808" t="s">
        <v>805</v>
      </c>
      <c r="L808">
        <v>100</v>
      </c>
      <c r="M808">
        <v>97200</v>
      </c>
      <c r="N808">
        <v>-100</v>
      </c>
      <c r="O808">
        <v>-97200</v>
      </c>
      <c r="Z808" s="3">
        <f t="shared" si="12"/>
        <v>972</v>
      </c>
    </row>
    <row r="809" spans="1:26" hidden="1">
      <c r="A809" t="s">
        <v>706</v>
      </c>
      <c r="B809" s="6">
        <v>44287</v>
      </c>
      <c r="C809" s="6">
        <v>44651</v>
      </c>
      <c r="D809">
        <v>20210401</v>
      </c>
      <c r="E809">
        <v>20220331</v>
      </c>
      <c r="F809" t="s">
        <v>2402</v>
      </c>
      <c r="G809" t="s">
        <v>2403</v>
      </c>
      <c r="H809" t="s">
        <v>590</v>
      </c>
      <c r="I809" t="s">
        <v>805</v>
      </c>
      <c r="L809">
        <v>12</v>
      </c>
      <c r="M809">
        <v>178500</v>
      </c>
      <c r="N809">
        <v>-12</v>
      </c>
      <c r="O809">
        <v>-178500</v>
      </c>
      <c r="Z809" s="3">
        <f t="shared" si="12"/>
        <v>14875</v>
      </c>
    </row>
    <row r="810" spans="1:26" hidden="1">
      <c r="A810" t="s">
        <v>706</v>
      </c>
      <c r="B810" s="6">
        <v>44287</v>
      </c>
      <c r="C810" s="6">
        <v>44651</v>
      </c>
      <c r="D810">
        <v>20210401</v>
      </c>
      <c r="E810">
        <v>20220331</v>
      </c>
      <c r="F810" t="s">
        <v>2404</v>
      </c>
      <c r="G810" t="s">
        <v>2405</v>
      </c>
      <c r="H810" t="s">
        <v>590</v>
      </c>
      <c r="I810" t="s">
        <v>1462</v>
      </c>
      <c r="P810">
        <v>3</v>
      </c>
      <c r="Q810">
        <v>15000</v>
      </c>
      <c r="R810">
        <v>-3</v>
      </c>
      <c r="S810">
        <v>-15000</v>
      </c>
      <c r="Z810" s="3">
        <f t="shared" si="12"/>
        <v>5000</v>
      </c>
    </row>
    <row r="811" spans="1:26" hidden="1">
      <c r="A811" t="s">
        <v>706</v>
      </c>
      <c r="B811" s="6">
        <v>44287</v>
      </c>
      <c r="C811" s="6">
        <v>44651</v>
      </c>
      <c r="D811">
        <v>20210401</v>
      </c>
      <c r="E811">
        <v>20220331</v>
      </c>
      <c r="F811" t="s">
        <v>2406</v>
      </c>
      <c r="G811" t="s">
        <v>2407</v>
      </c>
      <c r="H811" t="s">
        <v>590</v>
      </c>
      <c r="I811" t="s">
        <v>1462</v>
      </c>
      <c r="L811">
        <v>8</v>
      </c>
      <c r="M811">
        <v>47360</v>
      </c>
      <c r="N811">
        <v>-8</v>
      </c>
      <c r="O811">
        <v>-47360</v>
      </c>
      <c r="Z811" s="3">
        <f t="shared" si="12"/>
        <v>5920</v>
      </c>
    </row>
    <row r="812" spans="1:26" hidden="1">
      <c r="A812" t="s">
        <v>706</v>
      </c>
      <c r="B812" s="6">
        <v>44287</v>
      </c>
      <c r="C812" s="6">
        <v>44651</v>
      </c>
      <c r="D812">
        <v>20210401</v>
      </c>
      <c r="E812">
        <v>20220331</v>
      </c>
      <c r="F812" t="s">
        <v>2408</v>
      </c>
      <c r="G812" t="s">
        <v>2409</v>
      </c>
      <c r="H812" t="s">
        <v>590</v>
      </c>
      <c r="I812" t="s">
        <v>805</v>
      </c>
      <c r="L812">
        <v>5</v>
      </c>
      <c r="M812">
        <v>3625</v>
      </c>
      <c r="N812">
        <v>-5</v>
      </c>
      <c r="O812">
        <v>-3625</v>
      </c>
      <c r="Z812" s="3">
        <f t="shared" si="12"/>
        <v>725</v>
      </c>
    </row>
    <row r="813" spans="1:26" hidden="1">
      <c r="A813" t="s">
        <v>706</v>
      </c>
      <c r="B813" s="6">
        <v>44287</v>
      </c>
      <c r="C813" s="6">
        <v>44651</v>
      </c>
      <c r="D813">
        <v>20210401</v>
      </c>
      <c r="E813">
        <v>20220331</v>
      </c>
      <c r="F813" t="s">
        <v>2410</v>
      </c>
      <c r="G813" t="s">
        <v>2411</v>
      </c>
      <c r="H813" t="s">
        <v>590</v>
      </c>
      <c r="I813" t="s">
        <v>805</v>
      </c>
      <c r="L813">
        <v>19</v>
      </c>
      <c r="M813">
        <v>10070</v>
      </c>
      <c r="N813">
        <v>-19</v>
      </c>
      <c r="O813">
        <v>-10070</v>
      </c>
      <c r="Z813" s="3">
        <f t="shared" si="12"/>
        <v>530</v>
      </c>
    </row>
    <row r="814" spans="1:26" hidden="1">
      <c r="A814" t="s">
        <v>706</v>
      </c>
      <c r="B814" s="6">
        <v>44287</v>
      </c>
      <c r="C814" s="6">
        <v>44651</v>
      </c>
      <c r="D814">
        <v>20210401</v>
      </c>
      <c r="E814">
        <v>20220331</v>
      </c>
      <c r="F814" t="s">
        <v>2412</v>
      </c>
      <c r="G814" t="s">
        <v>2413</v>
      </c>
      <c r="H814" t="s">
        <v>590</v>
      </c>
      <c r="I814" t="s">
        <v>805</v>
      </c>
      <c r="L814">
        <v>1</v>
      </c>
      <c r="M814">
        <v>12151</v>
      </c>
      <c r="N814">
        <v>-1</v>
      </c>
      <c r="O814">
        <v>-12151</v>
      </c>
      <c r="Z814" s="3">
        <f t="shared" si="12"/>
        <v>12151</v>
      </c>
    </row>
    <row r="815" spans="1:26" hidden="1">
      <c r="A815" t="s">
        <v>706</v>
      </c>
      <c r="B815" s="6">
        <v>44287</v>
      </c>
      <c r="C815" s="6">
        <v>44651</v>
      </c>
      <c r="D815">
        <v>20210401</v>
      </c>
      <c r="E815">
        <v>20220331</v>
      </c>
      <c r="F815" t="s">
        <v>2414</v>
      </c>
      <c r="G815" t="s">
        <v>2415</v>
      </c>
      <c r="H815" t="s">
        <v>590</v>
      </c>
      <c r="I815" t="s">
        <v>805</v>
      </c>
      <c r="L815">
        <v>2</v>
      </c>
      <c r="M815">
        <v>8000</v>
      </c>
      <c r="N815">
        <v>-2</v>
      </c>
      <c r="O815">
        <v>-8000</v>
      </c>
      <c r="Z815" s="3">
        <f t="shared" si="12"/>
        <v>4000</v>
      </c>
    </row>
    <row r="816" spans="1:26" hidden="1">
      <c r="A816" t="s">
        <v>706</v>
      </c>
      <c r="B816" s="6">
        <v>44287</v>
      </c>
      <c r="C816" s="6">
        <v>44651</v>
      </c>
      <c r="D816">
        <v>20210401</v>
      </c>
      <c r="E816">
        <v>20220331</v>
      </c>
      <c r="F816" t="s">
        <v>2416</v>
      </c>
      <c r="G816" t="s">
        <v>2417</v>
      </c>
      <c r="H816" t="s">
        <v>590</v>
      </c>
      <c r="I816" t="s">
        <v>805</v>
      </c>
      <c r="L816">
        <v>5</v>
      </c>
      <c r="M816">
        <v>3250</v>
      </c>
      <c r="N816">
        <v>-5</v>
      </c>
      <c r="O816">
        <v>-3250</v>
      </c>
      <c r="Z816" s="3">
        <f t="shared" si="12"/>
        <v>650</v>
      </c>
    </row>
    <row r="817" spans="1:26" hidden="1">
      <c r="A817" t="s">
        <v>706</v>
      </c>
      <c r="B817" s="6">
        <v>44287</v>
      </c>
      <c r="C817" s="6">
        <v>44651</v>
      </c>
      <c r="D817">
        <v>20210401</v>
      </c>
      <c r="E817">
        <v>20220331</v>
      </c>
      <c r="F817" t="s">
        <v>2418</v>
      </c>
      <c r="G817" t="s">
        <v>2419</v>
      </c>
      <c r="H817" t="s">
        <v>590</v>
      </c>
      <c r="I817" t="s">
        <v>805</v>
      </c>
      <c r="L817">
        <v>40</v>
      </c>
      <c r="M817">
        <v>4250</v>
      </c>
      <c r="N817">
        <v>-40</v>
      </c>
      <c r="O817">
        <v>-4250</v>
      </c>
      <c r="Z817" s="3">
        <f t="shared" si="12"/>
        <v>106.25</v>
      </c>
    </row>
    <row r="818" spans="1:26" hidden="1">
      <c r="A818" t="s">
        <v>706</v>
      </c>
      <c r="B818" s="6">
        <v>44287</v>
      </c>
      <c r="C818" s="6">
        <v>44651</v>
      </c>
      <c r="D818">
        <v>20210401</v>
      </c>
      <c r="E818">
        <v>20220331</v>
      </c>
      <c r="F818" t="s">
        <v>2420</v>
      </c>
      <c r="G818" t="s">
        <v>2421</v>
      </c>
      <c r="H818" t="s">
        <v>590</v>
      </c>
      <c r="I818" t="s">
        <v>805</v>
      </c>
      <c r="L818">
        <v>50</v>
      </c>
      <c r="M818">
        <v>25750</v>
      </c>
      <c r="N818">
        <v>-50</v>
      </c>
      <c r="O818">
        <v>-25750</v>
      </c>
      <c r="Z818" s="3">
        <f t="shared" si="12"/>
        <v>515</v>
      </c>
    </row>
    <row r="819" spans="1:26" hidden="1">
      <c r="A819" t="s">
        <v>706</v>
      </c>
      <c r="B819" s="6">
        <v>44287</v>
      </c>
      <c r="C819" s="6">
        <v>44651</v>
      </c>
      <c r="D819">
        <v>20210401</v>
      </c>
      <c r="E819">
        <v>20220331</v>
      </c>
      <c r="F819" t="s">
        <v>2422</v>
      </c>
      <c r="G819" t="s">
        <v>2423</v>
      </c>
      <c r="H819" t="s">
        <v>590</v>
      </c>
      <c r="I819" t="s">
        <v>805</v>
      </c>
      <c r="L819">
        <v>4</v>
      </c>
      <c r="M819">
        <v>6800</v>
      </c>
      <c r="N819">
        <v>-4</v>
      </c>
      <c r="O819">
        <v>-6800</v>
      </c>
      <c r="Z819" s="3">
        <f t="shared" si="12"/>
        <v>1700</v>
      </c>
    </row>
    <row r="820" spans="1:26" hidden="1">
      <c r="A820" t="s">
        <v>706</v>
      </c>
      <c r="B820" s="6">
        <v>44287</v>
      </c>
      <c r="C820" s="6">
        <v>44651</v>
      </c>
      <c r="D820">
        <v>20210401</v>
      </c>
      <c r="E820">
        <v>20220331</v>
      </c>
      <c r="F820" t="s">
        <v>2424</v>
      </c>
      <c r="G820" t="s">
        <v>2425</v>
      </c>
      <c r="H820" t="s">
        <v>590</v>
      </c>
      <c r="I820" t="s">
        <v>805</v>
      </c>
      <c r="L820">
        <v>2</v>
      </c>
      <c r="M820">
        <v>35200</v>
      </c>
      <c r="N820">
        <v>-2</v>
      </c>
      <c r="O820">
        <v>-35200</v>
      </c>
      <c r="Z820" s="3">
        <f t="shared" si="12"/>
        <v>17600</v>
      </c>
    </row>
    <row r="821" spans="1:26" hidden="1">
      <c r="A821" t="s">
        <v>706</v>
      </c>
      <c r="B821" s="6">
        <v>44287</v>
      </c>
      <c r="C821" s="6">
        <v>44651</v>
      </c>
      <c r="D821">
        <v>20210401</v>
      </c>
      <c r="E821">
        <v>20220331</v>
      </c>
      <c r="F821" t="s">
        <v>2426</v>
      </c>
      <c r="G821" t="s">
        <v>2427</v>
      </c>
      <c r="H821" t="s">
        <v>590</v>
      </c>
      <c r="I821" t="s">
        <v>1462</v>
      </c>
      <c r="L821">
        <v>20</v>
      </c>
      <c r="M821">
        <v>3700</v>
      </c>
      <c r="N821">
        <v>-20</v>
      </c>
      <c r="O821">
        <v>-3700</v>
      </c>
      <c r="Z821" s="3">
        <f t="shared" si="12"/>
        <v>185</v>
      </c>
    </row>
    <row r="822" spans="1:26" hidden="1">
      <c r="A822" t="s">
        <v>706</v>
      </c>
      <c r="B822" s="6">
        <v>44287</v>
      </c>
      <c r="C822" s="6">
        <v>44651</v>
      </c>
      <c r="D822">
        <v>20210401</v>
      </c>
      <c r="E822">
        <v>20220331</v>
      </c>
      <c r="F822" t="s">
        <v>2428</v>
      </c>
      <c r="G822" t="s">
        <v>2429</v>
      </c>
      <c r="H822" t="s">
        <v>590</v>
      </c>
      <c r="I822" t="s">
        <v>1462</v>
      </c>
      <c r="L822">
        <v>20</v>
      </c>
      <c r="M822">
        <v>3300</v>
      </c>
      <c r="N822">
        <v>-20</v>
      </c>
      <c r="O822">
        <v>-3300</v>
      </c>
      <c r="Z822" s="3">
        <f t="shared" si="12"/>
        <v>165</v>
      </c>
    </row>
    <row r="823" spans="1:26" hidden="1">
      <c r="A823" t="s">
        <v>706</v>
      </c>
      <c r="B823" s="6">
        <v>44287</v>
      </c>
      <c r="C823" s="6">
        <v>44651</v>
      </c>
      <c r="D823">
        <v>20210401</v>
      </c>
      <c r="E823">
        <v>20220331</v>
      </c>
      <c r="F823" t="s">
        <v>2430</v>
      </c>
      <c r="G823" t="s">
        <v>2431</v>
      </c>
      <c r="H823" t="s">
        <v>590</v>
      </c>
      <c r="I823" t="s">
        <v>1462</v>
      </c>
      <c r="L823">
        <v>20</v>
      </c>
      <c r="M823">
        <v>6880</v>
      </c>
      <c r="N823">
        <v>-20</v>
      </c>
      <c r="O823">
        <v>-6880</v>
      </c>
      <c r="Z823" s="3">
        <f t="shared" si="12"/>
        <v>344</v>
      </c>
    </row>
    <row r="824" spans="1:26" hidden="1">
      <c r="A824" t="s">
        <v>706</v>
      </c>
      <c r="B824" s="6">
        <v>44287</v>
      </c>
      <c r="C824" s="6">
        <v>44651</v>
      </c>
      <c r="D824">
        <v>20210401</v>
      </c>
      <c r="E824">
        <v>20220331</v>
      </c>
      <c r="F824" t="s">
        <v>2432</v>
      </c>
      <c r="G824" t="s">
        <v>2433</v>
      </c>
      <c r="H824" t="s">
        <v>590</v>
      </c>
      <c r="I824" t="s">
        <v>805</v>
      </c>
      <c r="L824">
        <v>4</v>
      </c>
      <c r="M824">
        <v>51300</v>
      </c>
      <c r="N824">
        <v>-4</v>
      </c>
      <c r="O824">
        <v>-51300</v>
      </c>
      <c r="Z824" s="3">
        <f t="shared" si="12"/>
        <v>12825</v>
      </c>
    </row>
    <row r="825" spans="1:26" hidden="1">
      <c r="A825" t="s">
        <v>706</v>
      </c>
      <c r="B825" s="6">
        <v>44287</v>
      </c>
      <c r="C825" s="6">
        <v>44651</v>
      </c>
      <c r="D825">
        <v>20210401</v>
      </c>
      <c r="E825">
        <v>20220331</v>
      </c>
      <c r="F825" t="s">
        <v>2434</v>
      </c>
      <c r="G825" t="s">
        <v>2435</v>
      </c>
      <c r="H825" t="s">
        <v>590</v>
      </c>
      <c r="I825" t="s">
        <v>805</v>
      </c>
      <c r="L825">
        <v>4</v>
      </c>
      <c r="M825">
        <v>9600</v>
      </c>
      <c r="N825">
        <v>-4</v>
      </c>
      <c r="O825">
        <v>-9600</v>
      </c>
      <c r="Z825" s="3">
        <f t="shared" si="12"/>
        <v>2400</v>
      </c>
    </row>
    <row r="826" spans="1:26" hidden="1">
      <c r="A826" t="s">
        <v>706</v>
      </c>
      <c r="B826" s="6">
        <v>44287</v>
      </c>
      <c r="C826" s="6">
        <v>44651</v>
      </c>
      <c r="D826">
        <v>20210401</v>
      </c>
      <c r="E826">
        <v>20220331</v>
      </c>
      <c r="F826" t="s">
        <v>2436</v>
      </c>
      <c r="G826" t="s">
        <v>2437</v>
      </c>
      <c r="H826" t="s">
        <v>590</v>
      </c>
      <c r="I826" t="s">
        <v>805</v>
      </c>
      <c r="L826">
        <v>10</v>
      </c>
      <c r="M826">
        <v>1062.5</v>
      </c>
      <c r="N826">
        <v>-10</v>
      </c>
      <c r="O826">
        <v>-1062.5</v>
      </c>
      <c r="Z826" s="3">
        <f t="shared" si="12"/>
        <v>106.25</v>
      </c>
    </row>
    <row r="827" spans="1:26" hidden="1">
      <c r="A827" t="s">
        <v>706</v>
      </c>
      <c r="B827" s="6">
        <v>44287</v>
      </c>
      <c r="C827" s="6">
        <v>44651</v>
      </c>
      <c r="D827">
        <v>20210401</v>
      </c>
      <c r="E827">
        <v>20220331</v>
      </c>
      <c r="F827" t="s">
        <v>2438</v>
      </c>
      <c r="G827" t="s">
        <v>2439</v>
      </c>
      <c r="H827" t="s">
        <v>590</v>
      </c>
      <c r="I827" t="s">
        <v>1462</v>
      </c>
      <c r="L827">
        <v>2</v>
      </c>
      <c r="M827">
        <v>7000</v>
      </c>
      <c r="N827">
        <v>-2</v>
      </c>
      <c r="O827">
        <v>-7000</v>
      </c>
      <c r="Z827" s="3">
        <f t="shared" si="12"/>
        <v>3500</v>
      </c>
    </row>
    <row r="828" spans="1:26" hidden="1">
      <c r="A828" t="s">
        <v>706</v>
      </c>
      <c r="B828" s="6">
        <v>44287</v>
      </c>
      <c r="C828" s="6">
        <v>44651</v>
      </c>
      <c r="D828">
        <v>20210401</v>
      </c>
      <c r="E828">
        <v>20220331</v>
      </c>
      <c r="F828" t="s">
        <v>2440</v>
      </c>
      <c r="G828" t="s">
        <v>2441</v>
      </c>
      <c r="H828" t="s">
        <v>590</v>
      </c>
      <c r="I828" t="s">
        <v>805</v>
      </c>
      <c r="L828">
        <v>1</v>
      </c>
      <c r="M828">
        <v>44650</v>
      </c>
      <c r="N828">
        <v>-1</v>
      </c>
      <c r="O828">
        <v>-44650</v>
      </c>
      <c r="Z828" s="3">
        <f t="shared" si="12"/>
        <v>44650</v>
      </c>
    </row>
    <row r="829" spans="1:26" hidden="1">
      <c r="A829" t="s">
        <v>706</v>
      </c>
      <c r="B829" s="6">
        <v>44287</v>
      </c>
      <c r="C829" s="6">
        <v>44651</v>
      </c>
      <c r="D829">
        <v>20210401</v>
      </c>
      <c r="E829">
        <v>20220331</v>
      </c>
      <c r="F829" t="s">
        <v>2442</v>
      </c>
      <c r="G829" t="s">
        <v>2443</v>
      </c>
      <c r="H829" t="s">
        <v>590</v>
      </c>
      <c r="I829" t="s">
        <v>1462</v>
      </c>
      <c r="L829">
        <v>10</v>
      </c>
      <c r="M829">
        <v>8450</v>
      </c>
      <c r="N829">
        <v>-10</v>
      </c>
      <c r="O829">
        <v>-8450</v>
      </c>
      <c r="Z829" s="3">
        <f t="shared" si="12"/>
        <v>845</v>
      </c>
    </row>
    <row r="830" spans="1:26" hidden="1">
      <c r="A830" t="s">
        <v>706</v>
      </c>
      <c r="B830" s="6">
        <v>44287</v>
      </c>
      <c r="C830" s="6">
        <v>44651</v>
      </c>
      <c r="D830">
        <v>20210401</v>
      </c>
      <c r="E830">
        <v>20220331</v>
      </c>
      <c r="F830" t="s">
        <v>2444</v>
      </c>
      <c r="G830" t="s">
        <v>2445</v>
      </c>
      <c r="H830" t="s">
        <v>590</v>
      </c>
      <c r="I830" t="s">
        <v>805</v>
      </c>
      <c r="L830">
        <v>3</v>
      </c>
      <c r="M830">
        <v>13095.75</v>
      </c>
      <c r="N830">
        <v>-3</v>
      </c>
      <c r="O830">
        <v>-13095.75</v>
      </c>
      <c r="Z830" s="3">
        <f t="shared" si="12"/>
        <v>4365.25</v>
      </c>
    </row>
    <row r="831" spans="1:26" hidden="1">
      <c r="A831" t="s">
        <v>706</v>
      </c>
      <c r="B831" s="6">
        <v>44287</v>
      </c>
      <c r="C831" s="6">
        <v>44651</v>
      </c>
      <c r="D831">
        <v>20210401</v>
      </c>
      <c r="E831">
        <v>20220331</v>
      </c>
      <c r="F831" t="s">
        <v>2446</v>
      </c>
      <c r="G831" t="s">
        <v>2447</v>
      </c>
      <c r="H831" t="s">
        <v>590</v>
      </c>
      <c r="I831" t="s">
        <v>805</v>
      </c>
      <c r="L831">
        <v>3</v>
      </c>
      <c r="M831">
        <v>9929.4</v>
      </c>
      <c r="N831">
        <v>-3</v>
      </c>
      <c r="O831">
        <v>-9929.4</v>
      </c>
      <c r="Z831" s="3">
        <f t="shared" si="12"/>
        <v>3309.7999999999997</v>
      </c>
    </row>
    <row r="832" spans="1:26" hidden="1">
      <c r="A832" t="s">
        <v>706</v>
      </c>
      <c r="B832" s="6">
        <v>44287</v>
      </c>
      <c r="C832" s="6">
        <v>44651</v>
      </c>
      <c r="D832">
        <v>20210401</v>
      </c>
      <c r="E832">
        <v>20220331</v>
      </c>
      <c r="F832" t="s">
        <v>2448</v>
      </c>
      <c r="G832" t="s">
        <v>2449</v>
      </c>
      <c r="H832" t="s">
        <v>590</v>
      </c>
      <c r="I832" t="s">
        <v>805</v>
      </c>
      <c r="L832">
        <v>5</v>
      </c>
      <c r="M832">
        <v>15736.5</v>
      </c>
      <c r="N832">
        <v>-5</v>
      </c>
      <c r="O832">
        <v>-15736.5</v>
      </c>
      <c r="Z832" s="3">
        <f t="shared" si="12"/>
        <v>3147.3</v>
      </c>
    </row>
    <row r="833" spans="1:26" hidden="1">
      <c r="A833" t="s">
        <v>706</v>
      </c>
      <c r="B833" s="6">
        <v>44287</v>
      </c>
      <c r="C833" s="6">
        <v>44651</v>
      </c>
      <c r="D833">
        <v>20210401</v>
      </c>
      <c r="E833">
        <v>20220331</v>
      </c>
      <c r="F833" t="s">
        <v>2450</v>
      </c>
      <c r="G833" t="s">
        <v>2451</v>
      </c>
      <c r="H833" t="s">
        <v>590</v>
      </c>
      <c r="I833" t="s">
        <v>1462</v>
      </c>
      <c r="L833">
        <v>5</v>
      </c>
      <c r="M833">
        <v>2436.75</v>
      </c>
      <c r="N833">
        <v>-5</v>
      </c>
      <c r="O833">
        <v>-2436.75</v>
      </c>
      <c r="Z833" s="3">
        <f t="shared" si="12"/>
        <v>487.35</v>
      </c>
    </row>
    <row r="834" spans="1:26" hidden="1">
      <c r="A834" t="s">
        <v>706</v>
      </c>
      <c r="B834" s="6">
        <v>44287</v>
      </c>
      <c r="C834" s="6">
        <v>44651</v>
      </c>
      <c r="D834">
        <v>20210401</v>
      </c>
      <c r="E834">
        <v>20220331</v>
      </c>
      <c r="F834" t="s">
        <v>2452</v>
      </c>
      <c r="G834" t="s">
        <v>2453</v>
      </c>
      <c r="H834" t="s">
        <v>590</v>
      </c>
      <c r="I834" t="s">
        <v>805</v>
      </c>
      <c r="L834">
        <v>5</v>
      </c>
      <c r="M834">
        <v>2436.75</v>
      </c>
      <c r="N834">
        <v>-5</v>
      </c>
      <c r="O834">
        <v>-2436.75</v>
      </c>
      <c r="Z834" s="3">
        <f t="shared" si="12"/>
        <v>487.35</v>
      </c>
    </row>
    <row r="835" spans="1:26" hidden="1">
      <c r="A835" t="s">
        <v>706</v>
      </c>
      <c r="B835" s="6">
        <v>44287</v>
      </c>
      <c r="C835" s="6">
        <v>44651</v>
      </c>
      <c r="D835">
        <v>20210401</v>
      </c>
      <c r="E835">
        <v>20220331</v>
      </c>
      <c r="F835" t="s">
        <v>2454</v>
      </c>
      <c r="G835" t="s">
        <v>2455</v>
      </c>
      <c r="H835" t="s">
        <v>590</v>
      </c>
      <c r="I835" t="s">
        <v>805</v>
      </c>
      <c r="L835">
        <v>5</v>
      </c>
      <c r="M835">
        <v>2436.75</v>
      </c>
      <c r="N835">
        <v>-5</v>
      </c>
      <c r="O835">
        <v>-2436.75</v>
      </c>
      <c r="Z835" s="3">
        <f t="shared" ref="Z835:Z898" si="13">IFERROR((O835+Q835)/(N835+P835),Y835/X835)</f>
        <v>487.35</v>
      </c>
    </row>
    <row r="836" spans="1:26" hidden="1">
      <c r="A836" t="s">
        <v>706</v>
      </c>
      <c r="B836" s="6">
        <v>44287</v>
      </c>
      <c r="C836" s="6">
        <v>44651</v>
      </c>
      <c r="D836">
        <v>20210401</v>
      </c>
      <c r="E836">
        <v>20220331</v>
      </c>
      <c r="F836" t="s">
        <v>2456</v>
      </c>
      <c r="G836" t="s">
        <v>2457</v>
      </c>
      <c r="H836" t="s">
        <v>590</v>
      </c>
      <c r="I836" t="s">
        <v>805</v>
      </c>
      <c r="L836">
        <v>1</v>
      </c>
      <c r="M836">
        <v>32443</v>
      </c>
      <c r="N836">
        <v>-1</v>
      </c>
      <c r="O836">
        <v>-32443</v>
      </c>
      <c r="Z836" s="3">
        <f t="shared" si="13"/>
        <v>32443</v>
      </c>
    </row>
    <row r="837" spans="1:26" hidden="1">
      <c r="A837" t="s">
        <v>706</v>
      </c>
      <c r="B837" s="6">
        <v>44287</v>
      </c>
      <c r="C837" s="6">
        <v>44651</v>
      </c>
      <c r="D837">
        <v>20210401</v>
      </c>
      <c r="E837">
        <v>20220331</v>
      </c>
      <c r="F837" t="s">
        <v>2458</v>
      </c>
      <c r="G837" t="s">
        <v>2459</v>
      </c>
      <c r="H837" t="s">
        <v>590</v>
      </c>
      <c r="I837" t="s">
        <v>805</v>
      </c>
      <c r="L837">
        <v>5</v>
      </c>
      <c r="M837">
        <v>3200</v>
      </c>
      <c r="N837">
        <v>-5</v>
      </c>
      <c r="O837">
        <v>-3200</v>
      </c>
      <c r="Z837" s="3">
        <f t="shared" si="13"/>
        <v>640</v>
      </c>
    </row>
    <row r="838" spans="1:26" hidden="1">
      <c r="A838" t="s">
        <v>706</v>
      </c>
      <c r="B838" s="6">
        <v>44287</v>
      </c>
      <c r="C838" s="6">
        <v>44651</v>
      </c>
      <c r="D838">
        <v>20210401</v>
      </c>
      <c r="E838">
        <v>20220331</v>
      </c>
      <c r="F838" t="s">
        <v>2460</v>
      </c>
      <c r="G838" t="s">
        <v>2461</v>
      </c>
      <c r="H838" t="s">
        <v>590</v>
      </c>
      <c r="I838" t="s">
        <v>805</v>
      </c>
      <c r="L838">
        <v>5</v>
      </c>
      <c r="M838">
        <v>3200</v>
      </c>
      <c r="N838">
        <v>-5</v>
      </c>
      <c r="O838">
        <v>-3200</v>
      </c>
      <c r="Z838" s="3">
        <f t="shared" si="13"/>
        <v>640</v>
      </c>
    </row>
    <row r="839" spans="1:26" hidden="1">
      <c r="A839" t="s">
        <v>706</v>
      </c>
      <c r="B839" s="6">
        <v>44287</v>
      </c>
      <c r="C839" s="6">
        <v>44651</v>
      </c>
      <c r="D839">
        <v>20210401</v>
      </c>
      <c r="E839">
        <v>20220331</v>
      </c>
      <c r="F839" t="s">
        <v>2462</v>
      </c>
      <c r="G839" t="s">
        <v>2463</v>
      </c>
      <c r="H839" t="s">
        <v>590</v>
      </c>
      <c r="I839" t="s">
        <v>805</v>
      </c>
      <c r="L839">
        <v>1</v>
      </c>
      <c r="M839">
        <v>9100</v>
      </c>
      <c r="N839">
        <v>-1</v>
      </c>
      <c r="O839">
        <v>-9100</v>
      </c>
      <c r="Z839" s="3">
        <f t="shared" si="13"/>
        <v>9100</v>
      </c>
    </row>
    <row r="840" spans="1:26" hidden="1">
      <c r="A840" t="s">
        <v>706</v>
      </c>
      <c r="B840" s="6">
        <v>44287</v>
      </c>
      <c r="C840" s="6">
        <v>44651</v>
      </c>
      <c r="D840">
        <v>20210401</v>
      </c>
      <c r="E840">
        <v>20220331</v>
      </c>
      <c r="F840" t="s">
        <v>2464</v>
      </c>
      <c r="G840" t="s">
        <v>2465</v>
      </c>
      <c r="H840" t="s">
        <v>590</v>
      </c>
      <c r="I840" t="s">
        <v>805</v>
      </c>
      <c r="L840">
        <v>5</v>
      </c>
      <c r="M840">
        <v>3197.5</v>
      </c>
      <c r="N840">
        <v>-5</v>
      </c>
      <c r="O840">
        <v>-3197.5</v>
      </c>
      <c r="Z840" s="3">
        <f t="shared" si="13"/>
        <v>639.5</v>
      </c>
    </row>
    <row r="841" spans="1:26" hidden="1">
      <c r="A841" t="s">
        <v>706</v>
      </c>
      <c r="B841" s="6">
        <v>44287</v>
      </c>
      <c r="C841" s="6">
        <v>44651</v>
      </c>
      <c r="D841">
        <v>20210401</v>
      </c>
      <c r="E841">
        <v>20220331</v>
      </c>
      <c r="F841" t="s">
        <v>2466</v>
      </c>
      <c r="G841" t="s">
        <v>2467</v>
      </c>
      <c r="H841" t="s">
        <v>590</v>
      </c>
      <c r="I841" t="s">
        <v>774</v>
      </c>
      <c r="P841">
        <v>1</v>
      </c>
      <c r="R841">
        <v>-1</v>
      </c>
      <c r="Z841" s="3">
        <f t="shared" si="13"/>
        <v>0</v>
      </c>
    </row>
    <row r="842" spans="1:26" hidden="1">
      <c r="A842" t="s">
        <v>706</v>
      </c>
      <c r="B842" s="6">
        <v>44287</v>
      </c>
      <c r="C842" s="6">
        <v>44651</v>
      </c>
      <c r="D842">
        <v>20210401</v>
      </c>
      <c r="E842">
        <v>20220331</v>
      </c>
      <c r="F842" t="s">
        <v>2468</v>
      </c>
      <c r="G842" t="s">
        <v>2469</v>
      </c>
      <c r="H842" t="s">
        <v>590</v>
      </c>
      <c r="I842" t="s">
        <v>774</v>
      </c>
      <c r="L842">
        <v>1</v>
      </c>
      <c r="M842">
        <v>114000</v>
      </c>
      <c r="N842">
        <v>-1</v>
      </c>
      <c r="O842">
        <v>-114000</v>
      </c>
      <c r="Z842" s="3">
        <f t="shared" si="13"/>
        <v>114000</v>
      </c>
    </row>
    <row r="843" spans="1:26" hidden="1">
      <c r="A843" t="s">
        <v>706</v>
      </c>
      <c r="B843" s="6">
        <v>44287</v>
      </c>
      <c r="C843" s="6">
        <v>44651</v>
      </c>
      <c r="D843">
        <v>20210401</v>
      </c>
      <c r="E843">
        <v>20220331</v>
      </c>
      <c r="F843" t="s">
        <v>2470</v>
      </c>
      <c r="G843" t="s">
        <v>2471</v>
      </c>
      <c r="H843" t="s">
        <v>590</v>
      </c>
      <c r="I843" t="s">
        <v>774</v>
      </c>
      <c r="L843">
        <v>1</v>
      </c>
      <c r="M843">
        <v>143000</v>
      </c>
      <c r="N843">
        <v>-1</v>
      </c>
      <c r="O843">
        <v>-143000</v>
      </c>
      <c r="Z843" s="3">
        <f t="shared" si="13"/>
        <v>143000</v>
      </c>
    </row>
    <row r="844" spans="1:26" hidden="1">
      <c r="A844" t="s">
        <v>706</v>
      </c>
      <c r="B844" s="6">
        <v>44287</v>
      </c>
      <c r="C844" s="6">
        <v>44651</v>
      </c>
      <c r="D844">
        <v>20210401</v>
      </c>
      <c r="E844">
        <v>20220331</v>
      </c>
      <c r="F844" t="s">
        <v>2472</v>
      </c>
      <c r="G844" t="s">
        <v>2473</v>
      </c>
      <c r="H844" t="s">
        <v>590</v>
      </c>
      <c r="I844" t="s">
        <v>774</v>
      </c>
      <c r="P844">
        <v>1</v>
      </c>
      <c r="Q844">
        <v>160000</v>
      </c>
      <c r="R844">
        <v>-1</v>
      </c>
      <c r="S844">
        <v>-160000</v>
      </c>
      <c r="Z844" s="3">
        <f t="shared" si="13"/>
        <v>160000</v>
      </c>
    </row>
    <row r="845" spans="1:26" hidden="1">
      <c r="A845" t="s">
        <v>706</v>
      </c>
      <c r="B845" s="6">
        <v>44287</v>
      </c>
      <c r="C845" s="6">
        <v>44651</v>
      </c>
      <c r="D845">
        <v>20210401</v>
      </c>
      <c r="E845">
        <v>20220331</v>
      </c>
      <c r="F845" t="s">
        <v>2474</v>
      </c>
      <c r="G845" t="s">
        <v>2475</v>
      </c>
      <c r="H845" t="s">
        <v>590</v>
      </c>
      <c r="I845" t="s">
        <v>774</v>
      </c>
      <c r="P845">
        <v>1</v>
      </c>
      <c r="Q845">
        <v>189000</v>
      </c>
      <c r="R845">
        <v>-1</v>
      </c>
      <c r="S845">
        <v>-189000</v>
      </c>
      <c r="Z845" s="3">
        <f t="shared" si="13"/>
        <v>189000</v>
      </c>
    </row>
    <row r="846" spans="1:26" hidden="1">
      <c r="A846" t="s">
        <v>706</v>
      </c>
      <c r="B846" s="6">
        <v>44287</v>
      </c>
      <c r="C846" s="6">
        <v>44651</v>
      </c>
      <c r="D846">
        <v>20210401</v>
      </c>
      <c r="E846">
        <v>20220331</v>
      </c>
      <c r="F846" t="s">
        <v>2476</v>
      </c>
      <c r="G846" t="s">
        <v>2477</v>
      </c>
      <c r="H846" t="s">
        <v>590</v>
      </c>
      <c r="I846" t="s">
        <v>774</v>
      </c>
      <c r="L846">
        <v>1</v>
      </c>
      <c r="M846">
        <v>114000</v>
      </c>
      <c r="N846">
        <v>-1</v>
      </c>
      <c r="O846">
        <v>-114000</v>
      </c>
      <c r="Z846" s="3">
        <f t="shared" si="13"/>
        <v>114000</v>
      </c>
    </row>
    <row r="847" spans="1:26" hidden="1">
      <c r="A847" t="s">
        <v>706</v>
      </c>
      <c r="B847" s="6">
        <v>44287</v>
      </c>
      <c r="C847" s="6">
        <v>44651</v>
      </c>
      <c r="D847">
        <v>20210401</v>
      </c>
      <c r="E847">
        <v>20220331</v>
      </c>
      <c r="F847" t="s">
        <v>2478</v>
      </c>
      <c r="G847" t="s">
        <v>2479</v>
      </c>
      <c r="H847" t="s">
        <v>590</v>
      </c>
      <c r="I847" t="s">
        <v>774</v>
      </c>
      <c r="L847">
        <v>1</v>
      </c>
      <c r="M847">
        <v>138000</v>
      </c>
      <c r="N847">
        <v>-1</v>
      </c>
      <c r="O847">
        <v>-138000</v>
      </c>
      <c r="Z847" s="3">
        <f t="shared" si="13"/>
        <v>138000</v>
      </c>
    </row>
    <row r="848" spans="1:26" hidden="1">
      <c r="A848" t="s">
        <v>706</v>
      </c>
      <c r="B848" s="6">
        <v>44287</v>
      </c>
      <c r="C848" s="6">
        <v>44651</v>
      </c>
      <c r="D848">
        <v>20210401</v>
      </c>
      <c r="E848">
        <v>20220331</v>
      </c>
      <c r="F848" t="s">
        <v>2480</v>
      </c>
      <c r="G848" t="s">
        <v>2481</v>
      </c>
      <c r="H848" t="s">
        <v>590</v>
      </c>
      <c r="I848" t="s">
        <v>774</v>
      </c>
      <c r="L848">
        <v>1</v>
      </c>
      <c r="M848">
        <v>102000</v>
      </c>
      <c r="N848">
        <v>-1</v>
      </c>
      <c r="O848">
        <v>-102000</v>
      </c>
      <c r="Z848" s="3">
        <f t="shared" si="13"/>
        <v>102000</v>
      </c>
    </row>
    <row r="849" spans="1:26" hidden="1">
      <c r="A849" t="s">
        <v>706</v>
      </c>
      <c r="B849" s="6">
        <v>44287</v>
      </c>
      <c r="C849" s="6">
        <v>44651</v>
      </c>
      <c r="D849">
        <v>20210401</v>
      </c>
      <c r="E849">
        <v>20220331</v>
      </c>
      <c r="F849" t="s">
        <v>2482</v>
      </c>
      <c r="G849" t="s">
        <v>2483</v>
      </c>
      <c r="H849" t="s">
        <v>590</v>
      </c>
      <c r="I849" t="s">
        <v>774</v>
      </c>
      <c r="L849">
        <v>1</v>
      </c>
      <c r="M849">
        <v>77000</v>
      </c>
      <c r="N849">
        <v>-1</v>
      </c>
      <c r="O849">
        <v>-77000</v>
      </c>
      <c r="Z849" s="3">
        <f t="shared" si="13"/>
        <v>77000</v>
      </c>
    </row>
    <row r="850" spans="1:26" hidden="1">
      <c r="A850" t="s">
        <v>706</v>
      </c>
      <c r="B850" s="6">
        <v>44287</v>
      </c>
      <c r="C850" s="6">
        <v>44651</v>
      </c>
      <c r="D850">
        <v>20210401</v>
      </c>
      <c r="E850">
        <v>20220331</v>
      </c>
      <c r="F850" t="s">
        <v>2484</v>
      </c>
      <c r="G850" t="s">
        <v>2485</v>
      </c>
      <c r="H850" t="s">
        <v>590</v>
      </c>
      <c r="I850" t="s">
        <v>774</v>
      </c>
      <c r="L850">
        <v>1</v>
      </c>
      <c r="M850">
        <v>77000</v>
      </c>
      <c r="N850">
        <v>-1</v>
      </c>
      <c r="O850">
        <v>-77000</v>
      </c>
      <c r="Z850" s="3">
        <f t="shared" si="13"/>
        <v>77000</v>
      </c>
    </row>
    <row r="851" spans="1:26" hidden="1">
      <c r="A851" t="s">
        <v>706</v>
      </c>
      <c r="B851" s="6">
        <v>44287</v>
      </c>
      <c r="C851" s="6">
        <v>44651</v>
      </c>
      <c r="D851">
        <v>20210401</v>
      </c>
      <c r="E851">
        <v>20220331</v>
      </c>
      <c r="F851" t="s">
        <v>2486</v>
      </c>
      <c r="G851" t="s">
        <v>2487</v>
      </c>
      <c r="H851" t="s">
        <v>590</v>
      </c>
      <c r="I851" t="s">
        <v>774</v>
      </c>
      <c r="L851">
        <v>1</v>
      </c>
      <c r="M851">
        <v>151000</v>
      </c>
      <c r="N851">
        <v>-1</v>
      </c>
      <c r="O851">
        <v>-151000</v>
      </c>
      <c r="Z851" s="3">
        <f t="shared" si="13"/>
        <v>151000</v>
      </c>
    </row>
    <row r="852" spans="1:26" hidden="1">
      <c r="A852" t="s">
        <v>706</v>
      </c>
      <c r="B852" s="6">
        <v>44287</v>
      </c>
      <c r="C852" s="6">
        <v>44651</v>
      </c>
      <c r="D852">
        <v>20210401</v>
      </c>
      <c r="E852">
        <v>20220331</v>
      </c>
      <c r="F852" t="s">
        <v>2488</v>
      </c>
      <c r="G852" t="s">
        <v>2489</v>
      </c>
      <c r="H852" t="s">
        <v>590</v>
      </c>
      <c r="I852" t="s">
        <v>774</v>
      </c>
      <c r="L852">
        <v>1</v>
      </c>
      <c r="M852">
        <v>151000</v>
      </c>
      <c r="N852">
        <v>-1</v>
      </c>
      <c r="O852">
        <v>-151000</v>
      </c>
      <c r="Z852" s="3">
        <f t="shared" si="13"/>
        <v>151000</v>
      </c>
    </row>
    <row r="853" spans="1:26" hidden="1">
      <c r="A853" t="s">
        <v>706</v>
      </c>
      <c r="B853" s="6">
        <v>44287</v>
      </c>
      <c r="C853" s="6">
        <v>44651</v>
      </c>
      <c r="D853">
        <v>20210401</v>
      </c>
      <c r="E853">
        <v>20220331</v>
      </c>
      <c r="F853" t="s">
        <v>2490</v>
      </c>
      <c r="G853" t="s">
        <v>2491</v>
      </c>
      <c r="H853" t="s">
        <v>590</v>
      </c>
      <c r="I853" t="s">
        <v>774</v>
      </c>
      <c r="J853">
        <v>1</v>
      </c>
      <c r="K853">
        <v>38500</v>
      </c>
      <c r="N853">
        <v>-1</v>
      </c>
      <c r="O853">
        <v>-38500</v>
      </c>
      <c r="Z853" s="3">
        <f t="shared" si="13"/>
        <v>38500</v>
      </c>
    </row>
    <row r="854" spans="1:26" hidden="1">
      <c r="A854" t="s">
        <v>706</v>
      </c>
      <c r="B854" s="6">
        <v>44287</v>
      </c>
      <c r="C854" s="6">
        <v>44651</v>
      </c>
      <c r="D854">
        <v>20210401</v>
      </c>
      <c r="E854">
        <v>20220331</v>
      </c>
      <c r="F854" t="s">
        <v>2492</v>
      </c>
      <c r="G854" t="s">
        <v>2493</v>
      </c>
      <c r="H854" t="s">
        <v>590</v>
      </c>
      <c r="I854" t="s">
        <v>774</v>
      </c>
      <c r="L854">
        <v>1</v>
      </c>
      <c r="M854">
        <v>86000</v>
      </c>
      <c r="N854">
        <v>-1</v>
      </c>
      <c r="O854">
        <v>-86000</v>
      </c>
      <c r="Z854" s="3">
        <f t="shared" si="13"/>
        <v>86000</v>
      </c>
    </row>
    <row r="855" spans="1:26" hidden="1">
      <c r="A855" t="s">
        <v>706</v>
      </c>
      <c r="B855" s="6">
        <v>44287</v>
      </c>
      <c r="C855" s="6">
        <v>44651</v>
      </c>
      <c r="D855">
        <v>20210401</v>
      </c>
      <c r="E855">
        <v>20220331</v>
      </c>
      <c r="F855" t="s">
        <v>2494</v>
      </c>
      <c r="G855" t="s">
        <v>2495</v>
      </c>
      <c r="H855" t="s">
        <v>590</v>
      </c>
      <c r="I855" t="s">
        <v>774</v>
      </c>
      <c r="L855">
        <v>2</v>
      </c>
      <c r="M855">
        <v>240000</v>
      </c>
      <c r="N855">
        <v>-2</v>
      </c>
      <c r="O855">
        <v>-240000</v>
      </c>
      <c r="P855">
        <v>1</v>
      </c>
      <c r="Q855">
        <v>120000</v>
      </c>
      <c r="R855">
        <v>-1</v>
      </c>
      <c r="S855">
        <v>-120000</v>
      </c>
      <c r="Z855" s="3">
        <f t="shared" si="13"/>
        <v>120000</v>
      </c>
    </row>
    <row r="856" spans="1:26" hidden="1">
      <c r="A856" t="s">
        <v>706</v>
      </c>
      <c r="B856" s="6">
        <v>44287</v>
      </c>
      <c r="C856" s="6">
        <v>44651</v>
      </c>
      <c r="D856">
        <v>20210401</v>
      </c>
      <c r="E856">
        <v>20220331</v>
      </c>
      <c r="F856" t="s">
        <v>2496</v>
      </c>
      <c r="G856" t="s">
        <v>2497</v>
      </c>
      <c r="H856" t="s">
        <v>590</v>
      </c>
      <c r="I856" t="s">
        <v>774</v>
      </c>
      <c r="L856">
        <v>1</v>
      </c>
      <c r="M856">
        <v>240000</v>
      </c>
      <c r="N856">
        <v>-1</v>
      </c>
      <c r="O856">
        <v>-240000</v>
      </c>
      <c r="P856">
        <v>2</v>
      </c>
      <c r="Q856">
        <v>480000</v>
      </c>
      <c r="R856">
        <v>-2</v>
      </c>
      <c r="S856">
        <v>-480000</v>
      </c>
      <c r="Z856" s="3">
        <f t="shared" si="13"/>
        <v>240000</v>
      </c>
    </row>
    <row r="857" spans="1:26" hidden="1">
      <c r="A857" t="s">
        <v>706</v>
      </c>
      <c r="B857" s="6">
        <v>44287</v>
      </c>
      <c r="C857" s="6">
        <v>44651</v>
      </c>
      <c r="D857">
        <v>20210401</v>
      </c>
      <c r="E857">
        <v>20220331</v>
      </c>
      <c r="F857" t="s">
        <v>2498</v>
      </c>
      <c r="G857" t="s">
        <v>2499</v>
      </c>
      <c r="H857" t="s">
        <v>590</v>
      </c>
      <c r="I857" t="s">
        <v>774</v>
      </c>
      <c r="L857">
        <v>1</v>
      </c>
      <c r="M857">
        <v>175750</v>
      </c>
      <c r="N857">
        <v>-1</v>
      </c>
      <c r="O857">
        <v>-175750</v>
      </c>
      <c r="P857">
        <v>2</v>
      </c>
      <c r="Q857">
        <v>351500</v>
      </c>
      <c r="R857">
        <v>-2</v>
      </c>
      <c r="S857">
        <v>-351500</v>
      </c>
      <c r="Z857" s="3">
        <f t="shared" si="13"/>
        <v>175750</v>
      </c>
    </row>
    <row r="858" spans="1:26" hidden="1">
      <c r="A858" t="s">
        <v>706</v>
      </c>
      <c r="B858" s="6">
        <v>44287</v>
      </c>
      <c r="C858" s="6">
        <v>44651</v>
      </c>
      <c r="D858">
        <v>20210401</v>
      </c>
      <c r="E858">
        <v>20220331</v>
      </c>
      <c r="F858" t="s">
        <v>2500</v>
      </c>
      <c r="G858" t="s">
        <v>2501</v>
      </c>
      <c r="H858" t="s">
        <v>590</v>
      </c>
      <c r="I858" t="s">
        <v>774</v>
      </c>
      <c r="P858">
        <v>1</v>
      </c>
      <c r="Q858">
        <v>45000</v>
      </c>
      <c r="R858">
        <v>-1</v>
      </c>
      <c r="S858">
        <v>-45000</v>
      </c>
      <c r="Z858" s="3">
        <f t="shared" si="13"/>
        <v>45000</v>
      </c>
    </row>
    <row r="859" spans="1:26" hidden="1">
      <c r="A859" t="s">
        <v>706</v>
      </c>
      <c r="B859" s="6">
        <v>44287</v>
      </c>
      <c r="C859" s="6">
        <v>44651</v>
      </c>
      <c r="D859">
        <v>20210401</v>
      </c>
      <c r="E859">
        <v>20220331</v>
      </c>
      <c r="F859" t="s">
        <v>2502</v>
      </c>
      <c r="G859" t="s">
        <v>2503</v>
      </c>
      <c r="H859" t="s">
        <v>590</v>
      </c>
      <c r="I859" t="s">
        <v>774</v>
      </c>
      <c r="L859">
        <v>1</v>
      </c>
      <c r="M859">
        <v>92000</v>
      </c>
      <c r="R859">
        <v>-1</v>
      </c>
      <c r="S859">
        <v>-92000</v>
      </c>
      <c r="Z859" s="3" t="e">
        <f t="shared" si="13"/>
        <v>#DIV/0!</v>
      </c>
    </row>
    <row r="860" spans="1:26" hidden="1">
      <c r="A860" t="s">
        <v>706</v>
      </c>
      <c r="B860" s="6">
        <v>44287</v>
      </c>
      <c r="C860" s="6">
        <v>44651</v>
      </c>
      <c r="D860">
        <v>20210401</v>
      </c>
      <c r="E860">
        <v>20220331</v>
      </c>
      <c r="F860" t="s">
        <v>2504</v>
      </c>
      <c r="G860" t="s">
        <v>2505</v>
      </c>
      <c r="H860" t="s">
        <v>590</v>
      </c>
      <c r="I860" t="s">
        <v>774</v>
      </c>
      <c r="P860">
        <v>1</v>
      </c>
      <c r="Q860">
        <v>89000</v>
      </c>
      <c r="R860">
        <v>-1</v>
      </c>
      <c r="S860">
        <v>-89000</v>
      </c>
      <c r="Z860" s="3">
        <f t="shared" si="13"/>
        <v>89000</v>
      </c>
    </row>
    <row r="861" spans="1:26" hidden="1">
      <c r="A861" t="s">
        <v>706</v>
      </c>
      <c r="B861" s="6">
        <v>44287</v>
      </c>
      <c r="C861" s="6">
        <v>44651</v>
      </c>
      <c r="D861">
        <v>20210401</v>
      </c>
      <c r="E861">
        <v>20220331</v>
      </c>
      <c r="F861" t="s">
        <v>2506</v>
      </c>
      <c r="G861" t="s">
        <v>2507</v>
      </c>
      <c r="H861" t="s">
        <v>590</v>
      </c>
      <c r="I861" t="s">
        <v>774</v>
      </c>
      <c r="P861">
        <v>1</v>
      </c>
      <c r="Q861">
        <v>122000</v>
      </c>
      <c r="R861">
        <v>-1</v>
      </c>
      <c r="S861">
        <v>-122000</v>
      </c>
      <c r="Z861" s="3">
        <f t="shared" si="13"/>
        <v>122000</v>
      </c>
    </row>
    <row r="862" spans="1:26" hidden="1">
      <c r="A862" t="s">
        <v>706</v>
      </c>
      <c r="B862" s="6">
        <v>44287</v>
      </c>
      <c r="C862" s="6">
        <v>44651</v>
      </c>
      <c r="D862">
        <v>20210401</v>
      </c>
      <c r="E862">
        <v>20220331</v>
      </c>
      <c r="F862" t="s">
        <v>2508</v>
      </c>
      <c r="G862" t="s">
        <v>2509</v>
      </c>
      <c r="H862" t="s">
        <v>590</v>
      </c>
      <c r="I862" t="s">
        <v>774</v>
      </c>
      <c r="P862">
        <v>1</v>
      </c>
      <c r="Q862">
        <v>54000</v>
      </c>
      <c r="R862">
        <v>-1</v>
      </c>
      <c r="S862">
        <v>-54000</v>
      </c>
      <c r="Z862" s="3">
        <f t="shared" si="13"/>
        <v>54000</v>
      </c>
    </row>
    <row r="863" spans="1:26" hidden="1">
      <c r="A863" t="s">
        <v>706</v>
      </c>
      <c r="B863" s="6">
        <v>44287</v>
      </c>
      <c r="C863" s="6">
        <v>44651</v>
      </c>
      <c r="D863">
        <v>20210401</v>
      </c>
      <c r="E863">
        <v>20220331</v>
      </c>
      <c r="F863" t="s">
        <v>2510</v>
      </c>
      <c r="G863" t="s">
        <v>2511</v>
      </c>
      <c r="H863" t="s">
        <v>590</v>
      </c>
      <c r="I863" t="s">
        <v>774</v>
      </c>
      <c r="P863">
        <v>1</v>
      </c>
      <c r="Q863">
        <v>56000</v>
      </c>
      <c r="R863">
        <v>-1</v>
      </c>
      <c r="S863">
        <v>-56000</v>
      </c>
      <c r="Z863" s="3">
        <f t="shared" si="13"/>
        <v>56000</v>
      </c>
    </row>
    <row r="864" spans="1:26" hidden="1">
      <c r="A864" t="s">
        <v>706</v>
      </c>
      <c r="B864" s="6">
        <v>44287</v>
      </c>
      <c r="C864" s="6">
        <v>44651</v>
      </c>
      <c r="D864">
        <v>20210401</v>
      </c>
      <c r="E864">
        <v>20220331</v>
      </c>
      <c r="F864" t="s">
        <v>2512</v>
      </c>
      <c r="G864" t="s">
        <v>2513</v>
      </c>
      <c r="H864" t="s">
        <v>590</v>
      </c>
      <c r="I864" t="s">
        <v>774</v>
      </c>
      <c r="P864">
        <v>1</v>
      </c>
      <c r="Q864">
        <v>58000</v>
      </c>
      <c r="R864">
        <v>-1</v>
      </c>
      <c r="S864">
        <v>-58000</v>
      </c>
      <c r="Z864" s="3">
        <f t="shared" si="13"/>
        <v>58000</v>
      </c>
    </row>
    <row r="865" spans="1:26" hidden="1">
      <c r="A865" t="s">
        <v>706</v>
      </c>
      <c r="B865" s="6">
        <v>44287</v>
      </c>
      <c r="C865" s="6">
        <v>44651</v>
      </c>
      <c r="D865">
        <v>20210401</v>
      </c>
      <c r="E865">
        <v>20220331</v>
      </c>
      <c r="F865" t="s">
        <v>2514</v>
      </c>
      <c r="G865" t="s">
        <v>2515</v>
      </c>
      <c r="H865" t="s">
        <v>590</v>
      </c>
      <c r="I865" t="s">
        <v>774</v>
      </c>
      <c r="L865">
        <v>1</v>
      </c>
      <c r="M865">
        <v>76000</v>
      </c>
      <c r="N865">
        <v>-1</v>
      </c>
      <c r="O865">
        <v>-76000</v>
      </c>
      <c r="Z865" s="3">
        <f t="shared" si="13"/>
        <v>76000</v>
      </c>
    </row>
    <row r="866" spans="1:26" hidden="1">
      <c r="A866" t="s">
        <v>706</v>
      </c>
      <c r="B866" s="6">
        <v>44287</v>
      </c>
      <c r="C866" s="6">
        <v>44651</v>
      </c>
      <c r="D866">
        <v>20210401</v>
      </c>
      <c r="E866">
        <v>20220331</v>
      </c>
      <c r="F866" t="s">
        <v>2516</v>
      </c>
      <c r="G866" t="s">
        <v>2517</v>
      </c>
      <c r="H866" t="s">
        <v>590</v>
      </c>
      <c r="I866" t="s">
        <v>1462</v>
      </c>
      <c r="J866">
        <v>31</v>
      </c>
      <c r="K866">
        <v>342.64</v>
      </c>
      <c r="L866">
        <v>300</v>
      </c>
      <c r="M866">
        <v>3201</v>
      </c>
      <c r="N866">
        <v>-331</v>
      </c>
      <c r="O866">
        <v>-3534.31</v>
      </c>
      <c r="Y866">
        <v>9.33</v>
      </c>
      <c r="Z866" s="3">
        <f t="shared" si="13"/>
        <v>10.677673716012084</v>
      </c>
    </row>
    <row r="867" spans="1:26" hidden="1">
      <c r="A867" t="s">
        <v>706</v>
      </c>
      <c r="B867" s="6">
        <v>44287</v>
      </c>
      <c r="C867" s="6">
        <v>44651</v>
      </c>
      <c r="D867">
        <v>20210401</v>
      </c>
      <c r="E867">
        <v>20220331</v>
      </c>
      <c r="F867" t="s">
        <v>2518</v>
      </c>
      <c r="G867" t="s">
        <v>2519</v>
      </c>
      <c r="H867" t="s">
        <v>590</v>
      </c>
      <c r="I867" t="s">
        <v>1462</v>
      </c>
      <c r="N867">
        <v>-30</v>
      </c>
      <c r="O867">
        <v>-1057.5</v>
      </c>
      <c r="P867">
        <v>30</v>
      </c>
      <c r="Q867">
        <v>1057.5</v>
      </c>
      <c r="Z867" s="3" t="e">
        <f t="shared" si="13"/>
        <v>#DIV/0!</v>
      </c>
    </row>
    <row r="868" spans="1:26" hidden="1">
      <c r="A868" t="s">
        <v>706</v>
      </c>
      <c r="B868" s="6">
        <v>44287</v>
      </c>
      <c r="C868" s="6">
        <v>44651</v>
      </c>
      <c r="D868">
        <v>20210401</v>
      </c>
      <c r="E868">
        <v>20220331</v>
      </c>
      <c r="F868" t="s">
        <v>2520</v>
      </c>
      <c r="G868" t="s">
        <v>2521</v>
      </c>
      <c r="H868" t="s">
        <v>590</v>
      </c>
      <c r="I868" t="s">
        <v>1462</v>
      </c>
      <c r="N868">
        <v>-5</v>
      </c>
      <c r="O868">
        <v>-180</v>
      </c>
      <c r="P868">
        <v>5</v>
      </c>
      <c r="Q868">
        <v>180</v>
      </c>
      <c r="Z868" s="3" t="e">
        <f t="shared" si="13"/>
        <v>#DIV/0!</v>
      </c>
    </row>
    <row r="869" spans="1:26" hidden="1">
      <c r="A869" t="s">
        <v>706</v>
      </c>
      <c r="B869" s="6">
        <v>44287</v>
      </c>
      <c r="C869" s="6">
        <v>44651</v>
      </c>
      <c r="D869">
        <v>20210401</v>
      </c>
      <c r="E869">
        <v>20220331</v>
      </c>
      <c r="F869" t="s">
        <v>2522</v>
      </c>
      <c r="G869" t="s">
        <v>2523</v>
      </c>
      <c r="H869" t="s">
        <v>590</v>
      </c>
      <c r="I869" t="s">
        <v>1462</v>
      </c>
      <c r="K869">
        <v>45.95</v>
      </c>
      <c r="Y869">
        <v>45.95</v>
      </c>
      <c r="Z869" s="3" t="e">
        <f t="shared" si="13"/>
        <v>#DIV/0!</v>
      </c>
    </row>
    <row r="870" spans="1:26" hidden="1">
      <c r="A870" t="s">
        <v>706</v>
      </c>
      <c r="B870" s="6">
        <v>44287</v>
      </c>
      <c r="C870" s="6">
        <v>44651</v>
      </c>
      <c r="D870">
        <v>20210401</v>
      </c>
      <c r="E870">
        <v>20220331</v>
      </c>
      <c r="F870" t="s">
        <v>2524</v>
      </c>
      <c r="G870" t="s">
        <v>2525</v>
      </c>
      <c r="H870" t="s">
        <v>590</v>
      </c>
      <c r="I870" t="s">
        <v>1462</v>
      </c>
      <c r="L870">
        <v>65</v>
      </c>
      <c r="M870">
        <v>1300</v>
      </c>
      <c r="N870">
        <v>-65</v>
      </c>
      <c r="O870">
        <v>-1300</v>
      </c>
      <c r="Z870" s="3">
        <f t="shared" si="13"/>
        <v>20</v>
      </c>
    </row>
    <row r="871" spans="1:26" hidden="1">
      <c r="A871" t="s">
        <v>706</v>
      </c>
      <c r="B871" s="6">
        <v>44287</v>
      </c>
      <c r="C871" s="6">
        <v>44651</v>
      </c>
      <c r="D871">
        <v>20210401</v>
      </c>
      <c r="E871">
        <v>20220331</v>
      </c>
      <c r="F871" t="s">
        <v>2526</v>
      </c>
      <c r="G871" t="s">
        <v>2527</v>
      </c>
      <c r="H871" t="s">
        <v>590</v>
      </c>
      <c r="I871" t="s">
        <v>1462</v>
      </c>
      <c r="K871">
        <v>0.01</v>
      </c>
      <c r="Y871">
        <v>0.01</v>
      </c>
      <c r="Z871" s="3" t="e">
        <f t="shared" si="13"/>
        <v>#DIV/0!</v>
      </c>
    </row>
    <row r="872" spans="1:26" hidden="1">
      <c r="A872" t="s">
        <v>706</v>
      </c>
      <c r="B872" s="6">
        <v>44287</v>
      </c>
      <c r="C872" s="6">
        <v>44651</v>
      </c>
      <c r="D872">
        <v>20210401</v>
      </c>
      <c r="E872">
        <v>20220331</v>
      </c>
      <c r="F872" t="s">
        <v>2528</v>
      </c>
      <c r="G872" t="s">
        <v>2529</v>
      </c>
      <c r="H872" t="s">
        <v>590</v>
      </c>
      <c r="I872" t="s">
        <v>1462</v>
      </c>
      <c r="L872">
        <v>6</v>
      </c>
      <c r="M872">
        <v>990</v>
      </c>
      <c r="N872">
        <v>-6</v>
      </c>
      <c r="O872">
        <v>-990</v>
      </c>
      <c r="Z872" s="3">
        <f t="shared" si="13"/>
        <v>165</v>
      </c>
    </row>
    <row r="873" spans="1:26" hidden="1">
      <c r="A873" t="s">
        <v>706</v>
      </c>
      <c r="B873" s="6">
        <v>44287</v>
      </c>
      <c r="C873" s="6">
        <v>44651</v>
      </c>
      <c r="D873">
        <v>20210401</v>
      </c>
      <c r="E873">
        <v>20220331</v>
      </c>
      <c r="F873" t="s">
        <v>2530</v>
      </c>
      <c r="G873" t="s">
        <v>2531</v>
      </c>
      <c r="H873" t="s">
        <v>590</v>
      </c>
      <c r="I873" t="s">
        <v>805</v>
      </c>
      <c r="L873">
        <v>3</v>
      </c>
      <c r="M873">
        <v>5250</v>
      </c>
      <c r="N873">
        <v>-3</v>
      </c>
      <c r="O873">
        <v>-5250</v>
      </c>
      <c r="Z873" s="3">
        <f t="shared" si="13"/>
        <v>1750</v>
      </c>
    </row>
    <row r="874" spans="1:26" hidden="1">
      <c r="A874" t="s">
        <v>706</v>
      </c>
      <c r="B874" s="6">
        <v>44287</v>
      </c>
      <c r="C874" s="6">
        <v>44651</v>
      </c>
      <c r="D874">
        <v>20210401</v>
      </c>
      <c r="E874">
        <v>20220331</v>
      </c>
      <c r="F874" t="s">
        <v>2532</v>
      </c>
      <c r="G874" t="s">
        <v>2533</v>
      </c>
      <c r="H874" t="s">
        <v>590</v>
      </c>
      <c r="I874" t="s">
        <v>1462</v>
      </c>
      <c r="L874">
        <v>30</v>
      </c>
      <c r="M874">
        <v>3000</v>
      </c>
      <c r="N874">
        <v>-45</v>
      </c>
      <c r="O874">
        <v>-4487.25</v>
      </c>
      <c r="P874">
        <v>15</v>
      </c>
      <c r="Q874">
        <v>1487.25</v>
      </c>
      <c r="Z874" s="3">
        <f t="shared" si="13"/>
        <v>100</v>
      </c>
    </row>
    <row r="875" spans="1:26" hidden="1">
      <c r="A875" t="s">
        <v>706</v>
      </c>
      <c r="B875" s="6">
        <v>44287</v>
      </c>
      <c r="C875" s="6">
        <v>44651</v>
      </c>
      <c r="D875">
        <v>20210401</v>
      </c>
      <c r="E875">
        <v>20220331</v>
      </c>
      <c r="F875" t="s">
        <v>2534</v>
      </c>
      <c r="G875" t="s">
        <v>2535</v>
      </c>
      <c r="H875" t="s">
        <v>590</v>
      </c>
      <c r="I875" t="s">
        <v>1462</v>
      </c>
      <c r="L875">
        <v>3</v>
      </c>
      <c r="M875">
        <v>15750</v>
      </c>
      <c r="N875">
        <v>-3</v>
      </c>
      <c r="O875">
        <v>-15750</v>
      </c>
      <c r="Z875" s="3">
        <f t="shared" si="13"/>
        <v>5250</v>
      </c>
    </row>
    <row r="876" spans="1:26" hidden="1">
      <c r="A876" t="s">
        <v>706</v>
      </c>
      <c r="B876" s="6">
        <v>44287</v>
      </c>
      <c r="C876" s="6">
        <v>44651</v>
      </c>
      <c r="D876">
        <v>20210401</v>
      </c>
      <c r="E876">
        <v>20220331</v>
      </c>
      <c r="F876" t="s">
        <v>2536</v>
      </c>
      <c r="G876" t="s">
        <v>2537</v>
      </c>
      <c r="H876" t="s">
        <v>590</v>
      </c>
      <c r="I876" t="s">
        <v>1462</v>
      </c>
      <c r="L876">
        <v>6</v>
      </c>
      <c r="M876">
        <v>4380</v>
      </c>
      <c r="N876">
        <v>-6</v>
      </c>
      <c r="O876">
        <v>-4380</v>
      </c>
      <c r="Z876" s="3">
        <f t="shared" si="13"/>
        <v>730</v>
      </c>
    </row>
    <row r="877" spans="1:26" hidden="1">
      <c r="A877" t="s">
        <v>706</v>
      </c>
      <c r="B877" s="6">
        <v>44287</v>
      </c>
      <c r="C877" s="6">
        <v>44651</v>
      </c>
      <c r="D877">
        <v>20210401</v>
      </c>
      <c r="E877">
        <v>20220331</v>
      </c>
      <c r="F877" t="s">
        <v>2538</v>
      </c>
      <c r="G877" t="s">
        <v>2539</v>
      </c>
      <c r="H877" t="s">
        <v>590</v>
      </c>
      <c r="I877" t="s">
        <v>1462</v>
      </c>
      <c r="L877">
        <v>10</v>
      </c>
      <c r="M877">
        <v>705.4</v>
      </c>
      <c r="N877">
        <v>-10</v>
      </c>
      <c r="O877">
        <v>-705.4</v>
      </c>
      <c r="Z877" s="3">
        <f t="shared" si="13"/>
        <v>70.539999999999992</v>
      </c>
    </row>
    <row r="878" spans="1:26" hidden="1">
      <c r="A878" t="s">
        <v>706</v>
      </c>
      <c r="B878" s="6">
        <v>44287</v>
      </c>
      <c r="C878" s="6">
        <v>44651</v>
      </c>
      <c r="D878">
        <v>20210401</v>
      </c>
      <c r="E878">
        <v>20220331</v>
      </c>
      <c r="F878" t="s">
        <v>2540</v>
      </c>
      <c r="G878" t="s">
        <v>2541</v>
      </c>
      <c r="H878" t="s">
        <v>590</v>
      </c>
      <c r="I878" t="s">
        <v>1462</v>
      </c>
      <c r="N878">
        <v>-1</v>
      </c>
      <c r="O878">
        <v>-24.1</v>
      </c>
      <c r="P878">
        <v>1</v>
      </c>
      <c r="Q878">
        <v>24.1</v>
      </c>
      <c r="Z878" s="3" t="e">
        <f t="shared" si="13"/>
        <v>#DIV/0!</v>
      </c>
    </row>
    <row r="879" spans="1:26" hidden="1">
      <c r="A879" t="s">
        <v>706</v>
      </c>
      <c r="B879" s="6">
        <v>44287</v>
      </c>
      <c r="C879" s="6">
        <v>44651</v>
      </c>
      <c r="D879">
        <v>20210401</v>
      </c>
      <c r="E879">
        <v>20220331</v>
      </c>
      <c r="F879" t="s">
        <v>2542</v>
      </c>
      <c r="G879" t="s">
        <v>2543</v>
      </c>
      <c r="H879" t="s">
        <v>590</v>
      </c>
      <c r="I879" t="s">
        <v>1462</v>
      </c>
      <c r="L879">
        <v>10</v>
      </c>
      <c r="M879">
        <v>10000</v>
      </c>
      <c r="N879">
        <v>-10</v>
      </c>
      <c r="O879">
        <v>-10000</v>
      </c>
      <c r="Z879" s="3">
        <f t="shared" si="13"/>
        <v>1000</v>
      </c>
    </row>
    <row r="880" spans="1:26" hidden="1">
      <c r="A880" t="s">
        <v>706</v>
      </c>
      <c r="B880" s="6">
        <v>44287</v>
      </c>
      <c r="C880" s="6">
        <v>44651</v>
      </c>
      <c r="D880">
        <v>20210401</v>
      </c>
      <c r="E880">
        <v>20220331</v>
      </c>
      <c r="F880" t="s">
        <v>2544</v>
      </c>
      <c r="G880" t="s">
        <v>2545</v>
      </c>
      <c r="H880" t="s">
        <v>590</v>
      </c>
      <c r="I880" t="s">
        <v>1462</v>
      </c>
      <c r="L880">
        <v>4</v>
      </c>
      <c r="M880">
        <v>594</v>
      </c>
      <c r="N880">
        <v>-4</v>
      </c>
      <c r="O880">
        <v>-594</v>
      </c>
      <c r="Z880" s="3">
        <f t="shared" si="13"/>
        <v>148.5</v>
      </c>
    </row>
    <row r="881" spans="1:26" hidden="1">
      <c r="A881" t="s">
        <v>706</v>
      </c>
      <c r="B881" s="6">
        <v>44287</v>
      </c>
      <c r="C881" s="6">
        <v>44651</v>
      </c>
      <c r="D881">
        <v>20210401</v>
      </c>
      <c r="E881">
        <v>20220331</v>
      </c>
      <c r="F881" t="s">
        <v>2546</v>
      </c>
      <c r="G881" t="s">
        <v>2547</v>
      </c>
      <c r="H881" t="s">
        <v>590</v>
      </c>
      <c r="I881" t="s">
        <v>1462</v>
      </c>
      <c r="N881">
        <v>-42</v>
      </c>
      <c r="O881">
        <v>-1680</v>
      </c>
      <c r="P881">
        <v>42</v>
      </c>
      <c r="Q881">
        <v>1680</v>
      </c>
      <c r="Z881" s="3" t="e">
        <f t="shared" si="13"/>
        <v>#DIV/0!</v>
      </c>
    </row>
    <row r="882" spans="1:26" hidden="1">
      <c r="A882" t="s">
        <v>706</v>
      </c>
      <c r="B882" s="6">
        <v>44287</v>
      </c>
      <c r="C882" s="6">
        <v>44651</v>
      </c>
      <c r="D882">
        <v>20210401</v>
      </c>
      <c r="E882">
        <v>20220331</v>
      </c>
      <c r="F882" t="s">
        <v>2548</v>
      </c>
      <c r="G882" t="s">
        <v>2549</v>
      </c>
      <c r="H882" t="s">
        <v>590</v>
      </c>
      <c r="I882" t="s">
        <v>1462</v>
      </c>
      <c r="L882">
        <v>14</v>
      </c>
      <c r="M882">
        <v>2520</v>
      </c>
      <c r="N882">
        <v>-14</v>
      </c>
      <c r="O882">
        <v>-2520</v>
      </c>
      <c r="Z882" s="3">
        <f t="shared" si="13"/>
        <v>180</v>
      </c>
    </row>
    <row r="883" spans="1:26" hidden="1">
      <c r="A883" t="s">
        <v>706</v>
      </c>
      <c r="B883" s="6">
        <v>44287</v>
      </c>
      <c r="C883" s="6">
        <v>44651</v>
      </c>
      <c r="D883">
        <v>20210401</v>
      </c>
      <c r="E883">
        <v>20220331</v>
      </c>
      <c r="F883" t="s">
        <v>2550</v>
      </c>
      <c r="G883" t="s">
        <v>2551</v>
      </c>
      <c r="H883" t="s">
        <v>590</v>
      </c>
      <c r="I883" t="s">
        <v>805</v>
      </c>
      <c r="L883">
        <v>5</v>
      </c>
      <c r="M883">
        <v>240</v>
      </c>
      <c r="N883">
        <v>-5</v>
      </c>
      <c r="O883">
        <v>-240</v>
      </c>
      <c r="Z883" s="3">
        <f t="shared" si="13"/>
        <v>48</v>
      </c>
    </row>
    <row r="884" spans="1:26" hidden="1">
      <c r="A884" t="s">
        <v>706</v>
      </c>
      <c r="B884" s="6">
        <v>44287</v>
      </c>
      <c r="C884" s="6">
        <v>44651</v>
      </c>
      <c r="D884">
        <v>20210401</v>
      </c>
      <c r="E884">
        <v>20220331</v>
      </c>
      <c r="F884" t="s">
        <v>2552</v>
      </c>
      <c r="G884" t="s">
        <v>2553</v>
      </c>
      <c r="H884" t="s">
        <v>590</v>
      </c>
      <c r="I884" t="s">
        <v>1462</v>
      </c>
      <c r="J884">
        <v>1</v>
      </c>
      <c r="K884">
        <v>1</v>
      </c>
      <c r="L884">
        <v>1</v>
      </c>
      <c r="M884">
        <v>54315</v>
      </c>
      <c r="N884">
        <v>-2</v>
      </c>
      <c r="O884">
        <v>-54316</v>
      </c>
      <c r="Z884" s="3">
        <f t="shared" si="13"/>
        <v>27158</v>
      </c>
    </row>
    <row r="885" spans="1:26" hidden="1">
      <c r="A885" t="s">
        <v>706</v>
      </c>
      <c r="B885" s="6">
        <v>44287</v>
      </c>
      <c r="C885" s="6">
        <v>44651</v>
      </c>
      <c r="D885">
        <v>20210401</v>
      </c>
      <c r="E885">
        <v>20220331</v>
      </c>
      <c r="F885" t="s">
        <v>2554</v>
      </c>
      <c r="G885" t="s">
        <v>2555</v>
      </c>
      <c r="H885" t="s">
        <v>590</v>
      </c>
      <c r="I885" t="s">
        <v>1462</v>
      </c>
      <c r="L885">
        <v>4</v>
      </c>
      <c r="M885">
        <v>380</v>
      </c>
      <c r="N885">
        <v>-4</v>
      </c>
      <c r="O885">
        <v>-380</v>
      </c>
      <c r="Z885" s="3">
        <f t="shared" si="13"/>
        <v>95</v>
      </c>
    </row>
    <row r="886" spans="1:26" hidden="1">
      <c r="A886" t="s">
        <v>706</v>
      </c>
      <c r="B886" s="6">
        <v>44287</v>
      </c>
      <c r="C886" s="6">
        <v>44651</v>
      </c>
      <c r="D886">
        <v>20210401</v>
      </c>
      <c r="E886">
        <v>20220331</v>
      </c>
      <c r="F886" t="s">
        <v>2556</v>
      </c>
      <c r="G886" t="s">
        <v>2557</v>
      </c>
      <c r="H886" t="s">
        <v>590</v>
      </c>
      <c r="I886" t="s">
        <v>1462</v>
      </c>
      <c r="L886">
        <v>3</v>
      </c>
      <c r="M886">
        <v>2505</v>
      </c>
      <c r="N886">
        <v>-3</v>
      </c>
      <c r="O886">
        <v>-2505</v>
      </c>
      <c r="Z886" s="3">
        <f t="shared" si="13"/>
        <v>835</v>
      </c>
    </row>
    <row r="887" spans="1:26" hidden="1">
      <c r="A887" t="s">
        <v>706</v>
      </c>
      <c r="B887" s="6">
        <v>44287</v>
      </c>
      <c r="C887" s="6">
        <v>44651</v>
      </c>
      <c r="D887">
        <v>20210401</v>
      </c>
      <c r="E887">
        <v>20220331</v>
      </c>
      <c r="F887" t="s">
        <v>2558</v>
      </c>
      <c r="G887" t="s">
        <v>2559</v>
      </c>
      <c r="H887" t="s">
        <v>590</v>
      </c>
      <c r="I887" t="s">
        <v>1462</v>
      </c>
      <c r="L887">
        <v>4</v>
      </c>
      <c r="M887">
        <v>2700</v>
      </c>
      <c r="N887">
        <v>-5</v>
      </c>
      <c r="O887">
        <v>-3400</v>
      </c>
      <c r="P887">
        <v>1</v>
      </c>
      <c r="Q887">
        <v>700</v>
      </c>
      <c r="Z887" s="3">
        <f t="shared" si="13"/>
        <v>675</v>
      </c>
    </row>
    <row r="888" spans="1:26" hidden="1">
      <c r="A888" t="s">
        <v>706</v>
      </c>
      <c r="B888" s="6">
        <v>44287</v>
      </c>
      <c r="C888" s="6">
        <v>44651</v>
      </c>
      <c r="D888">
        <v>20210401</v>
      </c>
      <c r="E888">
        <v>20220331</v>
      </c>
      <c r="F888" t="s">
        <v>2560</v>
      </c>
      <c r="G888" t="s">
        <v>2561</v>
      </c>
      <c r="H888" t="s">
        <v>590</v>
      </c>
      <c r="I888" t="s">
        <v>1462</v>
      </c>
      <c r="L888">
        <v>40</v>
      </c>
      <c r="M888">
        <v>1720</v>
      </c>
      <c r="N888">
        <v>-45</v>
      </c>
      <c r="O888">
        <v>-2006.36</v>
      </c>
      <c r="P888">
        <v>5</v>
      </c>
      <c r="Q888">
        <v>286.36</v>
      </c>
      <c r="Z888" s="3">
        <f t="shared" si="13"/>
        <v>43</v>
      </c>
    </row>
    <row r="889" spans="1:26" hidden="1">
      <c r="A889" t="s">
        <v>706</v>
      </c>
      <c r="B889" s="6">
        <v>44287</v>
      </c>
      <c r="C889" s="6">
        <v>44651</v>
      </c>
      <c r="D889">
        <v>20210401</v>
      </c>
      <c r="E889">
        <v>20220331</v>
      </c>
      <c r="F889" t="s">
        <v>2562</v>
      </c>
      <c r="G889" t="s">
        <v>2563</v>
      </c>
      <c r="H889" t="s">
        <v>590</v>
      </c>
      <c r="I889" t="s">
        <v>1462</v>
      </c>
      <c r="L889">
        <v>8</v>
      </c>
      <c r="M889">
        <v>1600</v>
      </c>
      <c r="N889">
        <v>-20</v>
      </c>
      <c r="O889">
        <v>-4000</v>
      </c>
      <c r="X889">
        <v>-12</v>
      </c>
      <c r="Y889">
        <v>-2400</v>
      </c>
      <c r="Z889" s="3">
        <f t="shared" si="13"/>
        <v>200</v>
      </c>
    </row>
    <row r="890" spans="1:26" hidden="1">
      <c r="A890" t="s">
        <v>706</v>
      </c>
      <c r="B890" s="6">
        <v>44287</v>
      </c>
      <c r="C890" s="6">
        <v>44651</v>
      </c>
      <c r="D890">
        <v>20210401</v>
      </c>
      <c r="E890">
        <v>20220331</v>
      </c>
      <c r="F890" t="s">
        <v>2564</v>
      </c>
      <c r="G890" t="s">
        <v>2565</v>
      </c>
      <c r="H890" t="s">
        <v>590</v>
      </c>
      <c r="I890" t="s">
        <v>1462</v>
      </c>
      <c r="L890">
        <v>1</v>
      </c>
      <c r="M890">
        <v>650</v>
      </c>
      <c r="N890">
        <v>-1</v>
      </c>
      <c r="O890">
        <v>-650</v>
      </c>
      <c r="Z890" s="3">
        <f t="shared" si="13"/>
        <v>650</v>
      </c>
    </row>
    <row r="891" spans="1:26" hidden="1">
      <c r="A891" t="s">
        <v>706</v>
      </c>
      <c r="B891" s="6">
        <v>44287</v>
      </c>
      <c r="C891" s="6">
        <v>44651</v>
      </c>
      <c r="D891">
        <v>20210401</v>
      </c>
      <c r="E891">
        <v>20220331</v>
      </c>
      <c r="F891" t="s">
        <v>2566</v>
      </c>
      <c r="G891" t="s">
        <v>2567</v>
      </c>
      <c r="H891" t="s">
        <v>590</v>
      </c>
      <c r="I891" t="s">
        <v>1462</v>
      </c>
      <c r="L891">
        <v>20</v>
      </c>
      <c r="M891">
        <v>1500</v>
      </c>
      <c r="N891">
        <v>-20</v>
      </c>
      <c r="O891">
        <v>-1500</v>
      </c>
      <c r="Z891" s="3">
        <f t="shared" si="13"/>
        <v>75</v>
      </c>
    </row>
    <row r="892" spans="1:26" hidden="1">
      <c r="A892" t="s">
        <v>706</v>
      </c>
      <c r="B892" s="6">
        <v>44287</v>
      </c>
      <c r="C892" s="6">
        <v>44651</v>
      </c>
      <c r="D892">
        <v>20210401</v>
      </c>
      <c r="E892">
        <v>20220331</v>
      </c>
      <c r="F892" t="s">
        <v>2568</v>
      </c>
      <c r="G892" t="s">
        <v>2569</v>
      </c>
      <c r="H892" t="s">
        <v>590</v>
      </c>
      <c r="I892" t="s">
        <v>1462</v>
      </c>
      <c r="K892">
        <v>0.01</v>
      </c>
      <c r="L892">
        <v>10</v>
      </c>
      <c r="M892">
        <v>12000</v>
      </c>
      <c r="N892">
        <v>-10</v>
      </c>
      <c r="O892">
        <v>-12000</v>
      </c>
      <c r="Y892">
        <v>0.01</v>
      </c>
      <c r="Z892" s="3">
        <f t="shared" si="13"/>
        <v>1200</v>
      </c>
    </row>
    <row r="893" spans="1:26" hidden="1">
      <c r="A893" t="s">
        <v>706</v>
      </c>
      <c r="B893" s="6">
        <v>44287</v>
      </c>
      <c r="C893" s="6">
        <v>44651</v>
      </c>
      <c r="D893">
        <v>20210401</v>
      </c>
      <c r="E893">
        <v>20220331</v>
      </c>
      <c r="F893" t="s">
        <v>2570</v>
      </c>
      <c r="G893" t="s">
        <v>2571</v>
      </c>
      <c r="H893" t="s">
        <v>590</v>
      </c>
      <c r="I893" t="s">
        <v>1462</v>
      </c>
      <c r="K893">
        <v>0.01</v>
      </c>
      <c r="Y893">
        <v>0.01</v>
      </c>
      <c r="Z893" s="3" t="e">
        <f t="shared" si="13"/>
        <v>#DIV/0!</v>
      </c>
    </row>
    <row r="894" spans="1:26" hidden="1">
      <c r="A894" t="s">
        <v>706</v>
      </c>
      <c r="B894" s="6">
        <v>44287</v>
      </c>
      <c r="C894" s="6">
        <v>44651</v>
      </c>
      <c r="D894">
        <v>20210401</v>
      </c>
      <c r="E894">
        <v>20220331</v>
      </c>
      <c r="F894" t="s">
        <v>2572</v>
      </c>
      <c r="G894" t="s">
        <v>2573</v>
      </c>
      <c r="H894" t="s">
        <v>590</v>
      </c>
      <c r="I894" t="s">
        <v>1462</v>
      </c>
      <c r="L894">
        <v>2</v>
      </c>
      <c r="M894">
        <v>150</v>
      </c>
      <c r="N894">
        <v>-2</v>
      </c>
      <c r="O894">
        <v>-150</v>
      </c>
      <c r="Z894" s="3">
        <f t="shared" si="13"/>
        <v>75</v>
      </c>
    </row>
    <row r="895" spans="1:26" hidden="1">
      <c r="A895" t="s">
        <v>706</v>
      </c>
      <c r="B895" s="6">
        <v>44287</v>
      </c>
      <c r="C895" s="6">
        <v>44651</v>
      </c>
      <c r="D895">
        <v>20210401</v>
      </c>
      <c r="E895">
        <v>20220331</v>
      </c>
      <c r="F895" t="s">
        <v>2574</v>
      </c>
      <c r="G895" t="s">
        <v>2575</v>
      </c>
      <c r="H895" t="s">
        <v>590</v>
      </c>
      <c r="I895" t="s">
        <v>1462</v>
      </c>
      <c r="L895">
        <v>4</v>
      </c>
      <c r="M895">
        <v>626.4</v>
      </c>
      <c r="N895">
        <v>-4</v>
      </c>
      <c r="O895">
        <v>-626.4</v>
      </c>
      <c r="Z895" s="3">
        <f t="shared" si="13"/>
        <v>156.6</v>
      </c>
    </row>
    <row r="896" spans="1:26" hidden="1">
      <c r="A896" t="s">
        <v>706</v>
      </c>
      <c r="B896" s="6">
        <v>44287</v>
      </c>
      <c r="C896" s="6">
        <v>44651</v>
      </c>
      <c r="D896">
        <v>20210401</v>
      </c>
      <c r="E896">
        <v>20220331</v>
      </c>
      <c r="F896" t="s">
        <v>2576</v>
      </c>
      <c r="G896" t="s">
        <v>2577</v>
      </c>
      <c r="H896" t="s">
        <v>590</v>
      </c>
      <c r="I896" t="s">
        <v>1462</v>
      </c>
      <c r="L896">
        <v>4</v>
      </c>
      <c r="M896">
        <v>2661.18</v>
      </c>
      <c r="N896">
        <v>-4</v>
      </c>
      <c r="O896">
        <v>-2661.18</v>
      </c>
      <c r="Z896" s="3">
        <f t="shared" si="13"/>
        <v>665.29499999999996</v>
      </c>
    </row>
    <row r="897" spans="1:26" hidden="1">
      <c r="A897" t="s">
        <v>706</v>
      </c>
      <c r="B897" s="6">
        <v>44287</v>
      </c>
      <c r="C897" s="6">
        <v>44651</v>
      </c>
      <c r="D897">
        <v>20210401</v>
      </c>
      <c r="E897">
        <v>20220331</v>
      </c>
      <c r="F897" t="s">
        <v>2578</v>
      </c>
      <c r="G897" t="s">
        <v>2579</v>
      </c>
      <c r="H897" t="s">
        <v>590</v>
      </c>
      <c r="I897" t="s">
        <v>1462</v>
      </c>
      <c r="L897">
        <v>2</v>
      </c>
      <c r="M897">
        <v>4547.88</v>
      </c>
      <c r="N897">
        <v>-2</v>
      </c>
      <c r="O897">
        <v>-4547.88</v>
      </c>
      <c r="Z897" s="3">
        <f t="shared" si="13"/>
        <v>2273.94</v>
      </c>
    </row>
    <row r="898" spans="1:26" hidden="1">
      <c r="A898" t="s">
        <v>706</v>
      </c>
      <c r="B898" s="6">
        <v>44287</v>
      </c>
      <c r="C898" s="6">
        <v>44651</v>
      </c>
      <c r="D898">
        <v>20210401</v>
      </c>
      <c r="E898">
        <v>20220331</v>
      </c>
      <c r="F898" t="s">
        <v>2580</v>
      </c>
      <c r="G898" t="s">
        <v>2581</v>
      </c>
      <c r="H898" t="s">
        <v>590</v>
      </c>
      <c r="I898" t="s">
        <v>1462</v>
      </c>
      <c r="L898">
        <v>4</v>
      </c>
      <c r="M898">
        <v>5576</v>
      </c>
      <c r="N898">
        <v>-4</v>
      </c>
      <c r="O898">
        <v>-5576</v>
      </c>
      <c r="Z898" s="3">
        <f t="shared" si="13"/>
        <v>1394</v>
      </c>
    </row>
    <row r="899" spans="1:26" hidden="1">
      <c r="A899" t="s">
        <v>706</v>
      </c>
      <c r="B899" s="6">
        <v>44287</v>
      </c>
      <c r="C899" s="6">
        <v>44651</v>
      </c>
      <c r="D899">
        <v>20210401</v>
      </c>
      <c r="E899">
        <v>20220331</v>
      </c>
      <c r="F899" t="s">
        <v>2582</v>
      </c>
      <c r="G899" t="s">
        <v>2583</v>
      </c>
      <c r="H899" t="s">
        <v>590</v>
      </c>
      <c r="I899" t="s">
        <v>1462</v>
      </c>
      <c r="J899">
        <v>10</v>
      </c>
      <c r="K899">
        <v>480</v>
      </c>
      <c r="N899">
        <v>-10</v>
      </c>
      <c r="O899">
        <v>-480</v>
      </c>
      <c r="Z899" s="3">
        <f t="shared" ref="Z899:Z962" si="14">IFERROR((O899+Q899)/(N899+P899),Y899/X899)</f>
        <v>48</v>
      </c>
    </row>
    <row r="900" spans="1:26" hidden="1">
      <c r="A900" t="s">
        <v>706</v>
      </c>
      <c r="B900" s="6">
        <v>44287</v>
      </c>
      <c r="C900" s="6">
        <v>44651</v>
      </c>
      <c r="D900">
        <v>20210401</v>
      </c>
      <c r="E900">
        <v>20220331</v>
      </c>
      <c r="F900" t="s">
        <v>2584</v>
      </c>
      <c r="G900" t="s">
        <v>2585</v>
      </c>
      <c r="H900" t="s">
        <v>590</v>
      </c>
      <c r="I900" t="s">
        <v>1462</v>
      </c>
      <c r="L900">
        <v>85</v>
      </c>
      <c r="M900">
        <v>13806.84</v>
      </c>
      <c r="N900">
        <v>-85</v>
      </c>
      <c r="O900">
        <v>-13806.84</v>
      </c>
      <c r="Z900" s="3">
        <f t="shared" si="14"/>
        <v>162.43341176470588</v>
      </c>
    </row>
    <row r="901" spans="1:26" hidden="1">
      <c r="A901" t="s">
        <v>706</v>
      </c>
      <c r="B901" s="6">
        <v>44287</v>
      </c>
      <c r="C901" s="6">
        <v>44651</v>
      </c>
      <c r="D901">
        <v>20210401</v>
      </c>
      <c r="E901">
        <v>20220331</v>
      </c>
      <c r="F901" t="s">
        <v>2586</v>
      </c>
      <c r="G901" t="s">
        <v>2587</v>
      </c>
      <c r="H901" t="s">
        <v>590</v>
      </c>
      <c r="I901" t="s">
        <v>1462</v>
      </c>
      <c r="L901">
        <v>2</v>
      </c>
      <c r="M901">
        <v>682</v>
      </c>
      <c r="N901">
        <v>-2</v>
      </c>
      <c r="O901">
        <v>-682</v>
      </c>
      <c r="Z901" s="3">
        <f t="shared" si="14"/>
        <v>341</v>
      </c>
    </row>
    <row r="902" spans="1:26" hidden="1">
      <c r="A902" t="s">
        <v>706</v>
      </c>
      <c r="B902" s="6">
        <v>44287</v>
      </c>
      <c r="C902" s="6">
        <v>44651</v>
      </c>
      <c r="D902">
        <v>20210401</v>
      </c>
      <c r="E902">
        <v>20220331</v>
      </c>
      <c r="F902" t="s">
        <v>2588</v>
      </c>
      <c r="G902" t="s">
        <v>2589</v>
      </c>
      <c r="H902" t="s">
        <v>590</v>
      </c>
      <c r="I902" t="s">
        <v>1462</v>
      </c>
      <c r="L902">
        <v>22</v>
      </c>
      <c r="M902">
        <v>648</v>
      </c>
      <c r="N902">
        <v>-22</v>
      </c>
      <c r="O902">
        <v>-648</v>
      </c>
      <c r="Z902" s="3">
        <f t="shared" si="14"/>
        <v>29.454545454545453</v>
      </c>
    </row>
    <row r="903" spans="1:26" hidden="1">
      <c r="A903" t="s">
        <v>706</v>
      </c>
      <c r="B903" s="6">
        <v>44287</v>
      </c>
      <c r="C903" s="6">
        <v>44651</v>
      </c>
      <c r="D903">
        <v>20210401</v>
      </c>
      <c r="E903">
        <v>20220331</v>
      </c>
      <c r="F903" t="s">
        <v>2590</v>
      </c>
      <c r="G903" t="s">
        <v>2591</v>
      </c>
      <c r="H903" t="s">
        <v>590</v>
      </c>
      <c r="I903" t="s">
        <v>1462</v>
      </c>
      <c r="L903">
        <v>1</v>
      </c>
      <c r="M903">
        <v>763</v>
      </c>
      <c r="N903">
        <v>-1</v>
      </c>
      <c r="O903">
        <v>-763</v>
      </c>
      <c r="Z903" s="3">
        <f t="shared" si="14"/>
        <v>763</v>
      </c>
    </row>
    <row r="904" spans="1:26" hidden="1">
      <c r="A904" t="s">
        <v>706</v>
      </c>
      <c r="B904" s="6">
        <v>44287</v>
      </c>
      <c r="C904" s="6">
        <v>44651</v>
      </c>
      <c r="D904">
        <v>20210401</v>
      </c>
      <c r="E904">
        <v>20220331</v>
      </c>
      <c r="F904" t="s">
        <v>2592</v>
      </c>
      <c r="G904" t="s">
        <v>2593</v>
      </c>
      <c r="H904" t="s">
        <v>590</v>
      </c>
      <c r="I904" t="s">
        <v>1462</v>
      </c>
      <c r="L904">
        <v>1</v>
      </c>
      <c r="M904">
        <v>3640</v>
      </c>
      <c r="N904">
        <v>-1</v>
      </c>
      <c r="O904">
        <v>-3640</v>
      </c>
      <c r="Z904" s="3">
        <f t="shared" si="14"/>
        <v>3640</v>
      </c>
    </row>
    <row r="905" spans="1:26" hidden="1">
      <c r="A905" t="s">
        <v>706</v>
      </c>
      <c r="B905" s="6">
        <v>44287</v>
      </c>
      <c r="C905" s="6">
        <v>44651</v>
      </c>
      <c r="D905">
        <v>20210401</v>
      </c>
      <c r="E905">
        <v>20220331</v>
      </c>
      <c r="F905" t="s">
        <v>2594</v>
      </c>
      <c r="G905" t="s">
        <v>2595</v>
      </c>
      <c r="H905" t="s">
        <v>590</v>
      </c>
      <c r="I905" t="s">
        <v>1462</v>
      </c>
      <c r="L905">
        <v>20</v>
      </c>
      <c r="M905">
        <v>30800</v>
      </c>
      <c r="N905">
        <v>-20</v>
      </c>
      <c r="O905">
        <v>-30800</v>
      </c>
      <c r="Z905" s="3">
        <f t="shared" si="14"/>
        <v>1540</v>
      </c>
    </row>
    <row r="906" spans="1:26" hidden="1">
      <c r="A906" t="s">
        <v>706</v>
      </c>
      <c r="B906" s="6">
        <v>44287</v>
      </c>
      <c r="C906" s="6">
        <v>44651</v>
      </c>
      <c r="D906">
        <v>20210401</v>
      </c>
      <c r="E906">
        <v>20220331</v>
      </c>
      <c r="F906" t="s">
        <v>2596</v>
      </c>
      <c r="G906" t="s">
        <v>2597</v>
      </c>
      <c r="H906" t="s">
        <v>590</v>
      </c>
      <c r="I906" t="s">
        <v>1462</v>
      </c>
      <c r="L906">
        <v>1</v>
      </c>
      <c r="M906">
        <v>1275</v>
      </c>
      <c r="N906">
        <v>-1</v>
      </c>
      <c r="O906">
        <v>-1275</v>
      </c>
      <c r="Z906" s="3">
        <f t="shared" si="14"/>
        <v>1275</v>
      </c>
    </row>
    <row r="907" spans="1:26" hidden="1">
      <c r="A907" t="s">
        <v>706</v>
      </c>
      <c r="B907" s="6">
        <v>44287</v>
      </c>
      <c r="C907" s="6">
        <v>44651</v>
      </c>
      <c r="D907">
        <v>20210401</v>
      </c>
      <c r="E907">
        <v>20220331</v>
      </c>
      <c r="F907" t="s">
        <v>2598</v>
      </c>
      <c r="G907" t="s">
        <v>2599</v>
      </c>
      <c r="H907" t="s">
        <v>590</v>
      </c>
      <c r="I907" t="s">
        <v>1462</v>
      </c>
      <c r="L907">
        <v>70</v>
      </c>
      <c r="M907">
        <v>12427.2</v>
      </c>
      <c r="N907">
        <v>-70</v>
      </c>
      <c r="O907">
        <v>-12427.2</v>
      </c>
      <c r="Z907" s="3">
        <f t="shared" si="14"/>
        <v>177.53142857142859</v>
      </c>
    </row>
    <row r="908" spans="1:26" hidden="1">
      <c r="A908" t="s">
        <v>706</v>
      </c>
      <c r="B908" s="6">
        <v>44287</v>
      </c>
      <c r="C908" s="6">
        <v>44651</v>
      </c>
      <c r="D908">
        <v>20210401</v>
      </c>
      <c r="E908">
        <v>20220331</v>
      </c>
      <c r="F908" t="s">
        <v>2600</v>
      </c>
      <c r="G908" t="s">
        <v>2601</v>
      </c>
      <c r="H908" t="s">
        <v>590</v>
      </c>
      <c r="I908" t="s">
        <v>1462</v>
      </c>
      <c r="L908">
        <v>1</v>
      </c>
      <c r="M908">
        <v>3597</v>
      </c>
      <c r="N908">
        <v>-1</v>
      </c>
      <c r="O908">
        <v>-3597</v>
      </c>
      <c r="Z908" s="3">
        <f t="shared" si="14"/>
        <v>3597</v>
      </c>
    </row>
    <row r="909" spans="1:26" hidden="1">
      <c r="A909" t="s">
        <v>706</v>
      </c>
      <c r="B909" s="6">
        <v>44287</v>
      </c>
      <c r="C909" s="6">
        <v>44651</v>
      </c>
      <c r="D909">
        <v>20210401</v>
      </c>
      <c r="E909">
        <v>20220331</v>
      </c>
      <c r="F909" t="s">
        <v>2602</v>
      </c>
      <c r="G909" t="s">
        <v>2603</v>
      </c>
      <c r="H909" t="s">
        <v>590</v>
      </c>
      <c r="I909" t="s">
        <v>1462</v>
      </c>
      <c r="L909">
        <v>61</v>
      </c>
      <c r="M909">
        <v>233970</v>
      </c>
      <c r="N909">
        <v>-61</v>
      </c>
      <c r="O909">
        <v>-233970</v>
      </c>
      <c r="Z909" s="3">
        <f t="shared" si="14"/>
        <v>3835.5737704918033</v>
      </c>
    </row>
    <row r="910" spans="1:26" hidden="1">
      <c r="A910" t="s">
        <v>706</v>
      </c>
      <c r="B910" s="6">
        <v>44287</v>
      </c>
      <c r="C910" s="6">
        <v>44651</v>
      </c>
      <c r="D910">
        <v>20210401</v>
      </c>
      <c r="E910">
        <v>20220331</v>
      </c>
      <c r="F910" t="s">
        <v>2604</v>
      </c>
      <c r="G910" t="s">
        <v>2605</v>
      </c>
      <c r="H910" t="s">
        <v>590</v>
      </c>
      <c r="I910" t="s">
        <v>1462</v>
      </c>
      <c r="L910">
        <v>2</v>
      </c>
      <c r="M910">
        <v>1440.68</v>
      </c>
      <c r="N910">
        <v>-2</v>
      </c>
      <c r="O910">
        <v>-1440.68</v>
      </c>
      <c r="Z910" s="3">
        <f t="shared" si="14"/>
        <v>720.34</v>
      </c>
    </row>
    <row r="911" spans="1:26" hidden="1">
      <c r="A911" t="s">
        <v>706</v>
      </c>
      <c r="B911" s="6">
        <v>44287</v>
      </c>
      <c r="C911" s="6">
        <v>44651</v>
      </c>
      <c r="D911">
        <v>20210401</v>
      </c>
      <c r="E911">
        <v>20220331</v>
      </c>
      <c r="F911" t="s">
        <v>2606</v>
      </c>
      <c r="G911" t="s">
        <v>2607</v>
      </c>
      <c r="H911" t="s">
        <v>590</v>
      </c>
      <c r="I911" t="s">
        <v>1462</v>
      </c>
      <c r="L911">
        <v>41</v>
      </c>
      <c r="M911">
        <v>68100</v>
      </c>
      <c r="N911">
        <v>-41</v>
      </c>
      <c r="O911">
        <v>-68100</v>
      </c>
      <c r="Z911" s="3">
        <f t="shared" si="14"/>
        <v>1660.9756097560976</v>
      </c>
    </row>
    <row r="912" spans="1:26" hidden="1">
      <c r="A912" t="s">
        <v>706</v>
      </c>
      <c r="B912" s="6">
        <v>44287</v>
      </c>
      <c r="C912" s="6">
        <v>44651</v>
      </c>
      <c r="D912">
        <v>20210401</v>
      </c>
      <c r="E912">
        <v>20220331</v>
      </c>
      <c r="F912" t="s">
        <v>2608</v>
      </c>
      <c r="G912" t="s">
        <v>2609</v>
      </c>
      <c r="H912" t="s">
        <v>590</v>
      </c>
      <c r="I912" t="s">
        <v>1462</v>
      </c>
      <c r="L912">
        <v>1</v>
      </c>
      <c r="M912">
        <v>70997.02</v>
      </c>
      <c r="N912">
        <v>-1</v>
      </c>
      <c r="O912">
        <v>-70997.02</v>
      </c>
      <c r="Z912" s="3">
        <f t="shared" si="14"/>
        <v>70997.02</v>
      </c>
    </row>
    <row r="913" spans="1:26" hidden="1">
      <c r="A913" t="s">
        <v>706</v>
      </c>
      <c r="B913" s="6">
        <v>44287</v>
      </c>
      <c r="C913" s="6">
        <v>44651</v>
      </c>
      <c r="D913">
        <v>20210401</v>
      </c>
      <c r="E913">
        <v>20220331</v>
      </c>
      <c r="F913" t="s">
        <v>2610</v>
      </c>
      <c r="G913" t="s">
        <v>2611</v>
      </c>
      <c r="H913" t="s">
        <v>590</v>
      </c>
      <c r="I913" t="s">
        <v>1462</v>
      </c>
      <c r="L913">
        <v>26</v>
      </c>
      <c r="M913">
        <v>54366</v>
      </c>
      <c r="N913">
        <v>-26</v>
      </c>
      <c r="O913">
        <v>-54366</v>
      </c>
      <c r="Z913" s="3">
        <f t="shared" si="14"/>
        <v>2091</v>
      </c>
    </row>
    <row r="914" spans="1:26" hidden="1">
      <c r="A914" t="s">
        <v>706</v>
      </c>
      <c r="B914" s="6">
        <v>44287</v>
      </c>
      <c r="C914" s="6">
        <v>44651</v>
      </c>
      <c r="D914">
        <v>20210401</v>
      </c>
      <c r="E914">
        <v>20220331</v>
      </c>
      <c r="F914" t="s">
        <v>2612</v>
      </c>
      <c r="G914" t="s">
        <v>2613</v>
      </c>
      <c r="H914" t="s">
        <v>1267</v>
      </c>
      <c r="I914" t="s">
        <v>1462</v>
      </c>
      <c r="L914">
        <v>5</v>
      </c>
      <c r="M914">
        <v>11700</v>
      </c>
      <c r="N914">
        <v>-5</v>
      </c>
      <c r="O914">
        <v>-11700</v>
      </c>
      <c r="Z914" s="3">
        <f t="shared" si="14"/>
        <v>2340</v>
      </c>
    </row>
    <row r="915" spans="1:26" hidden="1">
      <c r="A915" t="s">
        <v>706</v>
      </c>
      <c r="B915" s="6">
        <v>44287</v>
      </c>
      <c r="C915" s="6">
        <v>44651</v>
      </c>
      <c r="D915">
        <v>20210401</v>
      </c>
      <c r="E915">
        <v>20220331</v>
      </c>
      <c r="F915" t="s">
        <v>2614</v>
      </c>
      <c r="G915" t="s">
        <v>2615</v>
      </c>
      <c r="H915" t="s">
        <v>590</v>
      </c>
      <c r="I915" t="s">
        <v>1462</v>
      </c>
      <c r="L915">
        <v>5</v>
      </c>
      <c r="M915">
        <v>7800</v>
      </c>
      <c r="N915">
        <v>-5</v>
      </c>
      <c r="O915">
        <v>-7800</v>
      </c>
      <c r="Z915" s="3">
        <f t="shared" si="14"/>
        <v>1560</v>
      </c>
    </row>
    <row r="916" spans="1:26" hidden="1">
      <c r="A916" t="s">
        <v>706</v>
      </c>
      <c r="B916" s="6">
        <v>44287</v>
      </c>
      <c r="C916" s="6">
        <v>44651</v>
      </c>
      <c r="D916">
        <v>20210401</v>
      </c>
      <c r="E916">
        <v>20220331</v>
      </c>
      <c r="F916" t="s">
        <v>2616</v>
      </c>
      <c r="G916" t="s">
        <v>2617</v>
      </c>
      <c r="H916" t="s">
        <v>590</v>
      </c>
      <c r="I916" t="s">
        <v>1462</v>
      </c>
      <c r="L916">
        <v>5</v>
      </c>
      <c r="M916">
        <v>10320</v>
      </c>
      <c r="N916">
        <v>-5</v>
      </c>
      <c r="O916">
        <v>-10320</v>
      </c>
      <c r="Z916" s="3">
        <f t="shared" si="14"/>
        <v>2064</v>
      </c>
    </row>
    <row r="917" spans="1:26" hidden="1">
      <c r="A917" t="s">
        <v>706</v>
      </c>
      <c r="B917" s="6">
        <v>44287</v>
      </c>
      <c r="C917" s="6">
        <v>44651</v>
      </c>
      <c r="D917">
        <v>20210401</v>
      </c>
      <c r="E917">
        <v>20220331</v>
      </c>
      <c r="F917" t="s">
        <v>2618</v>
      </c>
      <c r="G917" t="s">
        <v>2619</v>
      </c>
      <c r="H917" t="s">
        <v>590</v>
      </c>
      <c r="I917" t="s">
        <v>1462</v>
      </c>
      <c r="L917">
        <v>8</v>
      </c>
      <c r="M917">
        <v>7560</v>
      </c>
      <c r="N917">
        <v>-8</v>
      </c>
      <c r="O917">
        <v>-7560</v>
      </c>
      <c r="Z917" s="3">
        <f t="shared" si="14"/>
        <v>945</v>
      </c>
    </row>
    <row r="918" spans="1:26" hidden="1">
      <c r="A918" t="s">
        <v>706</v>
      </c>
      <c r="B918" s="6">
        <v>44287</v>
      </c>
      <c r="C918" s="6">
        <v>44651</v>
      </c>
      <c r="D918">
        <v>20210401</v>
      </c>
      <c r="E918">
        <v>20220331</v>
      </c>
      <c r="F918" t="s">
        <v>2620</v>
      </c>
      <c r="G918" t="s">
        <v>2621</v>
      </c>
      <c r="H918" t="s">
        <v>590</v>
      </c>
      <c r="I918" t="s">
        <v>1462</v>
      </c>
      <c r="L918">
        <v>1</v>
      </c>
      <c r="M918">
        <v>7000</v>
      </c>
      <c r="N918">
        <v>-1</v>
      </c>
      <c r="O918">
        <v>-7000</v>
      </c>
      <c r="Z918" s="3">
        <f t="shared" si="14"/>
        <v>7000</v>
      </c>
    </row>
    <row r="919" spans="1:26" hidden="1">
      <c r="A919" t="s">
        <v>706</v>
      </c>
      <c r="B919" s="6">
        <v>44287</v>
      </c>
      <c r="C919" s="6">
        <v>44651</v>
      </c>
      <c r="D919">
        <v>20210401</v>
      </c>
      <c r="E919">
        <v>20220331</v>
      </c>
      <c r="F919" t="s">
        <v>2622</v>
      </c>
      <c r="G919" t="s">
        <v>2623</v>
      </c>
      <c r="H919" t="s">
        <v>590</v>
      </c>
      <c r="I919" t="s">
        <v>1462</v>
      </c>
      <c r="L919">
        <v>1</v>
      </c>
      <c r="M919">
        <v>9000</v>
      </c>
      <c r="N919">
        <v>-1</v>
      </c>
      <c r="O919">
        <v>-9000</v>
      </c>
      <c r="Z919" s="3">
        <f t="shared" si="14"/>
        <v>9000</v>
      </c>
    </row>
    <row r="920" spans="1:26" hidden="1">
      <c r="A920" t="s">
        <v>706</v>
      </c>
      <c r="B920" s="6">
        <v>44287</v>
      </c>
      <c r="C920" s="6">
        <v>44651</v>
      </c>
      <c r="D920">
        <v>20210401</v>
      </c>
      <c r="E920">
        <v>20220331</v>
      </c>
      <c r="F920" t="s">
        <v>2624</v>
      </c>
      <c r="G920" t="s">
        <v>2625</v>
      </c>
      <c r="H920" t="s">
        <v>590</v>
      </c>
      <c r="I920" t="s">
        <v>1462</v>
      </c>
      <c r="L920">
        <v>3</v>
      </c>
      <c r="M920">
        <v>4050</v>
      </c>
      <c r="N920">
        <v>-3</v>
      </c>
      <c r="O920">
        <v>-4050</v>
      </c>
      <c r="Z920" s="3">
        <f t="shared" si="14"/>
        <v>1350</v>
      </c>
    </row>
    <row r="921" spans="1:26" hidden="1">
      <c r="A921" t="s">
        <v>706</v>
      </c>
      <c r="B921" s="6">
        <v>44287</v>
      </c>
      <c r="C921" s="6">
        <v>44651</v>
      </c>
      <c r="D921">
        <v>20210401</v>
      </c>
      <c r="E921">
        <v>20220331</v>
      </c>
      <c r="F921" t="s">
        <v>2626</v>
      </c>
      <c r="G921" t="s">
        <v>2627</v>
      </c>
      <c r="H921" t="s">
        <v>590</v>
      </c>
      <c r="I921" t="s">
        <v>1462</v>
      </c>
      <c r="L921">
        <v>2</v>
      </c>
      <c r="M921">
        <v>15091.4</v>
      </c>
      <c r="N921">
        <v>-2</v>
      </c>
      <c r="O921">
        <v>-15091.4</v>
      </c>
      <c r="Z921" s="3">
        <f t="shared" si="14"/>
        <v>7545.7</v>
      </c>
    </row>
    <row r="922" spans="1:26" hidden="1">
      <c r="A922" t="s">
        <v>706</v>
      </c>
      <c r="B922" s="6">
        <v>44287</v>
      </c>
      <c r="C922" s="6">
        <v>44651</v>
      </c>
      <c r="D922">
        <v>20210401</v>
      </c>
      <c r="E922">
        <v>20220331</v>
      </c>
      <c r="F922" t="s">
        <v>2628</v>
      </c>
      <c r="G922" t="s">
        <v>2629</v>
      </c>
      <c r="H922" t="s">
        <v>590</v>
      </c>
      <c r="I922" t="s">
        <v>1462</v>
      </c>
      <c r="L922">
        <v>4</v>
      </c>
      <c r="M922">
        <v>3039.28</v>
      </c>
      <c r="N922">
        <v>-4</v>
      </c>
      <c r="O922">
        <v>-3039.28</v>
      </c>
      <c r="Z922" s="3">
        <f t="shared" si="14"/>
        <v>759.82</v>
      </c>
    </row>
    <row r="923" spans="1:26" hidden="1">
      <c r="A923" t="s">
        <v>706</v>
      </c>
      <c r="B923" s="6">
        <v>44287</v>
      </c>
      <c r="C923" s="6">
        <v>44651</v>
      </c>
      <c r="D923">
        <v>20210401</v>
      </c>
      <c r="E923">
        <v>20220331</v>
      </c>
      <c r="F923" t="s">
        <v>2630</v>
      </c>
      <c r="G923" t="s">
        <v>2631</v>
      </c>
      <c r="H923" t="s">
        <v>590</v>
      </c>
      <c r="I923" t="s">
        <v>1462</v>
      </c>
      <c r="L923">
        <v>492</v>
      </c>
      <c r="M923">
        <v>85191.679999999993</v>
      </c>
      <c r="N923">
        <v>-504</v>
      </c>
      <c r="O923">
        <v>-87227.36</v>
      </c>
      <c r="P923">
        <v>12</v>
      </c>
      <c r="Q923">
        <v>2035.68</v>
      </c>
      <c r="Z923" s="3">
        <f t="shared" si="14"/>
        <v>173.15382113821138</v>
      </c>
    </row>
    <row r="924" spans="1:26" hidden="1">
      <c r="A924" t="s">
        <v>706</v>
      </c>
      <c r="B924" s="6">
        <v>44287</v>
      </c>
      <c r="C924" s="6">
        <v>44651</v>
      </c>
      <c r="D924">
        <v>20210401</v>
      </c>
      <c r="E924">
        <v>20220331</v>
      </c>
      <c r="F924" t="s">
        <v>2632</v>
      </c>
      <c r="G924" t="s">
        <v>2633</v>
      </c>
      <c r="H924" t="s">
        <v>590</v>
      </c>
      <c r="I924" t="s">
        <v>1462</v>
      </c>
      <c r="L924">
        <v>10</v>
      </c>
      <c r="M924">
        <v>3760.55</v>
      </c>
      <c r="N924">
        <v>-10</v>
      </c>
      <c r="O924">
        <v>-3760.55</v>
      </c>
      <c r="Z924" s="3">
        <f t="shared" si="14"/>
        <v>376.05500000000001</v>
      </c>
    </row>
    <row r="925" spans="1:26" hidden="1">
      <c r="A925" t="s">
        <v>706</v>
      </c>
      <c r="B925" s="6">
        <v>44287</v>
      </c>
      <c r="C925" s="6">
        <v>44651</v>
      </c>
      <c r="D925">
        <v>20210401</v>
      </c>
      <c r="E925">
        <v>20220331</v>
      </c>
      <c r="F925" t="s">
        <v>2634</v>
      </c>
      <c r="G925" t="s">
        <v>2635</v>
      </c>
      <c r="H925" t="s">
        <v>590</v>
      </c>
      <c r="I925" t="s">
        <v>1462</v>
      </c>
      <c r="L925">
        <v>18</v>
      </c>
      <c r="M925">
        <v>1710</v>
      </c>
      <c r="N925">
        <v>-18</v>
      </c>
      <c r="O925">
        <v>-1710</v>
      </c>
      <c r="Z925" s="3">
        <f t="shared" si="14"/>
        <v>95</v>
      </c>
    </row>
    <row r="926" spans="1:26" hidden="1">
      <c r="A926" t="s">
        <v>706</v>
      </c>
      <c r="B926" s="6">
        <v>44287</v>
      </c>
      <c r="C926" s="6">
        <v>44651</v>
      </c>
      <c r="D926">
        <v>20210401</v>
      </c>
      <c r="E926">
        <v>20220331</v>
      </c>
      <c r="F926" t="s">
        <v>2636</v>
      </c>
      <c r="G926" t="s">
        <v>2637</v>
      </c>
      <c r="H926" t="s">
        <v>590</v>
      </c>
      <c r="I926" t="s">
        <v>1462</v>
      </c>
      <c r="L926">
        <v>3</v>
      </c>
      <c r="M926">
        <v>375</v>
      </c>
      <c r="N926">
        <v>-3</v>
      </c>
      <c r="O926">
        <v>-375</v>
      </c>
      <c r="Z926" s="3">
        <f t="shared" si="14"/>
        <v>125</v>
      </c>
    </row>
    <row r="927" spans="1:26" hidden="1">
      <c r="A927" t="s">
        <v>706</v>
      </c>
      <c r="B927" s="6">
        <v>44287</v>
      </c>
      <c r="C927" s="6">
        <v>44651</v>
      </c>
      <c r="D927">
        <v>20210401</v>
      </c>
      <c r="E927">
        <v>20220331</v>
      </c>
      <c r="F927" t="s">
        <v>2638</v>
      </c>
      <c r="G927" t="s">
        <v>2639</v>
      </c>
      <c r="H927" t="s">
        <v>590</v>
      </c>
      <c r="I927" t="s">
        <v>1462</v>
      </c>
      <c r="L927">
        <v>3</v>
      </c>
      <c r="M927">
        <v>5025</v>
      </c>
      <c r="N927">
        <v>-3</v>
      </c>
      <c r="O927">
        <v>-5025</v>
      </c>
      <c r="Z927" s="3">
        <f t="shared" si="14"/>
        <v>1675</v>
      </c>
    </row>
    <row r="928" spans="1:26" hidden="1">
      <c r="A928" t="s">
        <v>706</v>
      </c>
      <c r="B928" s="6">
        <v>44287</v>
      </c>
      <c r="C928" s="6">
        <v>44651</v>
      </c>
      <c r="D928">
        <v>20210401</v>
      </c>
      <c r="E928">
        <v>20220331</v>
      </c>
      <c r="F928" t="s">
        <v>2640</v>
      </c>
      <c r="G928" t="s">
        <v>2641</v>
      </c>
      <c r="H928" t="s">
        <v>590</v>
      </c>
      <c r="I928" t="s">
        <v>1462</v>
      </c>
      <c r="L928">
        <v>18</v>
      </c>
      <c r="M928">
        <v>1323</v>
      </c>
      <c r="N928">
        <v>-18</v>
      </c>
      <c r="O928">
        <v>-1323</v>
      </c>
      <c r="Z928" s="3">
        <f t="shared" si="14"/>
        <v>73.5</v>
      </c>
    </row>
    <row r="929" spans="1:26" hidden="1">
      <c r="A929" t="s">
        <v>706</v>
      </c>
      <c r="B929" s="6">
        <v>44287</v>
      </c>
      <c r="C929" s="6">
        <v>44651</v>
      </c>
      <c r="D929">
        <v>20210401</v>
      </c>
      <c r="E929">
        <v>20220331</v>
      </c>
      <c r="F929" t="s">
        <v>2642</v>
      </c>
      <c r="G929" t="s">
        <v>2643</v>
      </c>
      <c r="H929" t="s">
        <v>590</v>
      </c>
      <c r="I929" t="s">
        <v>1462</v>
      </c>
      <c r="L929">
        <v>2</v>
      </c>
      <c r="M929">
        <v>4184</v>
      </c>
      <c r="N929">
        <v>-2</v>
      </c>
      <c r="O929">
        <v>-4184</v>
      </c>
      <c r="Z929" s="3">
        <f t="shared" si="14"/>
        <v>2092</v>
      </c>
    </row>
    <row r="930" spans="1:26" hidden="1">
      <c r="A930" t="s">
        <v>706</v>
      </c>
      <c r="B930" s="6">
        <v>44287</v>
      </c>
      <c r="C930" s="6">
        <v>44651</v>
      </c>
      <c r="D930">
        <v>20210401</v>
      </c>
      <c r="E930">
        <v>20220331</v>
      </c>
      <c r="F930" t="s">
        <v>2644</v>
      </c>
      <c r="G930" t="s">
        <v>2645</v>
      </c>
      <c r="H930" t="s">
        <v>590</v>
      </c>
      <c r="I930" t="s">
        <v>1462</v>
      </c>
      <c r="L930">
        <v>10</v>
      </c>
      <c r="M930">
        <v>1150</v>
      </c>
      <c r="N930">
        <v>-10</v>
      </c>
      <c r="O930">
        <v>-1150</v>
      </c>
      <c r="Z930" s="3">
        <f t="shared" si="14"/>
        <v>115</v>
      </c>
    </row>
    <row r="931" spans="1:26" hidden="1">
      <c r="A931" t="s">
        <v>706</v>
      </c>
      <c r="B931" s="6">
        <v>44287</v>
      </c>
      <c r="C931" s="6">
        <v>44651</v>
      </c>
      <c r="D931">
        <v>20210401</v>
      </c>
      <c r="E931">
        <v>20220331</v>
      </c>
      <c r="F931" t="s">
        <v>2646</v>
      </c>
      <c r="G931" t="s">
        <v>2647</v>
      </c>
      <c r="H931" t="s">
        <v>590</v>
      </c>
      <c r="I931" t="s">
        <v>1462</v>
      </c>
      <c r="L931">
        <v>15</v>
      </c>
      <c r="M931">
        <v>3000</v>
      </c>
      <c r="N931">
        <v>-15</v>
      </c>
      <c r="O931">
        <v>-3000</v>
      </c>
      <c r="Z931" s="3">
        <f t="shared" si="14"/>
        <v>200</v>
      </c>
    </row>
    <row r="932" spans="1:26" hidden="1">
      <c r="A932" t="s">
        <v>706</v>
      </c>
      <c r="B932" s="6">
        <v>44287</v>
      </c>
      <c r="C932" s="6">
        <v>44651</v>
      </c>
      <c r="D932">
        <v>20210401</v>
      </c>
      <c r="E932">
        <v>20220331</v>
      </c>
      <c r="F932" t="s">
        <v>2648</v>
      </c>
      <c r="G932" t="s">
        <v>2649</v>
      </c>
      <c r="H932" t="s">
        <v>590</v>
      </c>
      <c r="I932" t="s">
        <v>1462</v>
      </c>
      <c r="N932">
        <v>-2</v>
      </c>
      <c r="O932">
        <v>-1620</v>
      </c>
      <c r="P932">
        <v>2</v>
      </c>
      <c r="Q932">
        <v>1620</v>
      </c>
      <c r="Z932" s="3" t="e">
        <f t="shared" si="14"/>
        <v>#DIV/0!</v>
      </c>
    </row>
    <row r="933" spans="1:26" hidden="1">
      <c r="A933" t="s">
        <v>706</v>
      </c>
      <c r="B933" s="6">
        <v>44287</v>
      </c>
      <c r="C933" s="6">
        <v>44651</v>
      </c>
      <c r="D933">
        <v>20210401</v>
      </c>
      <c r="E933">
        <v>20220331</v>
      </c>
      <c r="F933" t="s">
        <v>2650</v>
      </c>
      <c r="G933" t="s">
        <v>2651</v>
      </c>
      <c r="H933" t="s">
        <v>590</v>
      </c>
      <c r="I933" t="s">
        <v>1462</v>
      </c>
      <c r="K933">
        <v>0.01</v>
      </c>
      <c r="Y933">
        <v>0.01</v>
      </c>
      <c r="Z933" s="3" t="e">
        <f t="shared" si="14"/>
        <v>#DIV/0!</v>
      </c>
    </row>
    <row r="934" spans="1:26" hidden="1">
      <c r="A934" t="s">
        <v>706</v>
      </c>
      <c r="B934" s="6">
        <v>44287</v>
      </c>
      <c r="C934" s="6">
        <v>44651</v>
      </c>
      <c r="D934">
        <v>20210401</v>
      </c>
      <c r="E934">
        <v>20220331</v>
      </c>
      <c r="F934" t="s">
        <v>2652</v>
      </c>
      <c r="G934" t="s">
        <v>2653</v>
      </c>
      <c r="H934" t="s">
        <v>590</v>
      </c>
      <c r="I934" t="s">
        <v>1462</v>
      </c>
      <c r="L934">
        <v>18</v>
      </c>
      <c r="M934">
        <v>4446</v>
      </c>
      <c r="N934">
        <v>-18</v>
      </c>
      <c r="O934">
        <v>-4446</v>
      </c>
      <c r="Z934" s="3">
        <f t="shared" si="14"/>
        <v>247</v>
      </c>
    </row>
    <row r="935" spans="1:26" hidden="1">
      <c r="A935" t="s">
        <v>706</v>
      </c>
      <c r="B935" s="6">
        <v>44287</v>
      </c>
      <c r="C935" s="6">
        <v>44651</v>
      </c>
      <c r="D935">
        <v>20210401</v>
      </c>
      <c r="E935">
        <v>20220331</v>
      </c>
      <c r="F935" t="s">
        <v>2654</v>
      </c>
      <c r="G935" t="s">
        <v>2655</v>
      </c>
      <c r="H935" t="s">
        <v>590</v>
      </c>
      <c r="I935" t="s">
        <v>1462</v>
      </c>
      <c r="N935">
        <v>-2</v>
      </c>
      <c r="O935">
        <v>-950</v>
      </c>
      <c r="P935">
        <v>2</v>
      </c>
      <c r="Q935">
        <v>950</v>
      </c>
      <c r="Z935" s="3" t="e">
        <f t="shared" si="14"/>
        <v>#DIV/0!</v>
      </c>
    </row>
    <row r="936" spans="1:26" hidden="1">
      <c r="A936" t="s">
        <v>706</v>
      </c>
      <c r="B936" s="6">
        <v>44287</v>
      </c>
      <c r="C936" s="6">
        <v>44651</v>
      </c>
      <c r="D936">
        <v>20210401</v>
      </c>
      <c r="E936">
        <v>20220331</v>
      </c>
      <c r="F936" t="s">
        <v>2656</v>
      </c>
      <c r="G936" t="s">
        <v>2657</v>
      </c>
      <c r="H936" t="s">
        <v>590</v>
      </c>
      <c r="I936" t="s">
        <v>1462</v>
      </c>
      <c r="K936">
        <v>0.01</v>
      </c>
      <c r="L936">
        <v>24</v>
      </c>
      <c r="M936">
        <v>6617</v>
      </c>
      <c r="N936">
        <v>-27</v>
      </c>
      <c r="O936">
        <v>-7067</v>
      </c>
      <c r="P936">
        <v>3</v>
      </c>
      <c r="Q936">
        <v>450</v>
      </c>
      <c r="Y936">
        <v>0.01</v>
      </c>
      <c r="Z936" s="3">
        <f t="shared" si="14"/>
        <v>275.70833333333331</v>
      </c>
    </row>
    <row r="937" spans="1:26" hidden="1">
      <c r="A937" t="s">
        <v>706</v>
      </c>
      <c r="B937" s="6">
        <v>44287</v>
      </c>
      <c r="C937" s="6">
        <v>44651</v>
      </c>
      <c r="D937">
        <v>20210401</v>
      </c>
      <c r="E937">
        <v>20220331</v>
      </c>
      <c r="F937" t="s">
        <v>2658</v>
      </c>
      <c r="G937" t="s">
        <v>2659</v>
      </c>
      <c r="H937" t="s">
        <v>590</v>
      </c>
      <c r="I937" t="s">
        <v>1462</v>
      </c>
      <c r="L937">
        <v>3</v>
      </c>
      <c r="M937">
        <v>1800</v>
      </c>
      <c r="N937">
        <v>-2</v>
      </c>
      <c r="O937">
        <v>-1200</v>
      </c>
      <c r="X937">
        <v>1</v>
      </c>
      <c r="Y937">
        <v>600</v>
      </c>
      <c r="Z937" s="3">
        <f t="shared" si="14"/>
        <v>600</v>
      </c>
    </row>
    <row r="938" spans="1:26" hidden="1">
      <c r="A938" t="s">
        <v>706</v>
      </c>
      <c r="B938" s="6">
        <v>44287</v>
      </c>
      <c r="C938" s="6">
        <v>44651</v>
      </c>
      <c r="D938">
        <v>20210401</v>
      </c>
      <c r="E938">
        <v>20220331</v>
      </c>
      <c r="F938" t="s">
        <v>2660</v>
      </c>
      <c r="G938" t="s">
        <v>2661</v>
      </c>
      <c r="H938" t="s">
        <v>590</v>
      </c>
      <c r="I938" t="s">
        <v>1462</v>
      </c>
      <c r="L938">
        <v>5</v>
      </c>
      <c r="M938">
        <v>260</v>
      </c>
      <c r="N938">
        <v>-7</v>
      </c>
      <c r="O938">
        <v>-366</v>
      </c>
      <c r="P938">
        <v>2</v>
      </c>
      <c r="Q938">
        <v>106</v>
      </c>
      <c r="Z938" s="3">
        <f t="shared" si="14"/>
        <v>52</v>
      </c>
    </row>
    <row r="939" spans="1:26" hidden="1">
      <c r="A939" t="s">
        <v>706</v>
      </c>
      <c r="B939" s="6">
        <v>44287</v>
      </c>
      <c r="C939" s="6">
        <v>44651</v>
      </c>
      <c r="D939">
        <v>20210401</v>
      </c>
      <c r="E939">
        <v>20220331</v>
      </c>
      <c r="F939" t="s">
        <v>2662</v>
      </c>
      <c r="G939" t="s">
        <v>2663</v>
      </c>
      <c r="H939" t="s">
        <v>590</v>
      </c>
      <c r="I939" t="s">
        <v>1462</v>
      </c>
      <c r="L939">
        <v>20</v>
      </c>
      <c r="M939">
        <v>520</v>
      </c>
      <c r="N939">
        <v>-32</v>
      </c>
      <c r="O939">
        <v>-844</v>
      </c>
      <c r="P939">
        <v>12</v>
      </c>
      <c r="Q939">
        <v>324</v>
      </c>
      <c r="Z939" s="3">
        <f t="shared" si="14"/>
        <v>26</v>
      </c>
    </row>
    <row r="940" spans="1:26" hidden="1">
      <c r="A940" t="s">
        <v>706</v>
      </c>
      <c r="B940" s="6">
        <v>44287</v>
      </c>
      <c r="C940" s="6">
        <v>44651</v>
      </c>
      <c r="D940">
        <v>20210401</v>
      </c>
      <c r="E940">
        <v>20220331</v>
      </c>
      <c r="F940" t="s">
        <v>2664</v>
      </c>
      <c r="G940" t="s">
        <v>2665</v>
      </c>
      <c r="H940" t="s">
        <v>590</v>
      </c>
      <c r="I940" t="s">
        <v>1462</v>
      </c>
      <c r="L940">
        <v>4</v>
      </c>
      <c r="M940">
        <v>2400</v>
      </c>
      <c r="N940">
        <v>-4</v>
      </c>
      <c r="O940">
        <v>-2400</v>
      </c>
      <c r="Z940" s="3">
        <f t="shared" si="14"/>
        <v>600</v>
      </c>
    </row>
    <row r="941" spans="1:26" hidden="1">
      <c r="A941" t="s">
        <v>706</v>
      </c>
      <c r="B941" s="6">
        <v>44287</v>
      </c>
      <c r="C941" s="6">
        <v>44651</v>
      </c>
      <c r="D941">
        <v>20210401</v>
      </c>
      <c r="E941">
        <v>20220331</v>
      </c>
      <c r="F941" t="s">
        <v>2666</v>
      </c>
      <c r="G941" t="s">
        <v>2667</v>
      </c>
      <c r="H941" t="s">
        <v>590</v>
      </c>
      <c r="I941" t="s">
        <v>1462</v>
      </c>
      <c r="L941">
        <v>2</v>
      </c>
      <c r="M941">
        <v>2260</v>
      </c>
      <c r="N941">
        <v>-2</v>
      </c>
      <c r="O941">
        <v>-2260</v>
      </c>
      <c r="Z941" s="3">
        <f t="shared" si="14"/>
        <v>1130</v>
      </c>
    </row>
    <row r="942" spans="1:26" hidden="1">
      <c r="A942" t="s">
        <v>706</v>
      </c>
      <c r="B942" s="6">
        <v>44287</v>
      </c>
      <c r="C942" s="6">
        <v>44651</v>
      </c>
      <c r="D942">
        <v>20210401</v>
      </c>
      <c r="E942">
        <v>20220331</v>
      </c>
      <c r="F942" t="s">
        <v>2668</v>
      </c>
      <c r="G942" t="s">
        <v>2669</v>
      </c>
      <c r="H942" t="s">
        <v>590</v>
      </c>
      <c r="I942" t="s">
        <v>1462</v>
      </c>
      <c r="L942">
        <v>35</v>
      </c>
      <c r="M942">
        <v>3905</v>
      </c>
      <c r="N942">
        <v>-35</v>
      </c>
      <c r="O942">
        <v>-3905</v>
      </c>
      <c r="Z942" s="3">
        <f t="shared" si="14"/>
        <v>111.57142857142857</v>
      </c>
    </row>
    <row r="943" spans="1:26" hidden="1">
      <c r="A943" t="s">
        <v>706</v>
      </c>
      <c r="B943" s="6">
        <v>44287</v>
      </c>
      <c r="C943" s="6">
        <v>44651</v>
      </c>
      <c r="D943">
        <v>20210401</v>
      </c>
      <c r="E943">
        <v>20220331</v>
      </c>
      <c r="F943" t="s">
        <v>2670</v>
      </c>
      <c r="G943" t="s">
        <v>2671</v>
      </c>
      <c r="H943" t="s">
        <v>590</v>
      </c>
      <c r="I943" t="s">
        <v>1462</v>
      </c>
      <c r="L943">
        <v>15</v>
      </c>
      <c r="M943">
        <v>1830</v>
      </c>
      <c r="N943">
        <v>-18</v>
      </c>
      <c r="O943">
        <v>-2145</v>
      </c>
      <c r="P943">
        <v>3</v>
      </c>
      <c r="Q943">
        <v>315</v>
      </c>
      <c r="Z943" s="3">
        <f t="shared" si="14"/>
        <v>122</v>
      </c>
    </row>
    <row r="944" spans="1:26" hidden="1">
      <c r="A944" t="s">
        <v>706</v>
      </c>
      <c r="B944" s="6">
        <v>44287</v>
      </c>
      <c r="C944" s="6">
        <v>44651</v>
      </c>
      <c r="D944">
        <v>20210401</v>
      </c>
      <c r="E944">
        <v>20220331</v>
      </c>
      <c r="F944" t="s">
        <v>2672</v>
      </c>
      <c r="G944" t="s">
        <v>2673</v>
      </c>
      <c r="H944" t="s">
        <v>590</v>
      </c>
      <c r="I944" t="s">
        <v>1462</v>
      </c>
      <c r="L944">
        <v>15</v>
      </c>
      <c r="M944">
        <v>1830</v>
      </c>
      <c r="N944">
        <v>-19</v>
      </c>
      <c r="O944">
        <v>-2250</v>
      </c>
      <c r="P944">
        <v>4</v>
      </c>
      <c r="Q944">
        <v>420</v>
      </c>
      <c r="Z944" s="3">
        <f t="shared" si="14"/>
        <v>122</v>
      </c>
    </row>
    <row r="945" spans="1:26" hidden="1">
      <c r="A945" t="s">
        <v>706</v>
      </c>
      <c r="B945" s="6">
        <v>44287</v>
      </c>
      <c r="C945" s="6">
        <v>44651</v>
      </c>
      <c r="D945">
        <v>20210401</v>
      </c>
      <c r="E945">
        <v>20220331</v>
      </c>
      <c r="F945" t="s">
        <v>2674</v>
      </c>
      <c r="G945" t="s">
        <v>2675</v>
      </c>
      <c r="H945" t="s">
        <v>590</v>
      </c>
      <c r="I945" t="s">
        <v>1462</v>
      </c>
      <c r="L945">
        <v>12</v>
      </c>
      <c r="M945">
        <v>7275</v>
      </c>
      <c r="N945">
        <v>-13</v>
      </c>
      <c r="O945">
        <v>-7825</v>
      </c>
      <c r="P945">
        <v>1</v>
      </c>
      <c r="Q945">
        <v>550</v>
      </c>
      <c r="Z945" s="3">
        <f t="shared" si="14"/>
        <v>606.25</v>
      </c>
    </row>
    <row r="946" spans="1:26" hidden="1">
      <c r="A946" t="s">
        <v>706</v>
      </c>
      <c r="B946" s="6">
        <v>44287</v>
      </c>
      <c r="C946" s="6">
        <v>44651</v>
      </c>
      <c r="D946">
        <v>20210401</v>
      </c>
      <c r="E946">
        <v>20220331</v>
      </c>
      <c r="F946" t="s">
        <v>2676</v>
      </c>
      <c r="G946" t="s">
        <v>2677</v>
      </c>
      <c r="H946" t="s">
        <v>590</v>
      </c>
      <c r="I946" t="s">
        <v>1462</v>
      </c>
      <c r="L946">
        <v>5</v>
      </c>
      <c r="M946">
        <v>3075</v>
      </c>
      <c r="N946">
        <v>-5</v>
      </c>
      <c r="O946">
        <v>-3075</v>
      </c>
      <c r="Z946" s="3">
        <f t="shared" si="14"/>
        <v>615</v>
      </c>
    </row>
    <row r="947" spans="1:26" hidden="1">
      <c r="A947" t="s">
        <v>706</v>
      </c>
      <c r="B947" s="6">
        <v>44287</v>
      </c>
      <c r="C947" s="6">
        <v>44651</v>
      </c>
      <c r="D947">
        <v>20210401</v>
      </c>
      <c r="E947">
        <v>20220331</v>
      </c>
      <c r="F947" t="s">
        <v>2678</v>
      </c>
      <c r="G947" t="s">
        <v>2679</v>
      </c>
      <c r="H947" t="s">
        <v>590</v>
      </c>
      <c r="I947" t="s">
        <v>1462</v>
      </c>
      <c r="L947">
        <v>11</v>
      </c>
      <c r="M947">
        <v>6675</v>
      </c>
      <c r="N947">
        <v>-12</v>
      </c>
      <c r="O947">
        <v>-7225</v>
      </c>
      <c r="P947">
        <v>1</v>
      </c>
      <c r="Q947">
        <v>550</v>
      </c>
      <c r="Z947" s="3">
        <f t="shared" si="14"/>
        <v>606.81818181818187</v>
      </c>
    </row>
    <row r="948" spans="1:26" hidden="1">
      <c r="A948" t="s">
        <v>706</v>
      </c>
      <c r="B948" s="6">
        <v>44287</v>
      </c>
      <c r="C948" s="6">
        <v>44651</v>
      </c>
      <c r="D948">
        <v>20210401</v>
      </c>
      <c r="E948">
        <v>20220331</v>
      </c>
      <c r="F948" t="s">
        <v>2680</v>
      </c>
      <c r="G948" t="s">
        <v>2681</v>
      </c>
      <c r="H948" t="s">
        <v>590</v>
      </c>
      <c r="I948" t="s">
        <v>1462</v>
      </c>
      <c r="L948">
        <v>4</v>
      </c>
      <c r="M948">
        <v>2400</v>
      </c>
      <c r="N948">
        <v>-4</v>
      </c>
      <c r="O948">
        <v>-2400</v>
      </c>
      <c r="Z948" s="3">
        <f t="shared" si="14"/>
        <v>600</v>
      </c>
    </row>
    <row r="949" spans="1:26" hidden="1">
      <c r="A949" t="s">
        <v>706</v>
      </c>
      <c r="B949" s="6">
        <v>44287</v>
      </c>
      <c r="C949" s="6">
        <v>44651</v>
      </c>
      <c r="D949">
        <v>20210401</v>
      </c>
      <c r="E949">
        <v>20220331</v>
      </c>
      <c r="F949" t="s">
        <v>2682</v>
      </c>
      <c r="G949" t="s">
        <v>2683</v>
      </c>
      <c r="H949" t="s">
        <v>590</v>
      </c>
      <c r="I949" t="s">
        <v>1462</v>
      </c>
      <c r="L949">
        <v>2</v>
      </c>
      <c r="M949">
        <v>1610</v>
      </c>
      <c r="N949">
        <v>-2</v>
      </c>
      <c r="O949">
        <v>-1610</v>
      </c>
      <c r="Z949" s="3">
        <f t="shared" si="14"/>
        <v>805</v>
      </c>
    </row>
    <row r="950" spans="1:26" hidden="1">
      <c r="A950" t="s">
        <v>706</v>
      </c>
      <c r="B950" s="6">
        <v>44287</v>
      </c>
      <c r="C950" s="6">
        <v>44651</v>
      </c>
      <c r="D950">
        <v>20210401</v>
      </c>
      <c r="E950">
        <v>20220331</v>
      </c>
      <c r="F950" t="s">
        <v>2684</v>
      </c>
      <c r="G950" t="s">
        <v>2685</v>
      </c>
      <c r="H950" t="s">
        <v>590</v>
      </c>
      <c r="I950" t="s">
        <v>1462</v>
      </c>
      <c r="L950">
        <v>150</v>
      </c>
      <c r="M950">
        <v>1690</v>
      </c>
      <c r="N950">
        <v>-150</v>
      </c>
      <c r="O950">
        <v>-1690</v>
      </c>
      <c r="Z950" s="3">
        <f t="shared" si="14"/>
        <v>11.266666666666667</v>
      </c>
    </row>
    <row r="951" spans="1:26" hidden="1">
      <c r="A951" t="s">
        <v>706</v>
      </c>
      <c r="B951" s="6">
        <v>44287</v>
      </c>
      <c r="C951" s="6">
        <v>44651</v>
      </c>
      <c r="D951">
        <v>20210401</v>
      </c>
      <c r="E951">
        <v>20220331</v>
      </c>
      <c r="F951" t="s">
        <v>2686</v>
      </c>
      <c r="G951" t="s">
        <v>2687</v>
      </c>
      <c r="H951" t="s">
        <v>590</v>
      </c>
      <c r="I951" t="s">
        <v>1462</v>
      </c>
      <c r="K951">
        <v>0.01</v>
      </c>
      <c r="L951">
        <v>10</v>
      </c>
      <c r="M951">
        <v>2000</v>
      </c>
      <c r="N951">
        <v>-13</v>
      </c>
      <c r="O951">
        <v>-2477</v>
      </c>
      <c r="P951">
        <v>3</v>
      </c>
      <c r="Q951">
        <v>477</v>
      </c>
      <c r="Y951">
        <v>0.01</v>
      </c>
      <c r="Z951" s="3">
        <f t="shared" si="14"/>
        <v>200</v>
      </c>
    </row>
    <row r="952" spans="1:26" hidden="1">
      <c r="A952" t="s">
        <v>706</v>
      </c>
      <c r="B952" s="6">
        <v>44287</v>
      </c>
      <c r="C952" s="6">
        <v>44651</v>
      </c>
      <c r="D952">
        <v>20210401</v>
      </c>
      <c r="E952">
        <v>20220331</v>
      </c>
      <c r="F952" t="s">
        <v>2688</v>
      </c>
      <c r="G952" t="s">
        <v>2689</v>
      </c>
      <c r="H952" t="s">
        <v>590</v>
      </c>
      <c r="I952" t="s">
        <v>1462</v>
      </c>
      <c r="L952">
        <v>2</v>
      </c>
      <c r="M952">
        <v>2160</v>
      </c>
      <c r="N952">
        <v>-2</v>
      </c>
      <c r="O952">
        <v>-2160</v>
      </c>
      <c r="Z952" s="3">
        <f t="shared" si="14"/>
        <v>1080</v>
      </c>
    </row>
    <row r="953" spans="1:26" hidden="1">
      <c r="A953" t="s">
        <v>706</v>
      </c>
      <c r="B953" s="6">
        <v>44287</v>
      </c>
      <c r="C953" s="6">
        <v>44651</v>
      </c>
      <c r="D953">
        <v>20210401</v>
      </c>
      <c r="E953">
        <v>20220331</v>
      </c>
      <c r="F953" t="s">
        <v>2690</v>
      </c>
      <c r="G953" t="s">
        <v>2691</v>
      </c>
      <c r="H953" t="s">
        <v>2692</v>
      </c>
      <c r="I953" t="s">
        <v>805</v>
      </c>
      <c r="L953">
        <v>20</v>
      </c>
      <c r="M953">
        <v>320</v>
      </c>
      <c r="N953">
        <v>-30</v>
      </c>
      <c r="O953">
        <v>-420</v>
      </c>
      <c r="P953">
        <v>10</v>
      </c>
      <c r="Q953">
        <v>100</v>
      </c>
      <c r="Z953" s="3">
        <f t="shared" si="14"/>
        <v>16</v>
      </c>
    </row>
    <row r="954" spans="1:26" hidden="1">
      <c r="A954" t="s">
        <v>706</v>
      </c>
      <c r="B954" s="6">
        <v>44287</v>
      </c>
      <c r="C954" s="6">
        <v>44651</v>
      </c>
      <c r="D954">
        <v>20210401</v>
      </c>
      <c r="E954">
        <v>20220331</v>
      </c>
      <c r="F954" t="s">
        <v>2693</v>
      </c>
      <c r="G954" t="s">
        <v>2694</v>
      </c>
      <c r="H954" t="s">
        <v>590</v>
      </c>
      <c r="I954" t="s">
        <v>805</v>
      </c>
      <c r="L954">
        <v>40</v>
      </c>
      <c r="M954">
        <v>1560</v>
      </c>
      <c r="N954">
        <v>-52</v>
      </c>
      <c r="O954">
        <v>-1980</v>
      </c>
      <c r="P954">
        <v>12</v>
      </c>
      <c r="Q954">
        <v>420</v>
      </c>
      <c r="Z954" s="3">
        <f t="shared" si="14"/>
        <v>39</v>
      </c>
    </row>
    <row r="955" spans="1:26" hidden="1">
      <c r="A955" t="s">
        <v>706</v>
      </c>
      <c r="B955" s="6">
        <v>44287</v>
      </c>
      <c r="C955" s="6">
        <v>44651</v>
      </c>
      <c r="D955">
        <v>20210401</v>
      </c>
      <c r="E955">
        <v>20220331</v>
      </c>
      <c r="F955" t="s">
        <v>2695</v>
      </c>
      <c r="G955" t="s">
        <v>2696</v>
      </c>
      <c r="H955" t="s">
        <v>590</v>
      </c>
      <c r="I955" t="s">
        <v>1462</v>
      </c>
      <c r="L955">
        <v>5</v>
      </c>
      <c r="M955">
        <v>2375</v>
      </c>
      <c r="N955">
        <v>-5</v>
      </c>
      <c r="O955">
        <v>-2375</v>
      </c>
      <c r="Z955" s="3">
        <f t="shared" si="14"/>
        <v>475</v>
      </c>
    </row>
    <row r="956" spans="1:26" hidden="1">
      <c r="A956" t="s">
        <v>706</v>
      </c>
      <c r="B956" s="6">
        <v>44287</v>
      </c>
      <c r="C956" s="6">
        <v>44651</v>
      </c>
      <c r="D956">
        <v>20210401</v>
      </c>
      <c r="E956">
        <v>20220331</v>
      </c>
      <c r="F956" t="s">
        <v>2697</v>
      </c>
      <c r="G956" t="s">
        <v>2698</v>
      </c>
      <c r="H956" t="s">
        <v>590</v>
      </c>
      <c r="I956" t="s">
        <v>1462</v>
      </c>
      <c r="K956">
        <v>0.01</v>
      </c>
      <c r="L956">
        <v>4</v>
      </c>
      <c r="M956">
        <v>3600</v>
      </c>
      <c r="N956">
        <v>-7</v>
      </c>
      <c r="O956">
        <v>-6300</v>
      </c>
      <c r="P956">
        <v>3</v>
      </c>
      <c r="Q956">
        <v>2700</v>
      </c>
      <c r="Y956">
        <v>0.01</v>
      </c>
      <c r="Z956" s="3">
        <f t="shared" si="14"/>
        <v>900</v>
      </c>
    </row>
    <row r="957" spans="1:26" hidden="1">
      <c r="A957" t="s">
        <v>706</v>
      </c>
      <c r="B957" s="6">
        <v>44287</v>
      </c>
      <c r="C957" s="6">
        <v>44651</v>
      </c>
      <c r="D957">
        <v>20210401</v>
      </c>
      <c r="E957">
        <v>20220331</v>
      </c>
      <c r="F957" t="s">
        <v>2699</v>
      </c>
      <c r="G957" t="s">
        <v>2700</v>
      </c>
      <c r="H957" t="s">
        <v>590</v>
      </c>
      <c r="I957" t="s">
        <v>1462</v>
      </c>
      <c r="L957">
        <v>2</v>
      </c>
      <c r="M957">
        <v>2690.67</v>
      </c>
      <c r="N957">
        <v>-2</v>
      </c>
      <c r="O957">
        <v>-2690.67</v>
      </c>
      <c r="Z957" s="3">
        <f t="shared" si="14"/>
        <v>1345.335</v>
      </c>
    </row>
    <row r="958" spans="1:26" hidden="1">
      <c r="A958" t="s">
        <v>706</v>
      </c>
      <c r="B958" s="6">
        <v>44287</v>
      </c>
      <c r="C958" s="6">
        <v>44651</v>
      </c>
      <c r="D958">
        <v>20210401</v>
      </c>
      <c r="E958">
        <v>20220331</v>
      </c>
      <c r="F958" t="s">
        <v>2701</v>
      </c>
      <c r="G958" t="s">
        <v>2702</v>
      </c>
      <c r="H958" t="s">
        <v>590</v>
      </c>
      <c r="I958" t="s">
        <v>1462</v>
      </c>
      <c r="L958">
        <v>100</v>
      </c>
      <c r="M958">
        <v>2300</v>
      </c>
      <c r="N958">
        <v>-100</v>
      </c>
      <c r="O958">
        <v>-2300</v>
      </c>
      <c r="Z958" s="3">
        <f t="shared" si="14"/>
        <v>23</v>
      </c>
    </row>
    <row r="959" spans="1:26" hidden="1">
      <c r="A959" t="s">
        <v>706</v>
      </c>
      <c r="B959" s="6">
        <v>44287</v>
      </c>
      <c r="C959" s="6">
        <v>44651</v>
      </c>
      <c r="D959">
        <v>20210401</v>
      </c>
      <c r="E959">
        <v>20220331</v>
      </c>
      <c r="F959" t="s">
        <v>2703</v>
      </c>
      <c r="G959" t="s">
        <v>2704</v>
      </c>
      <c r="H959" t="s">
        <v>590</v>
      </c>
      <c r="I959" t="s">
        <v>1462</v>
      </c>
      <c r="L959">
        <v>5</v>
      </c>
      <c r="M959">
        <v>3075</v>
      </c>
      <c r="N959">
        <v>-6</v>
      </c>
      <c r="O959">
        <v>-3625</v>
      </c>
      <c r="P959">
        <v>1</v>
      </c>
      <c r="Q959">
        <v>550</v>
      </c>
      <c r="Z959" s="3">
        <f t="shared" si="14"/>
        <v>615</v>
      </c>
    </row>
    <row r="960" spans="1:26" hidden="1">
      <c r="A960" t="s">
        <v>706</v>
      </c>
      <c r="B960" s="6">
        <v>44287</v>
      </c>
      <c r="C960" s="6">
        <v>44651</v>
      </c>
      <c r="D960">
        <v>20210401</v>
      </c>
      <c r="E960">
        <v>20220331</v>
      </c>
      <c r="F960" t="s">
        <v>2705</v>
      </c>
      <c r="G960" t="s">
        <v>2706</v>
      </c>
      <c r="H960" t="s">
        <v>590</v>
      </c>
      <c r="I960" t="s">
        <v>1462</v>
      </c>
      <c r="L960">
        <v>10</v>
      </c>
      <c r="M960">
        <v>3200</v>
      </c>
      <c r="N960">
        <v>-10</v>
      </c>
      <c r="O960">
        <v>-3200</v>
      </c>
      <c r="Z960" s="3">
        <f t="shared" si="14"/>
        <v>320</v>
      </c>
    </row>
    <row r="961" spans="1:26" hidden="1">
      <c r="A961" t="s">
        <v>706</v>
      </c>
      <c r="B961" s="6">
        <v>44287</v>
      </c>
      <c r="C961" s="6">
        <v>44651</v>
      </c>
      <c r="D961">
        <v>20210401</v>
      </c>
      <c r="E961">
        <v>20220331</v>
      </c>
      <c r="F961" t="s">
        <v>2707</v>
      </c>
      <c r="G961" t="s">
        <v>2708</v>
      </c>
      <c r="H961" t="s">
        <v>590</v>
      </c>
      <c r="I961" t="s">
        <v>1462</v>
      </c>
      <c r="L961">
        <v>14</v>
      </c>
      <c r="M961">
        <v>4280</v>
      </c>
      <c r="N961">
        <v>-14</v>
      </c>
      <c r="O961">
        <v>-4280</v>
      </c>
      <c r="Z961" s="3">
        <f t="shared" si="14"/>
        <v>305.71428571428572</v>
      </c>
    </row>
    <row r="962" spans="1:26" hidden="1">
      <c r="A962" t="s">
        <v>706</v>
      </c>
      <c r="B962" s="6">
        <v>44287</v>
      </c>
      <c r="C962" s="6">
        <v>44651</v>
      </c>
      <c r="D962">
        <v>20210401</v>
      </c>
      <c r="E962">
        <v>20220331</v>
      </c>
      <c r="F962" t="s">
        <v>2709</v>
      </c>
      <c r="G962" t="s">
        <v>2710</v>
      </c>
      <c r="H962" t="s">
        <v>590</v>
      </c>
      <c r="I962" t="s">
        <v>1462</v>
      </c>
      <c r="N962">
        <v>-2</v>
      </c>
      <c r="O962">
        <v>-3483</v>
      </c>
      <c r="P962">
        <v>2</v>
      </c>
      <c r="Q962">
        <v>3483</v>
      </c>
      <c r="Z962" s="3" t="e">
        <f t="shared" si="14"/>
        <v>#DIV/0!</v>
      </c>
    </row>
    <row r="963" spans="1:26" hidden="1">
      <c r="A963" t="s">
        <v>706</v>
      </c>
      <c r="B963" s="6">
        <v>44287</v>
      </c>
      <c r="C963" s="6">
        <v>44651</v>
      </c>
      <c r="D963">
        <v>20210401</v>
      </c>
      <c r="E963">
        <v>20220331</v>
      </c>
      <c r="F963" t="s">
        <v>2711</v>
      </c>
      <c r="G963" t="s">
        <v>2712</v>
      </c>
      <c r="H963" t="s">
        <v>590</v>
      </c>
      <c r="I963" t="s">
        <v>1462</v>
      </c>
      <c r="L963">
        <v>20</v>
      </c>
      <c r="M963">
        <v>1800</v>
      </c>
      <c r="N963">
        <v>-20</v>
      </c>
      <c r="O963">
        <v>-1800</v>
      </c>
      <c r="Z963" s="3">
        <f t="shared" ref="Z963:Z1026" si="15">IFERROR((O963+Q963)/(N963+P963),Y963/X963)</f>
        <v>90</v>
      </c>
    </row>
    <row r="964" spans="1:26" hidden="1">
      <c r="A964" t="s">
        <v>706</v>
      </c>
      <c r="B964" s="6">
        <v>44287</v>
      </c>
      <c r="C964" s="6">
        <v>44651</v>
      </c>
      <c r="D964">
        <v>20210401</v>
      </c>
      <c r="E964">
        <v>20220331</v>
      </c>
      <c r="F964" t="s">
        <v>2713</v>
      </c>
      <c r="G964" t="s">
        <v>2714</v>
      </c>
      <c r="H964" t="s">
        <v>590</v>
      </c>
      <c r="I964" t="s">
        <v>1462</v>
      </c>
      <c r="L964">
        <v>10</v>
      </c>
      <c r="M964">
        <v>1150</v>
      </c>
      <c r="N964">
        <v>-10</v>
      </c>
      <c r="O964">
        <v>-1150</v>
      </c>
      <c r="Z964" s="3">
        <f t="shared" si="15"/>
        <v>115</v>
      </c>
    </row>
    <row r="965" spans="1:26" hidden="1">
      <c r="A965" t="s">
        <v>706</v>
      </c>
      <c r="B965" s="6">
        <v>44287</v>
      </c>
      <c r="C965" s="6">
        <v>44651</v>
      </c>
      <c r="D965">
        <v>20210401</v>
      </c>
      <c r="E965">
        <v>20220331</v>
      </c>
      <c r="F965" t="s">
        <v>2715</v>
      </c>
      <c r="G965" t="s">
        <v>2714</v>
      </c>
      <c r="H965" t="s">
        <v>590</v>
      </c>
      <c r="I965" t="s">
        <v>1462</v>
      </c>
      <c r="L965">
        <v>10</v>
      </c>
      <c r="M965">
        <v>1400</v>
      </c>
      <c r="N965">
        <v>-10</v>
      </c>
      <c r="O965">
        <v>-1400</v>
      </c>
      <c r="Z965" s="3">
        <f t="shared" si="15"/>
        <v>140</v>
      </c>
    </row>
    <row r="966" spans="1:26" hidden="1">
      <c r="A966" t="s">
        <v>706</v>
      </c>
      <c r="B966" s="6">
        <v>44287</v>
      </c>
      <c r="C966" s="6">
        <v>44651</v>
      </c>
      <c r="D966">
        <v>20210401</v>
      </c>
      <c r="E966">
        <v>20220331</v>
      </c>
      <c r="F966" t="s">
        <v>2716</v>
      </c>
      <c r="G966" t="s">
        <v>2717</v>
      </c>
      <c r="H966" t="s">
        <v>590</v>
      </c>
      <c r="I966" t="s">
        <v>1462</v>
      </c>
      <c r="L966">
        <v>1</v>
      </c>
      <c r="M966">
        <v>4279.66</v>
      </c>
      <c r="N966">
        <v>-1</v>
      </c>
      <c r="O966">
        <v>-4279.66</v>
      </c>
      <c r="Z966" s="3">
        <f t="shared" si="15"/>
        <v>4279.66</v>
      </c>
    </row>
    <row r="967" spans="1:26" hidden="1">
      <c r="A967" t="s">
        <v>706</v>
      </c>
      <c r="B967" s="6">
        <v>44287</v>
      </c>
      <c r="C967" s="6">
        <v>44651</v>
      </c>
      <c r="D967">
        <v>20210401</v>
      </c>
      <c r="E967">
        <v>20220331</v>
      </c>
      <c r="F967" t="s">
        <v>2718</v>
      </c>
      <c r="G967" t="s">
        <v>2719</v>
      </c>
      <c r="H967" t="s">
        <v>590</v>
      </c>
      <c r="I967" t="s">
        <v>1462</v>
      </c>
      <c r="L967">
        <v>1</v>
      </c>
      <c r="M967">
        <v>1600</v>
      </c>
      <c r="N967">
        <v>-1</v>
      </c>
      <c r="O967">
        <v>-1600</v>
      </c>
      <c r="Z967" s="3">
        <f t="shared" si="15"/>
        <v>1600</v>
      </c>
    </row>
    <row r="968" spans="1:26" hidden="1">
      <c r="A968" t="s">
        <v>706</v>
      </c>
      <c r="B968" s="6">
        <v>44287</v>
      </c>
      <c r="C968" s="6">
        <v>44651</v>
      </c>
      <c r="D968">
        <v>20210401</v>
      </c>
      <c r="E968">
        <v>20220331</v>
      </c>
      <c r="F968" t="s">
        <v>2720</v>
      </c>
      <c r="G968" t="s">
        <v>2721</v>
      </c>
      <c r="H968" t="s">
        <v>590</v>
      </c>
      <c r="I968" t="s">
        <v>1462</v>
      </c>
      <c r="L968">
        <v>4</v>
      </c>
      <c r="M968">
        <v>1600</v>
      </c>
      <c r="N968">
        <v>-4</v>
      </c>
      <c r="O968">
        <v>-1600</v>
      </c>
      <c r="Z968" s="3">
        <f t="shared" si="15"/>
        <v>400</v>
      </c>
    </row>
    <row r="969" spans="1:26" hidden="1">
      <c r="A969" t="s">
        <v>706</v>
      </c>
      <c r="B969" s="6">
        <v>44287</v>
      </c>
      <c r="C969" s="6">
        <v>44651</v>
      </c>
      <c r="D969">
        <v>20210401</v>
      </c>
      <c r="E969">
        <v>20220331</v>
      </c>
      <c r="F969" t="s">
        <v>2722</v>
      </c>
      <c r="G969" t="s">
        <v>2723</v>
      </c>
      <c r="H969" t="s">
        <v>590</v>
      </c>
      <c r="I969" t="s">
        <v>1462</v>
      </c>
      <c r="L969">
        <v>10</v>
      </c>
      <c r="M969">
        <v>6132</v>
      </c>
      <c r="N969">
        <v>-10</v>
      </c>
      <c r="O969">
        <v>-6132</v>
      </c>
      <c r="Z969" s="3">
        <f t="shared" si="15"/>
        <v>613.20000000000005</v>
      </c>
    </row>
    <row r="970" spans="1:26" hidden="1">
      <c r="A970" t="s">
        <v>706</v>
      </c>
      <c r="B970" s="6">
        <v>44287</v>
      </c>
      <c r="C970" s="6">
        <v>44651</v>
      </c>
      <c r="D970">
        <v>20210401</v>
      </c>
      <c r="E970">
        <v>20220331</v>
      </c>
      <c r="F970" t="s">
        <v>2724</v>
      </c>
      <c r="G970" t="s">
        <v>2725</v>
      </c>
      <c r="H970" t="s">
        <v>590</v>
      </c>
      <c r="I970" t="s">
        <v>1462</v>
      </c>
      <c r="L970">
        <v>2</v>
      </c>
      <c r="M970">
        <v>3400</v>
      </c>
      <c r="N970">
        <v>-2</v>
      </c>
      <c r="O970">
        <v>-3400</v>
      </c>
      <c r="Z970" s="3">
        <f t="shared" si="15"/>
        <v>1700</v>
      </c>
    </row>
    <row r="971" spans="1:26" hidden="1">
      <c r="A971" t="s">
        <v>706</v>
      </c>
      <c r="B971" s="6">
        <v>44287</v>
      </c>
      <c r="C971" s="6">
        <v>44651</v>
      </c>
      <c r="D971">
        <v>20210401</v>
      </c>
      <c r="E971">
        <v>20220331</v>
      </c>
      <c r="F971" t="s">
        <v>2726</v>
      </c>
      <c r="G971" t="s">
        <v>2727</v>
      </c>
      <c r="H971" t="s">
        <v>590</v>
      </c>
      <c r="I971" t="s">
        <v>1462</v>
      </c>
      <c r="L971">
        <v>2</v>
      </c>
      <c r="M971">
        <v>3120</v>
      </c>
      <c r="N971">
        <v>-2</v>
      </c>
      <c r="O971">
        <v>-3120</v>
      </c>
      <c r="Z971" s="3">
        <f t="shared" si="15"/>
        <v>1560</v>
      </c>
    </row>
    <row r="972" spans="1:26" hidden="1">
      <c r="A972" t="s">
        <v>706</v>
      </c>
      <c r="B972" s="6">
        <v>44287</v>
      </c>
      <c r="C972" s="6">
        <v>44651</v>
      </c>
      <c r="D972">
        <v>20210401</v>
      </c>
      <c r="E972">
        <v>20220331</v>
      </c>
      <c r="F972" t="s">
        <v>2728</v>
      </c>
      <c r="G972" t="s">
        <v>2729</v>
      </c>
      <c r="H972" t="s">
        <v>590</v>
      </c>
      <c r="I972" t="s">
        <v>1462</v>
      </c>
      <c r="L972">
        <v>3</v>
      </c>
      <c r="M972">
        <v>31515.75</v>
      </c>
      <c r="N972">
        <v>-3</v>
      </c>
      <c r="O972">
        <v>-31515.75</v>
      </c>
      <c r="Z972" s="3">
        <f t="shared" si="15"/>
        <v>10505.25</v>
      </c>
    </row>
    <row r="973" spans="1:26" hidden="1">
      <c r="A973" t="s">
        <v>706</v>
      </c>
      <c r="B973" s="6">
        <v>44287</v>
      </c>
      <c r="C973" s="6">
        <v>44651</v>
      </c>
      <c r="D973">
        <v>20210401</v>
      </c>
      <c r="E973">
        <v>20220331</v>
      </c>
      <c r="F973" t="s">
        <v>2730</v>
      </c>
      <c r="G973" t="s">
        <v>2731</v>
      </c>
      <c r="H973" t="s">
        <v>590</v>
      </c>
      <c r="I973" t="s">
        <v>1462</v>
      </c>
      <c r="K973">
        <v>0.02</v>
      </c>
      <c r="L973">
        <v>17</v>
      </c>
      <c r="M973">
        <v>12325</v>
      </c>
      <c r="N973">
        <v>-15</v>
      </c>
      <c r="O973">
        <v>-10715</v>
      </c>
      <c r="P973">
        <v>2</v>
      </c>
      <c r="Q973">
        <v>1290</v>
      </c>
      <c r="X973">
        <v>4</v>
      </c>
      <c r="Y973">
        <v>2900.02</v>
      </c>
      <c r="Z973" s="3">
        <f t="shared" si="15"/>
        <v>725</v>
      </c>
    </row>
    <row r="974" spans="1:26" hidden="1">
      <c r="A974" t="s">
        <v>706</v>
      </c>
      <c r="B974" s="6">
        <v>44287</v>
      </c>
      <c r="C974" s="6">
        <v>44651</v>
      </c>
      <c r="D974">
        <v>20210401</v>
      </c>
      <c r="E974">
        <v>20220331</v>
      </c>
      <c r="F974" t="s">
        <v>2732</v>
      </c>
      <c r="G974" t="s">
        <v>2733</v>
      </c>
      <c r="H974" t="s">
        <v>590</v>
      </c>
      <c r="I974" t="s">
        <v>1462</v>
      </c>
      <c r="L974">
        <v>16</v>
      </c>
      <c r="M974">
        <v>13600</v>
      </c>
      <c r="N974">
        <v>-15</v>
      </c>
      <c r="O974">
        <v>-12525</v>
      </c>
      <c r="P974">
        <v>3</v>
      </c>
      <c r="Q974">
        <v>2325</v>
      </c>
      <c r="X974">
        <v>4</v>
      </c>
      <c r="Y974">
        <v>3400</v>
      </c>
      <c r="Z974" s="3">
        <f t="shared" si="15"/>
        <v>850</v>
      </c>
    </row>
    <row r="975" spans="1:26" hidden="1">
      <c r="A975" t="s">
        <v>706</v>
      </c>
      <c r="B975" s="6">
        <v>44287</v>
      </c>
      <c r="C975" s="6">
        <v>44651</v>
      </c>
      <c r="D975">
        <v>20210401</v>
      </c>
      <c r="E975">
        <v>20220331</v>
      </c>
      <c r="F975" t="s">
        <v>2734</v>
      </c>
      <c r="G975" t="s">
        <v>2735</v>
      </c>
      <c r="H975" t="s">
        <v>590</v>
      </c>
      <c r="I975" t="s">
        <v>1462</v>
      </c>
      <c r="L975">
        <v>2</v>
      </c>
      <c r="M975">
        <v>1401.24</v>
      </c>
      <c r="N975">
        <v>-2</v>
      </c>
      <c r="O975">
        <v>-1401.24</v>
      </c>
      <c r="Z975" s="3">
        <f t="shared" si="15"/>
        <v>700.62</v>
      </c>
    </row>
    <row r="976" spans="1:26" hidden="1">
      <c r="A976" t="s">
        <v>706</v>
      </c>
      <c r="B976" s="6">
        <v>44287</v>
      </c>
      <c r="C976" s="6">
        <v>44651</v>
      </c>
      <c r="D976">
        <v>20210401</v>
      </c>
      <c r="E976">
        <v>20220331</v>
      </c>
      <c r="F976" t="s">
        <v>2736</v>
      </c>
      <c r="G976" t="s">
        <v>2737</v>
      </c>
      <c r="H976" t="s">
        <v>590</v>
      </c>
      <c r="I976" t="s">
        <v>1462</v>
      </c>
      <c r="K976">
        <v>0.01</v>
      </c>
      <c r="Y976">
        <v>0.01</v>
      </c>
      <c r="Z976" s="3" t="e">
        <f t="shared" si="15"/>
        <v>#DIV/0!</v>
      </c>
    </row>
    <row r="977" spans="1:26" hidden="1">
      <c r="A977" t="s">
        <v>706</v>
      </c>
      <c r="B977" s="6">
        <v>44287</v>
      </c>
      <c r="C977" s="6">
        <v>44651</v>
      </c>
      <c r="D977">
        <v>20210401</v>
      </c>
      <c r="E977">
        <v>20220331</v>
      </c>
      <c r="F977" t="s">
        <v>2738</v>
      </c>
      <c r="G977" t="s">
        <v>2739</v>
      </c>
      <c r="H977" t="s">
        <v>590</v>
      </c>
      <c r="I977" t="s">
        <v>1462</v>
      </c>
      <c r="L977">
        <v>4</v>
      </c>
      <c r="M977">
        <v>2802.52</v>
      </c>
      <c r="N977">
        <v>-4</v>
      </c>
      <c r="O977">
        <v>-2802.52</v>
      </c>
      <c r="Z977" s="3">
        <f t="shared" si="15"/>
        <v>700.63</v>
      </c>
    </row>
    <row r="978" spans="1:26" hidden="1">
      <c r="A978" t="s">
        <v>706</v>
      </c>
      <c r="B978" s="6">
        <v>44287</v>
      </c>
      <c r="C978" s="6">
        <v>44651</v>
      </c>
      <c r="D978">
        <v>20210401</v>
      </c>
      <c r="E978">
        <v>20220331</v>
      </c>
      <c r="F978" t="s">
        <v>2740</v>
      </c>
      <c r="G978" t="s">
        <v>2741</v>
      </c>
      <c r="H978" t="s">
        <v>590</v>
      </c>
      <c r="I978" t="s">
        <v>1462</v>
      </c>
      <c r="L978">
        <v>3</v>
      </c>
      <c r="M978">
        <v>2520</v>
      </c>
      <c r="N978">
        <v>-3</v>
      </c>
      <c r="O978">
        <v>-2520</v>
      </c>
      <c r="Z978" s="3">
        <f t="shared" si="15"/>
        <v>840</v>
      </c>
    </row>
    <row r="979" spans="1:26" hidden="1">
      <c r="A979" t="s">
        <v>706</v>
      </c>
      <c r="B979" s="6">
        <v>44287</v>
      </c>
      <c r="C979" s="6">
        <v>44651</v>
      </c>
      <c r="D979">
        <v>20210401</v>
      </c>
      <c r="E979">
        <v>20220331</v>
      </c>
      <c r="F979" t="s">
        <v>2742</v>
      </c>
      <c r="G979" t="s">
        <v>2743</v>
      </c>
      <c r="H979" t="s">
        <v>590</v>
      </c>
      <c r="I979" t="s">
        <v>1462</v>
      </c>
      <c r="K979">
        <v>0.03</v>
      </c>
      <c r="L979">
        <v>4</v>
      </c>
      <c r="M979">
        <v>2620</v>
      </c>
      <c r="N979">
        <v>-4</v>
      </c>
      <c r="O979">
        <v>-2620</v>
      </c>
      <c r="Y979">
        <v>0.03</v>
      </c>
      <c r="Z979" s="3">
        <f t="shared" si="15"/>
        <v>655</v>
      </c>
    </row>
    <row r="980" spans="1:26" hidden="1">
      <c r="A980" t="s">
        <v>706</v>
      </c>
      <c r="B980" s="6">
        <v>44287</v>
      </c>
      <c r="C980" s="6">
        <v>44651</v>
      </c>
      <c r="D980">
        <v>20210401</v>
      </c>
      <c r="E980">
        <v>20220331</v>
      </c>
      <c r="F980" t="s">
        <v>2744</v>
      </c>
      <c r="G980" t="s">
        <v>2745</v>
      </c>
      <c r="H980" t="s">
        <v>590</v>
      </c>
      <c r="I980" t="s">
        <v>1462</v>
      </c>
      <c r="K980">
        <v>0.02</v>
      </c>
      <c r="L980">
        <v>4</v>
      </c>
      <c r="M980">
        <v>2620</v>
      </c>
      <c r="N980">
        <v>-4</v>
      </c>
      <c r="O980">
        <v>-2620</v>
      </c>
      <c r="Y980">
        <v>0.02</v>
      </c>
      <c r="Z980" s="3">
        <f t="shared" si="15"/>
        <v>655</v>
      </c>
    </row>
    <row r="981" spans="1:26" hidden="1">
      <c r="A981" t="s">
        <v>706</v>
      </c>
      <c r="B981" s="6">
        <v>44287</v>
      </c>
      <c r="C981" s="6">
        <v>44651</v>
      </c>
      <c r="D981">
        <v>20210401</v>
      </c>
      <c r="E981">
        <v>20220331</v>
      </c>
      <c r="F981" t="s">
        <v>2746</v>
      </c>
      <c r="G981" t="s">
        <v>2747</v>
      </c>
      <c r="H981" t="s">
        <v>590</v>
      </c>
      <c r="I981" t="s">
        <v>1462</v>
      </c>
      <c r="L981">
        <v>2</v>
      </c>
      <c r="M981">
        <v>1310</v>
      </c>
      <c r="N981">
        <v>-2</v>
      </c>
      <c r="O981">
        <v>-1310</v>
      </c>
      <c r="Z981" s="3">
        <f t="shared" si="15"/>
        <v>655</v>
      </c>
    </row>
    <row r="982" spans="1:26" hidden="1">
      <c r="A982" t="s">
        <v>706</v>
      </c>
      <c r="B982" s="6">
        <v>44287</v>
      </c>
      <c r="C982" s="6">
        <v>44651</v>
      </c>
      <c r="D982">
        <v>20210401</v>
      </c>
      <c r="E982">
        <v>20220331</v>
      </c>
      <c r="F982" t="s">
        <v>2748</v>
      </c>
      <c r="G982" t="s">
        <v>2749</v>
      </c>
      <c r="H982" t="s">
        <v>590</v>
      </c>
      <c r="I982" t="s">
        <v>1462</v>
      </c>
      <c r="L982">
        <v>4</v>
      </c>
      <c r="M982">
        <v>2620</v>
      </c>
      <c r="N982">
        <v>-4</v>
      </c>
      <c r="O982">
        <v>-2620</v>
      </c>
      <c r="Z982" s="3">
        <f t="shared" si="15"/>
        <v>655</v>
      </c>
    </row>
    <row r="983" spans="1:26" hidden="1">
      <c r="A983" t="s">
        <v>706</v>
      </c>
      <c r="B983" s="6">
        <v>44287</v>
      </c>
      <c r="C983" s="6">
        <v>44651</v>
      </c>
      <c r="D983">
        <v>20210401</v>
      </c>
      <c r="E983">
        <v>20220331</v>
      </c>
      <c r="F983" t="s">
        <v>2750</v>
      </c>
      <c r="G983" t="s">
        <v>2751</v>
      </c>
      <c r="H983" t="s">
        <v>590</v>
      </c>
      <c r="I983" t="s">
        <v>1462</v>
      </c>
      <c r="L983">
        <v>8</v>
      </c>
      <c r="M983">
        <v>288</v>
      </c>
      <c r="N983">
        <v>-8</v>
      </c>
      <c r="O983">
        <v>-288</v>
      </c>
      <c r="Z983" s="3">
        <f t="shared" si="15"/>
        <v>36</v>
      </c>
    </row>
    <row r="984" spans="1:26" hidden="1">
      <c r="A984" t="s">
        <v>706</v>
      </c>
      <c r="B984" s="6">
        <v>44287</v>
      </c>
      <c r="C984" s="6">
        <v>44651</v>
      </c>
      <c r="D984">
        <v>20210401</v>
      </c>
      <c r="E984">
        <v>20220331</v>
      </c>
      <c r="F984" t="s">
        <v>2752</v>
      </c>
      <c r="G984" t="s">
        <v>2753</v>
      </c>
      <c r="H984" t="s">
        <v>590</v>
      </c>
      <c r="I984" t="s">
        <v>1462</v>
      </c>
      <c r="L984">
        <v>4</v>
      </c>
      <c r="M984">
        <v>2620</v>
      </c>
      <c r="N984">
        <v>-4</v>
      </c>
      <c r="O984">
        <v>-2620</v>
      </c>
      <c r="Z984" s="3">
        <f t="shared" si="15"/>
        <v>655</v>
      </c>
    </row>
    <row r="985" spans="1:26" hidden="1">
      <c r="A985" t="s">
        <v>706</v>
      </c>
      <c r="B985" s="6">
        <v>44287</v>
      </c>
      <c r="C985" s="6">
        <v>44651</v>
      </c>
      <c r="D985">
        <v>20210401</v>
      </c>
      <c r="E985">
        <v>20220331</v>
      </c>
      <c r="F985" t="s">
        <v>2754</v>
      </c>
      <c r="G985" t="s">
        <v>2755</v>
      </c>
      <c r="H985" t="s">
        <v>590</v>
      </c>
      <c r="I985" t="s">
        <v>1462</v>
      </c>
      <c r="N985">
        <v>-6</v>
      </c>
      <c r="O985">
        <v>-450</v>
      </c>
      <c r="P985">
        <v>6</v>
      </c>
      <c r="Q985">
        <v>450</v>
      </c>
      <c r="Z985" s="3" t="e">
        <f t="shared" si="15"/>
        <v>#DIV/0!</v>
      </c>
    </row>
    <row r="986" spans="1:26" hidden="1">
      <c r="A986" t="s">
        <v>706</v>
      </c>
      <c r="B986" s="6">
        <v>44287</v>
      </c>
      <c r="C986" s="6">
        <v>44651</v>
      </c>
      <c r="D986">
        <v>20210401</v>
      </c>
      <c r="E986">
        <v>20220331</v>
      </c>
      <c r="F986" t="s">
        <v>2756</v>
      </c>
      <c r="G986" t="s">
        <v>2757</v>
      </c>
      <c r="H986" t="s">
        <v>590</v>
      </c>
      <c r="I986" t="s">
        <v>1462</v>
      </c>
      <c r="L986">
        <v>31</v>
      </c>
      <c r="M986">
        <v>4593</v>
      </c>
      <c r="N986">
        <v>-31</v>
      </c>
      <c r="O986">
        <v>-4593</v>
      </c>
      <c r="Z986" s="3">
        <f t="shared" si="15"/>
        <v>148.16129032258064</v>
      </c>
    </row>
    <row r="987" spans="1:26" hidden="1">
      <c r="A987" t="s">
        <v>706</v>
      </c>
      <c r="B987" s="6">
        <v>44287</v>
      </c>
      <c r="C987" s="6">
        <v>44651</v>
      </c>
      <c r="D987">
        <v>20210401</v>
      </c>
      <c r="E987">
        <v>20220331</v>
      </c>
      <c r="F987" t="s">
        <v>2758</v>
      </c>
      <c r="G987" t="s">
        <v>2759</v>
      </c>
      <c r="H987" t="s">
        <v>590</v>
      </c>
      <c r="I987" t="s">
        <v>1462</v>
      </c>
      <c r="L987">
        <v>8</v>
      </c>
      <c r="M987">
        <v>1418.4</v>
      </c>
      <c r="N987">
        <v>-8</v>
      </c>
      <c r="O987">
        <v>-1418.4</v>
      </c>
      <c r="Z987" s="3">
        <f t="shared" si="15"/>
        <v>177.3</v>
      </c>
    </row>
    <row r="988" spans="1:26" hidden="1">
      <c r="A988" t="s">
        <v>706</v>
      </c>
      <c r="B988" s="6">
        <v>44287</v>
      </c>
      <c r="C988" s="6">
        <v>44651</v>
      </c>
      <c r="D988">
        <v>20210401</v>
      </c>
      <c r="E988">
        <v>20220331</v>
      </c>
      <c r="F988" t="s">
        <v>2760</v>
      </c>
      <c r="G988" t="s">
        <v>2761</v>
      </c>
      <c r="H988" t="s">
        <v>590</v>
      </c>
      <c r="I988" t="s">
        <v>1462</v>
      </c>
      <c r="K988">
        <v>0.01</v>
      </c>
      <c r="L988">
        <v>20</v>
      </c>
      <c r="M988">
        <v>3560</v>
      </c>
      <c r="N988">
        <v>-36</v>
      </c>
      <c r="O988">
        <v>-6336</v>
      </c>
      <c r="P988">
        <v>16</v>
      </c>
      <c r="Q988">
        <v>2776</v>
      </c>
      <c r="Y988">
        <v>0.01</v>
      </c>
      <c r="Z988" s="3">
        <f t="shared" si="15"/>
        <v>178</v>
      </c>
    </row>
    <row r="989" spans="1:26" hidden="1">
      <c r="A989" t="s">
        <v>706</v>
      </c>
      <c r="B989" s="6">
        <v>44287</v>
      </c>
      <c r="C989" s="6">
        <v>44651</v>
      </c>
      <c r="D989">
        <v>20210401</v>
      </c>
      <c r="E989">
        <v>20220331</v>
      </c>
      <c r="F989" t="s">
        <v>2762</v>
      </c>
      <c r="G989" t="s">
        <v>2763</v>
      </c>
      <c r="H989" t="s">
        <v>590</v>
      </c>
      <c r="I989" t="s">
        <v>1462</v>
      </c>
      <c r="L989">
        <v>4</v>
      </c>
      <c r="M989">
        <v>3360</v>
      </c>
      <c r="N989">
        <v>-4</v>
      </c>
      <c r="O989">
        <v>-3360</v>
      </c>
      <c r="Z989" s="3">
        <f t="shared" si="15"/>
        <v>840</v>
      </c>
    </row>
    <row r="990" spans="1:26" hidden="1">
      <c r="A990" t="s">
        <v>706</v>
      </c>
      <c r="B990" s="6">
        <v>44287</v>
      </c>
      <c r="C990" s="6">
        <v>44651</v>
      </c>
      <c r="D990">
        <v>20210401</v>
      </c>
      <c r="E990">
        <v>20220331</v>
      </c>
      <c r="F990" t="s">
        <v>2764</v>
      </c>
      <c r="G990" t="s">
        <v>2765</v>
      </c>
      <c r="H990" t="s">
        <v>590</v>
      </c>
      <c r="I990" t="s">
        <v>1462</v>
      </c>
      <c r="K990">
        <v>0.01</v>
      </c>
      <c r="Y990">
        <v>0.01</v>
      </c>
      <c r="Z990" s="3" t="e">
        <f t="shared" si="15"/>
        <v>#DIV/0!</v>
      </c>
    </row>
    <row r="991" spans="1:26" hidden="1">
      <c r="A991" t="s">
        <v>706</v>
      </c>
      <c r="B991" s="6">
        <v>44287</v>
      </c>
      <c r="C991" s="6">
        <v>44651</v>
      </c>
      <c r="D991">
        <v>20210401</v>
      </c>
      <c r="E991">
        <v>20220331</v>
      </c>
      <c r="F991" t="s">
        <v>2766</v>
      </c>
      <c r="G991" t="s">
        <v>2767</v>
      </c>
      <c r="H991" t="s">
        <v>590</v>
      </c>
      <c r="I991" t="s">
        <v>1462</v>
      </c>
      <c r="L991">
        <v>5</v>
      </c>
      <c r="M991">
        <v>4200</v>
      </c>
      <c r="N991">
        <v>-7</v>
      </c>
      <c r="O991">
        <v>-5750</v>
      </c>
      <c r="P991">
        <v>2</v>
      </c>
      <c r="Q991">
        <v>1550</v>
      </c>
      <c r="Z991" s="3">
        <f t="shared" si="15"/>
        <v>840</v>
      </c>
    </row>
    <row r="992" spans="1:26" hidden="1">
      <c r="A992" t="s">
        <v>706</v>
      </c>
      <c r="B992" s="6">
        <v>44287</v>
      </c>
      <c r="C992" s="6">
        <v>44651</v>
      </c>
      <c r="D992">
        <v>20210401</v>
      </c>
      <c r="E992">
        <v>20220331</v>
      </c>
      <c r="F992" t="s">
        <v>2768</v>
      </c>
      <c r="G992" t="s">
        <v>2769</v>
      </c>
      <c r="H992" t="s">
        <v>590</v>
      </c>
      <c r="I992" t="s">
        <v>805</v>
      </c>
      <c r="K992">
        <v>0.01</v>
      </c>
      <c r="Y992">
        <v>0.01</v>
      </c>
      <c r="Z992" s="3" t="e">
        <f t="shared" si="15"/>
        <v>#DIV/0!</v>
      </c>
    </row>
    <row r="993" spans="1:26" hidden="1">
      <c r="A993" t="s">
        <v>706</v>
      </c>
      <c r="B993" s="6">
        <v>44287</v>
      </c>
      <c r="C993" s="6">
        <v>44651</v>
      </c>
      <c r="D993">
        <v>20210401</v>
      </c>
      <c r="E993">
        <v>20220331</v>
      </c>
      <c r="F993" t="s">
        <v>2770</v>
      </c>
      <c r="G993" t="s">
        <v>2771</v>
      </c>
      <c r="H993" t="s">
        <v>590</v>
      </c>
      <c r="I993" t="s">
        <v>1462</v>
      </c>
      <c r="L993">
        <v>3</v>
      </c>
      <c r="M993">
        <v>2520</v>
      </c>
      <c r="N993">
        <v>-3</v>
      </c>
      <c r="O993">
        <v>-2520</v>
      </c>
      <c r="Z993" s="3">
        <f t="shared" si="15"/>
        <v>840</v>
      </c>
    </row>
    <row r="994" spans="1:26" hidden="1">
      <c r="A994" t="s">
        <v>706</v>
      </c>
      <c r="B994" s="6">
        <v>44287</v>
      </c>
      <c r="C994" s="6">
        <v>44651</v>
      </c>
      <c r="D994">
        <v>20210401</v>
      </c>
      <c r="E994">
        <v>20220331</v>
      </c>
      <c r="F994" t="s">
        <v>2772</v>
      </c>
      <c r="G994" t="s">
        <v>2773</v>
      </c>
      <c r="H994" t="s">
        <v>590</v>
      </c>
      <c r="I994" t="s">
        <v>1462</v>
      </c>
      <c r="L994">
        <v>3</v>
      </c>
      <c r="M994">
        <v>2520</v>
      </c>
      <c r="N994">
        <v>-3</v>
      </c>
      <c r="O994">
        <v>-2520</v>
      </c>
      <c r="Z994" s="3">
        <f t="shared" si="15"/>
        <v>840</v>
      </c>
    </row>
    <row r="995" spans="1:26" hidden="1">
      <c r="A995" t="s">
        <v>706</v>
      </c>
      <c r="B995" s="6">
        <v>44287</v>
      </c>
      <c r="C995" s="6">
        <v>44651</v>
      </c>
      <c r="D995">
        <v>20210401</v>
      </c>
      <c r="E995">
        <v>20220331</v>
      </c>
      <c r="F995" t="s">
        <v>2774</v>
      </c>
      <c r="G995" t="s">
        <v>2775</v>
      </c>
      <c r="H995" t="s">
        <v>590</v>
      </c>
      <c r="I995" t="s">
        <v>1462</v>
      </c>
      <c r="L995">
        <v>2</v>
      </c>
      <c r="M995">
        <v>3250</v>
      </c>
      <c r="N995">
        <v>-2</v>
      </c>
      <c r="O995">
        <v>-3250</v>
      </c>
      <c r="Z995" s="3">
        <f t="shared" si="15"/>
        <v>1625</v>
      </c>
    </row>
    <row r="996" spans="1:26" hidden="1">
      <c r="A996" t="s">
        <v>706</v>
      </c>
      <c r="B996" s="6">
        <v>44287</v>
      </c>
      <c r="C996" s="6">
        <v>44651</v>
      </c>
      <c r="D996">
        <v>20210401</v>
      </c>
      <c r="E996">
        <v>20220331</v>
      </c>
      <c r="F996" t="s">
        <v>2776</v>
      </c>
      <c r="G996" t="s">
        <v>2777</v>
      </c>
      <c r="H996" t="s">
        <v>590</v>
      </c>
      <c r="I996" t="s">
        <v>1462</v>
      </c>
      <c r="L996">
        <v>8</v>
      </c>
      <c r="M996">
        <v>1560</v>
      </c>
      <c r="N996">
        <v>-8</v>
      </c>
      <c r="O996">
        <v>-1560</v>
      </c>
      <c r="Z996" s="3">
        <f t="shared" si="15"/>
        <v>195</v>
      </c>
    </row>
    <row r="997" spans="1:26" hidden="1">
      <c r="A997" t="s">
        <v>706</v>
      </c>
      <c r="B997" s="6">
        <v>44287</v>
      </c>
      <c r="C997" s="6">
        <v>44651</v>
      </c>
      <c r="D997">
        <v>20210401</v>
      </c>
      <c r="E997">
        <v>20220331</v>
      </c>
      <c r="F997" t="s">
        <v>2778</v>
      </c>
      <c r="G997" t="s">
        <v>2779</v>
      </c>
      <c r="H997" t="s">
        <v>590</v>
      </c>
      <c r="I997" t="s">
        <v>805</v>
      </c>
      <c r="L997">
        <v>2</v>
      </c>
      <c r="M997">
        <v>1700</v>
      </c>
      <c r="N997">
        <v>-2</v>
      </c>
      <c r="O997">
        <v>-1700</v>
      </c>
      <c r="Z997" s="3">
        <f t="shared" si="15"/>
        <v>850</v>
      </c>
    </row>
    <row r="998" spans="1:26" hidden="1">
      <c r="A998" t="s">
        <v>706</v>
      </c>
      <c r="B998" s="6">
        <v>44287</v>
      </c>
      <c r="C998" s="6">
        <v>44651</v>
      </c>
      <c r="D998">
        <v>20210401</v>
      </c>
      <c r="E998">
        <v>20220331</v>
      </c>
      <c r="F998" t="s">
        <v>2780</v>
      </c>
      <c r="G998" t="s">
        <v>2781</v>
      </c>
      <c r="H998" t="s">
        <v>590</v>
      </c>
      <c r="I998" t="s">
        <v>1462</v>
      </c>
      <c r="N998">
        <v>-2</v>
      </c>
      <c r="O998">
        <v>-350</v>
      </c>
      <c r="P998">
        <v>2</v>
      </c>
      <c r="Q998">
        <v>350</v>
      </c>
      <c r="Z998" s="3" t="e">
        <f t="shared" si="15"/>
        <v>#DIV/0!</v>
      </c>
    </row>
    <row r="999" spans="1:26" hidden="1">
      <c r="A999" t="s">
        <v>706</v>
      </c>
      <c r="B999" s="6">
        <v>44287</v>
      </c>
      <c r="C999" s="6">
        <v>44651</v>
      </c>
      <c r="D999">
        <v>20210401</v>
      </c>
      <c r="E999">
        <v>20220331</v>
      </c>
      <c r="F999" t="s">
        <v>2782</v>
      </c>
      <c r="G999" t="s">
        <v>2783</v>
      </c>
      <c r="H999" t="s">
        <v>590</v>
      </c>
      <c r="I999" t="s">
        <v>1462</v>
      </c>
      <c r="L999">
        <v>30</v>
      </c>
      <c r="M999">
        <v>1890</v>
      </c>
      <c r="N999">
        <v>-30</v>
      </c>
      <c r="O999">
        <v>-1890</v>
      </c>
      <c r="Z999" s="3">
        <f t="shared" si="15"/>
        <v>63</v>
      </c>
    </row>
    <row r="1000" spans="1:26" hidden="1">
      <c r="A1000" t="s">
        <v>706</v>
      </c>
      <c r="B1000" s="6">
        <v>44287</v>
      </c>
      <c r="C1000" s="6">
        <v>44651</v>
      </c>
      <c r="D1000">
        <v>20210401</v>
      </c>
      <c r="E1000">
        <v>20220331</v>
      </c>
      <c r="F1000" t="s">
        <v>2784</v>
      </c>
      <c r="G1000" t="s">
        <v>2785</v>
      </c>
      <c r="H1000" t="s">
        <v>590</v>
      </c>
      <c r="I1000" t="s">
        <v>1462</v>
      </c>
      <c r="L1000">
        <v>1</v>
      </c>
      <c r="M1000">
        <v>2875</v>
      </c>
      <c r="N1000">
        <v>-1</v>
      </c>
      <c r="O1000">
        <v>-2875</v>
      </c>
      <c r="Z1000" s="3">
        <f t="shared" si="15"/>
        <v>2875</v>
      </c>
    </row>
    <row r="1001" spans="1:26" hidden="1">
      <c r="A1001" t="s">
        <v>706</v>
      </c>
      <c r="B1001" s="6">
        <v>44287</v>
      </c>
      <c r="C1001" s="6">
        <v>44651</v>
      </c>
      <c r="D1001">
        <v>20210401</v>
      </c>
      <c r="E1001">
        <v>20220331</v>
      </c>
      <c r="F1001" t="s">
        <v>2786</v>
      </c>
      <c r="G1001" t="s">
        <v>2787</v>
      </c>
      <c r="H1001" t="s">
        <v>590</v>
      </c>
      <c r="I1001" t="s">
        <v>1462</v>
      </c>
      <c r="L1001">
        <v>5</v>
      </c>
      <c r="M1001">
        <v>15000</v>
      </c>
      <c r="N1001">
        <v>-5</v>
      </c>
      <c r="O1001">
        <v>-15000</v>
      </c>
      <c r="Z1001" s="3">
        <f t="shared" si="15"/>
        <v>3000</v>
      </c>
    </row>
    <row r="1002" spans="1:26" hidden="1">
      <c r="A1002" t="s">
        <v>706</v>
      </c>
      <c r="B1002" s="6">
        <v>44287</v>
      </c>
      <c r="C1002" s="6">
        <v>44651</v>
      </c>
      <c r="D1002">
        <v>20210401</v>
      </c>
      <c r="E1002">
        <v>20220331</v>
      </c>
      <c r="F1002" t="s">
        <v>2788</v>
      </c>
      <c r="G1002" t="s">
        <v>2789</v>
      </c>
      <c r="H1002" t="s">
        <v>590</v>
      </c>
      <c r="I1002" t="s">
        <v>1462</v>
      </c>
      <c r="K1002">
        <v>0.03</v>
      </c>
      <c r="L1002">
        <v>20</v>
      </c>
      <c r="M1002">
        <v>1080</v>
      </c>
      <c r="N1002">
        <v>-27</v>
      </c>
      <c r="O1002">
        <v>-1423</v>
      </c>
      <c r="P1002">
        <v>7</v>
      </c>
      <c r="Q1002">
        <v>343</v>
      </c>
      <c r="Y1002">
        <v>0.03</v>
      </c>
      <c r="Z1002" s="3">
        <f t="shared" si="15"/>
        <v>54</v>
      </c>
    </row>
    <row r="1003" spans="1:26" hidden="1">
      <c r="A1003" t="s">
        <v>706</v>
      </c>
      <c r="B1003" s="6">
        <v>44287</v>
      </c>
      <c r="C1003" s="6">
        <v>44651</v>
      </c>
      <c r="D1003">
        <v>20210401</v>
      </c>
      <c r="E1003">
        <v>20220331</v>
      </c>
      <c r="F1003" t="s">
        <v>2790</v>
      </c>
      <c r="G1003" t="s">
        <v>2791</v>
      </c>
      <c r="H1003" t="s">
        <v>590</v>
      </c>
      <c r="I1003" t="s">
        <v>1462</v>
      </c>
      <c r="K1003">
        <v>0.01</v>
      </c>
      <c r="L1003">
        <v>10</v>
      </c>
      <c r="M1003">
        <v>540</v>
      </c>
      <c r="N1003">
        <v>-16</v>
      </c>
      <c r="O1003">
        <v>-834</v>
      </c>
      <c r="P1003">
        <v>6</v>
      </c>
      <c r="Q1003">
        <v>294</v>
      </c>
      <c r="Y1003">
        <v>0.01</v>
      </c>
      <c r="Z1003" s="3">
        <f t="shared" si="15"/>
        <v>54</v>
      </c>
    </row>
    <row r="1004" spans="1:26" hidden="1">
      <c r="A1004" t="s">
        <v>706</v>
      </c>
      <c r="B1004" s="6">
        <v>44287</v>
      </c>
      <c r="C1004" s="6">
        <v>44651</v>
      </c>
      <c r="D1004">
        <v>20210401</v>
      </c>
      <c r="E1004">
        <v>20220331</v>
      </c>
      <c r="F1004" t="s">
        <v>2792</v>
      </c>
      <c r="G1004" t="s">
        <v>2793</v>
      </c>
      <c r="H1004" t="s">
        <v>590</v>
      </c>
      <c r="I1004" t="s">
        <v>1462</v>
      </c>
      <c r="L1004">
        <v>1</v>
      </c>
      <c r="M1004">
        <v>1656.3</v>
      </c>
      <c r="N1004">
        <v>-1</v>
      </c>
      <c r="O1004">
        <v>-1656.3</v>
      </c>
      <c r="Z1004" s="3">
        <f t="shared" si="15"/>
        <v>1656.3</v>
      </c>
    </row>
    <row r="1005" spans="1:26" hidden="1">
      <c r="A1005" t="s">
        <v>706</v>
      </c>
      <c r="B1005" s="6">
        <v>44287</v>
      </c>
      <c r="C1005" s="6">
        <v>44651</v>
      </c>
      <c r="D1005">
        <v>20210401</v>
      </c>
      <c r="E1005">
        <v>20220331</v>
      </c>
      <c r="F1005" t="s">
        <v>2794</v>
      </c>
      <c r="G1005" t="s">
        <v>2795</v>
      </c>
      <c r="H1005" t="s">
        <v>590</v>
      </c>
      <c r="I1005" t="s">
        <v>1462</v>
      </c>
      <c r="L1005">
        <v>10</v>
      </c>
      <c r="M1005">
        <v>2100</v>
      </c>
      <c r="N1005">
        <v>-10</v>
      </c>
      <c r="O1005">
        <v>-2100</v>
      </c>
      <c r="Z1005" s="3">
        <f t="shared" si="15"/>
        <v>210</v>
      </c>
    </row>
    <row r="1006" spans="1:26" hidden="1">
      <c r="A1006" t="s">
        <v>706</v>
      </c>
      <c r="B1006" s="6">
        <v>44287</v>
      </c>
      <c r="C1006" s="6">
        <v>44651</v>
      </c>
      <c r="D1006">
        <v>20210401</v>
      </c>
      <c r="E1006">
        <v>20220331</v>
      </c>
      <c r="F1006" t="s">
        <v>2796</v>
      </c>
      <c r="G1006" t="s">
        <v>2797</v>
      </c>
      <c r="H1006" t="s">
        <v>590</v>
      </c>
      <c r="I1006" t="s">
        <v>1462</v>
      </c>
      <c r="L1006">
        <v>10</v>
      </c>
      <c r="M1006">
        <v>2100</v>
      </c>
      <c r="N1006">
        <v>-10</v>
      </c>
      <c r="O1006">
        <v>-2100</v>
      </c>
      <c r="Z1006" s="3">
        <f t="shared" si="15"/>
        <v>210</v>
      </c>
    </row>
    <row r="1007" spans="1:26" hidden="1">
      <c r="A1007" t="s">
        <v>706</v>
      </c>
      <c r="B1007" s="6">
        <v>44287</v>
      </c>
      <c r="C1007" s="6">
        <v>44651</v>
      </c>
      <c r="D1007">
        <v>20210401</v>
      </c>
      <c r="E1007">
        <v>20220331</v>
      </c>
      <c r="F1007" t="s">
        <v>2798</v>
      </c>
      <c r="G1007" t="s">
        <v>2799</v>
      </c>
      <c r="H1007" t="s">
        <v>590</v>
      </c>
      <c r="I1007" t="s">
        <v>1462</v>
      </c>
      <c r="L1007">
        <v>95</v>
      </c>
      <c r="M1007">
        <v>4410</v>
      </c>
      <c r="N1007">
        <v>-95</v>
      </c>
      <c r="O1007">
        <v>-4410</v>
      </c>
      <c r="Z1007" s="3">
        <f t="shared" si="15"/>
        <v>46.421052631578945</v>
      </c>
    </row>
    <row r="1008" spans="1:26" hidden="1">
      <c r="A1008" t="s">
        <v>706</v>
      </c>
      <c r="B1008" s="6">
        <v>44287</v>
      </c>
      <c r="C1008" s="6">
        <v>44651</v>
      </c>
      <c r="D1008">
        <v>20210401</v>
      </c>
      <c r="E1008">
        <v>20220331</v>
      </c>
      <c r="F1008" t="s">
        <v>2800</v>
      </c>
      <c r="G1008" t="s">
        <v>2801</v>
      </c>
      <c r="H1008" t="s">
        <v>590</v>
      </c>
      <c r="I1008" t="s">
        <v>1462</v>
      </c>
      <c r="L1008">
        <v>70</v>
      </c>
      <c r="M1008">
        <v>3240</v>
      </c>
      <c r="N1008">
        <v>-70</v>
      </c>
      <c r="O1008">
        <v>-3240</v>
      </c>
      <c r="Z1008" s="3">
        <f t="shared" si="15"/>
        <v>46.285714285714285</v>
      </c>
    </row>
    <row r="1009" spans="1:26" hidden="1">
      <c r="A1009" t="s">
        <v>706</v>
      </c>
      <c r="B1009" s="6">
        <v>44287</v>
      </c>
      <c r="C1009" s="6">
        <v>44651</v>
      </c>
      <c r="D1009">
        <v>20210401</v>
      </c>
      <c r="E1009">
        <v>20220331</v>
      </c>
      <c r="F1009" t="s">
        <v>2802</v>
      </c>
      <c r="G1009" t="s">
        <v>2803</v>
      </c>
      <c r="H1009" t="s">
        <v>590</v>
      </c>
      <c r="I1009" t="s">
        <v>1462</v>
      </c>
      <c r="K1009">
        <v>0.02</v>
      </c>
      <c r="N1009">
        <v>-2</v>
      </c>
      <c r="O1009">
        <v>-98</v>
      </c>
      <c r="P1009">
        <v>2</v>
      </c>
      <c r="Q1009">
        <v>98</v>
      </c>
      <c r="Y1009">
        <v>0.02</v>
      </c>
      <c r="Z1009" s="3" t="e">
        <f t="shared" si="15"/>
        <v>#DIV/0!</v>
      </c>
    </row>
    <row r="1010" spans="1:26" hidden="1">
      <c r="A1010" t="s">
        <v>706</v>
      </c>
      <c r="B1010" s="6">
        <v>44287</v>
      </c>
      <c r="C1010" s="6">
        <v>44651</v>
      </c>
      <c r="D1010">
        <v>20210401</v>
      </c>
      <c r="E1010">
        <v>20220331</v>
      </c>
      <c r="F1010" t="s">
        <v>2804</v>
      </c>
      <c r="G1010" t="s">
        <v>2805</v>
      </c>
      <c r="H1010" t="s">
        <v>590</v>
      </c>
      <c r="I1010" t="s">
        <v>1462</v>
      </c>
      <c r="L1010">
        <v>2</v>
      </c>
      <c r="M1010">
        <v>3230</v>
      </c>
      <c r="N1010">
        <v>-12</v>
      </c>
      <c r="O1010">
        <v>-21730</v>
      </c>
      <c r="P1010">
        <v>10</v>
      </c>
      <c r="Q1010">
        <v>18500</v>
      </c>
      <c r="Z1010" s="3">
        <f t="shared" si="15"/>
        <v>1615</v>
      </c>
    </row>
    <row r="1011" spans="1:26" hidden="1">
      <c r="A1011" t="s">
        <v>706</v>
      </c>
      <c r="B1011" s="6">
        <v>44287</v>
      </c>
      <c r="C1011" s="6">
        <v>44651</v>
      </c>
      <c r="D1011">
        <v>20210401</v>
      </c>
      <c r="E1011">
        <v>20220331</v>
      </c>
      <c r="F1011" t="s">
        <v>2806</v>
      </c>
      <c r="G1011" t="s">
        <v>2807</v>
      </c>
      <c r="H1011" t="s">
        <v>590</v>
      </c>
      <c r="I1011" t="s">
        <v>1462</v>
      </c>
      <c r="K1011">
        <v>47.62</v>
      </c>
      <c r="L1011">
        <v>10</v>
      </c>
      <c r="M1011">
        <v>3150</v>
      </c>
      <c r="N1011">
        <v>-10</v>
      </c>
      <c r="O1011">
        <v>-3150</v>
      </c>
      <c r="Y1011">
        <v>47.62</v>
      </c>
      <c r="Z1011" s="3">
        <f t="shared" si="15"/>
        <v>315</v>
      </c>
    </row>
    <row r="1012" spans="1:26" hidden="1">
      <c r="A1012" t="s">
        <v>706</v>
      </c>
      <c r="B1012" s="6">
        <v>44287</v>
      </c>
      <c r="C1012" s="6">
        <v>44651</v>
      </c>
      <c r="D1012">
        <v>20210401</v>
      </c>
      <c r="E1012">
        <v>20220331</v>
      </c>
      <c r="F1012" t="s">
        <v>2808</v>
      </c>
      <c r="G1012" t="s">
        <v>2809</v>
      </c>
      <c r="H1012" t="s">
        <v>590</v>
      </c>
      <c r="I1012" t="s">
        <v>1462</v>
      </c>
      <c r="L1012">
        <v>10</v>
      </c>
      <c r="M1012">
        <v>2100</v>
      </c>
      <c r="N1012">
        <v>-10</v>
      </c>
      <c r="O1012">
        <v>-2100</v>
      </c>
      <c r="Z1012" s="3">
        <f t="shared" si="15"/>
        <v>210</v>
      </c>
    </row>
    <row r="1013" spans="1:26" hidden="1">
      <c r="A1013" t="s">
        <v>706</v>
      </c>
      <c r="B1013" s="6">
        <v>44287</v>
      </c>
      <c r="C1013" s="6">
        <v>44651</v>
      </c>
      <c r="D1013">
        <v>20210401</v>
      </c>
      <c r="E1013">
        <v>20220331</v>
      </c>
      <c r="F1013" t="s">
        <v>2810</v>
      </c>
      <c r="G1013" t="s">
        <v>2811</v>
      </c>
      <c r="H1013" t="s">
        <v>590</v>
      </c>
      <c r="I1013" t="s">
        <v>1462</v>
      </c>
      <c r="K1013">
        <v>15</v>
      </c>
      <c r="L1013">
        <v>8</v>
      </c>
      <c r="M1013">
        <v>224</v>
      </c>
      <c r="N1013">
        <v>-8</v>
      </c>
      <c r="O1013">
        <v>-224</v>
      </c>
      <c r="Y1013">
        <v>15</v>
      </c>
      <c r="Z1013" s="3">
        <f t="shared" si="15"/>
        <v>28</v>
      </c>
    </row>
    <row r="1014" spans="1:26" hidden="1">
      <c r="A1014" t="s">
        <v>706</v>
      </c>
      <c r="B1014" s="6">
        <v>44287</v>
      </c>
      <c r="C1014" s="6">
        <v>44651</v>
      </c>
      <c r="D1014">
        <v>20210401</v>
      </c>
      <c r="E1014">
        <v>20220331</v>
      </c>
      <c r="F1014" t="s">
        <v>2812</v>
      </c>
      <c r="G1014" t="s">
        <v>2813</v>
      </c>
      <c r="H1014" t="s">
        <v>590</v>
      </c>
      <c r="I1014" t="s">
        <v>1462</v>
      </c>
      <c r="L1014">
        <v>30</v>
      </c>
      <c r="M1014">
        <v>1290</v>
      </c>
      <c r="N1014">
        <v>-40</v>
      </c>
      <c r="O1014">
        <v>-1815</v>
      </c>
      <c r="P1014">
        <v>10</v>
      </c>
      <c r="Q1014">
        <v>525</v>
      </c>
      <c r="Z1014" s="3">
        <f t="shared" si="15"/>
        <v>43</v>
      </c>
    </row>
    <row r="1015" spans="1:26" hidden="1">
      <c r="A1015" t="s">
        <v>706</v>
      </c>
      <c r="B1015" s="6">
        <v>44287</v>
      </c>
      <c r="C1015" s="6">
        <v>44651</v>
      </c>
      <c r="D1015">
        <v>20210401</v>
      </c>
      <c r="E1015">
        <v>20220331</v>
      </c>
      <c r="F1015" t="s">
        <v>2814</v>
      </c>
      <c r="G1015" t="s">
        <v>2815</v>
      </c>
      <c r="H1015" t="s">
        <v>590</v>
      </c>
      <c r="I1015" t="s">
        <v>1462</v>
      </c>
      <c r="L1015">
        <v>30</v>
      </c>
      <c r="M1015">
        <v>1290</v>
      </c>
      <c r="N1015">
        <v>-40</v>
      </c>
      <c r="O1015">
        <v>-2015</v>
      </c>
      <c r="P1015">
        <v>10</v>
      </c>
      <c r="Q1015">
        <v>725</v>
      </c>
      <c r="Z1015" s="3">
        <f t="shared" si="15"/>
        <v>43</v>
      </c>
    </row>
    <row r="1016" spans="1:26" hidden="1">
      <c r="A1016" t="s">
        <v>706</v>
      </c>
      <c r="B1016" s="6">
        <v>44287</v>
      </c>
      <c r="C1016" s="6">
        <v>44651</v>
      </c>
      <c r="D1016">
        <v>20210401</v>
      </c>
      <c r="E1016">
        <v>20220331</v>
      </c>
      <c r="F1016" t="s">
        <v>2816</v>
      </c>
      <c r="G1016" t="s">
        <v>2817</v>
      </c>
      <c r="H1016" t="s">
        <v>590</v>
      </c>
      <c r="I1016" t="s">
        <v>1462</v>
      </c>
      <c r="L1016">
        <v>85</v>
      </c>
      <c r="M1016">
        <v>3655</v>
      </c>
      <c r="N1016">
        <v>-95</v>
      </c>
      <c r="O1016">
        <v>-4180</v>
      </c>
      <c r="P1016">
        <v>10</v>
      </c>
      <c r="Q1016">
        <v>525</v>
      </c>
      <c r="Z1016" s="3">
        <f t="shared" si="15"/>
        <v>43</v>
      </c>
    </row>
    <row r="1017" spans="1:26" hidden="1">
      <c r="A1017" t="s">
        <v>706</v>
      </c>
      <c r="B1017" s="6">
        <v>44287</v>
      </c>
      <c r="C1017" s="6">
        <v>44651</v>
      </c>
      <c r="D1017">
        <v>20210401</v>
      </c>
      <c r="E1017">
        <v>20220331</v>
      </c>
      <c r="F1017" t="s">
        <v>2818</v>
      </c>
      <c r="G1017" t="s">
        <v>2819</v>
      </c>
      <c r="H1017" t="s">
        <v>590</v>
      </c>
      <c r="I1017" t="s">
        <v>1462</v>
      </c>
      <c r="L1017">
        <v>4</v>
      </c>
      <c r="M1017">
        <v>35640</v>
      </c>
      <c r="N1017">
        <v>-4</v>
      </c>
      <c r="O1017">
        <v>-35640</v>
      </c>
      <c r="Z1017" s="3">
        <f t="shared" si="15"/>
        <v>8910</v>
      </c>
    </row>
    <row r="1018" spans="1:26" hidden="1">
      <c r="A1018" t="s">
        <v>706</v>
      </c>
      <c r="B1018" s="6">
        <v>44287</v>
      </c>
      <c r="C1018" s="6">
        <v>44651</v>
      </c>
      <c r="D1018">
        <v>20210401</v>
      </c>
      <c r="E1018">
        <v>20220331</v>
      </c>
      <c r="F1018" t="s">
        <v>2820</v>
      </c>
      <c r="G1018" t="s">
        <v>2821</v>
      </c>
      <c r="H1018" t="s">
        <v>590</v>
      </c>
      <c r="I1018" t="s">
        <v>1462</v>
      </c>
      <c r="L1018">
        <v>5</v>
      </c>
      <c r="M1018">
        <v>4250</v>
      </c>
      <c r="N1018">
        <v>-5</v>
      </c>
      <c r="O1018">
        <v>-4250</v>
      </c>
      <c r="Z1018" s="3">
        <f t="shared" si="15"/>
        <v>850</v>
      </c>
    </row>
    <row r="1019" spans="1:26" hidden="1">
      <c r="A1019" t="s">
        <v>706</v>
      </c>
      <c r="B1019" s="6">
        <v>44287</v>
      </c>
      <c r="C1019" s="6">
        <v>44651</v>
      </c>
      <c r="D1019">
        <v>20210401</v>
      </c>
      <c r="E1019">
        <v>20220331</v>
      </c>
      <c r="F1019" t="s">
        <v>2822</v>
      </c>
      <c r="G1019" t="s">
        <v>2823</v>
      </c>
      <c r="H1019" t="s">
        <v>590</v>
      </c>
      <c r="I1019" t="s">
        <v>1462</v>
      </c>
      <c r="L1019">
        <v>10</v>
      </c>
      <c r="M1019">
        <v>1600</v>
      </c>
      <c r="N1019">
        <v>-10</v>
      </c>
      <c r="O1019">
        <v>-1600</v>
      </c>
      <c r="Z1019" s="3">
        <f t="shared" si="15"/>
        <v>160</v>
      </c>
    </row>
    <row r="1020" spans="1:26" hidden="1">
      <c r="A1020" t="s">
        <v>706</v>
      </c>
      <c r="B1020" s="6">
        <v>44287</v>
      </c>
      <c r="C1020" s="6">
        <v>44651</v>
      </c>
      <c r="D1020">
        <v>20210401</v>
      </c>
      <c r="E1020">
        <v>20220331</v>
      </c>
      <c r="F1020" t="s">
        <v>2824</v>
      </c>
      <c r="G1020" t="s">
        <v>2825</v>
      </c>
      <c r="H1020" t="s">
        <v>590</v>
      </c>
      <c r="I1020" t="s">
        <v>1462</v>
      </c>
      <c r="L1020">
        <v>1</v>
      </c>
      <c r="M1020">
        <v>6278.4</v>
      </c>
      <c r="N1020">
        <v>-1</v>
      </c>
      <c r="O1020">
        <v>-6278.4</v>
      </c>
      <c r="Z1020" s="3">
        <f t="shared" si="15"/>
        <v>6278.4</v>
      </c>
    </row>
    <row r="1021" spans="1:26" hidden="1">
      <c r="A1021" t="s">
        <v>706</v>
      </c>
      <c r="B1021" s="6">
        <v>44287</v>
      </c>
      <c r="C1021" s="6">
        <v>44651</v>
      </c>
      <c r="D1021">
        <v>20210401</v>
      </c>
      <c r="E1021">
        <v>20220331</v>
      </c>
      <c r="F1021" t="s">
        <v>2826</v>
      </c>
      <c r="G1021" t="s">
        <v>2827</v>
      </c>
      <c r="H1021" t="s">
        <v>590</v>
      </c>
      <c r="I1021" t="s">
        <v>1462</v>
      </c>
      <c r="L1021">
        <v>1</v>
      </c>
      <c r="M1021">
        <v>18382</v>
      </c>
      <c r="N1021">
        <v>-1</v>
      </c>
      <c r="O1021">
        <v>-18382</v>
      </c>
      <c r="Z1021" s="3">
        <f t="shared" si="15"/>
        <v>18382</v>
      </c>
    </row>
    <row r="1022" spans="1:26" hidden="1">
      <c r="A1022" t="s">
        <v>706</v>
      </c>
      <c r="B1022" s="6">
        <v>44287</v>
      </c>
      <c r="C1022" s="6">
        <v>44651</v>
      </c>
      <c r="D1022">
        <v>20210401</v>
      </c>
      <c r="E1022">
        <v>20220331</v>
      </c>
      <c r="F1022" t="s">
        <v>2828</v>
      </c>
      <c r="G1022" t="s">
        <v>2829</v>
      </c>
      <c r="H1022" t="s">
        <v>590</v>
      </c>
      <c r="I1022" t="s">
        <v>1462</v>
      </c>
      <c r="L1022">
        <v>1</v>
      </c>
      <c r="M1022">
        <v>3425.5</v>
      </c>
      <c r="N1022">
        <v>-1</v>
      </c>
      <c r="O1022">
        <v>-3425.5</v>
      </c>
      <c r="Z1022" s="3">
        <f t="shared" si="15"/>
        <v>3425.5</v>
      </c>
    </row>
    <row r="1023" spans="1:26" hidden="1">
      <c r="A1023" t="s">
        <v>706</v>
      </c>
      <c r="B1023" s="6">
        <v>44287</v>
      </c>
      <c r="C1023" s="6">
        <v>44651</v>
      </c>
      <c r="D1023">
        <v>20210401</v>
      </c>
      <c r="E1023">
        <v>20220331</v>
      </c>
      <c r="F1023" t="s">
        <v>2830</v>
      </c>
      <c r="G1023" t="s">
        <v>2831</v>
      </c>
      <c r="H1023" t="s">
        <v>2073</v>
      </c>
      <c r="I1023" t="s">
        <v>1462</v>
      </c>
      <c r="L1023">
        <v>100</v>
      </c>
      <c r="M1023">
        <v>3500</v>
      </c>
      <c r="N1023">
        <v>-100</v>
      </c>
      <c r="O1023">
        <v>-3500</v>
      </c>
      <c r="Z1023" s="3">
        <f t="shared" si="15"/>
        <v>35</v>
      </c>
    </row>
    <row r="1024" spans="1:26" hidden="1">
      <c r="A1024" t="s">
        <v>706</v>
      </c>
      <c r="B1024" s="6">
        <v>44287</v>
      </c>
      <c r="C1024" s="6">
        <v>44651</v>
      </c>
      <c r="D1024">
        <v>20210401</v>
      </c>
      <c r="E1024">
        <v>20220331</v>
      </c>
      <c r="F1024" t="s">
        <v>2832</v>
      </c>
      <c r="G1024" t="s">
        <v>2833</v>
      </c>
      <c r="H1024" t="s">
        <v>2834</v>
      </c>
      <c r="I1024" t="s">
        <v>1462</v>
      </c>
      <c r="L1024">
        <v>100</v>
      </c>
      <c r="M1024">
        <v>10560</v>
      </c>
      <c r="N1024">
        <v>-100</v>
      </c>
      <c r="O1024">
        <v>-10560</v>
      </c>
      <c r="Z1024" s="3">
        <f t="shared" si="15"/>
        <v>105.6</v>
      </c>
    </row>
    <row r="1025" spans="1:26" hidden="1">
      <c r="A1025" t="s">
        <v>706</v>
      </c>
      <c r="B1025" s="6">
        <v>44287</v>
      </c>
      <c r="C1025" s="6">
        <v>44651</v>
      </c>
      <c r="D1025">
        <v>20210401</v>
      </c>
      <c r="E1025">
        <v>20220331</v>
      </c>
      <c r="F1025" t="s">
        <v>2835</v>
      </c>
      <c r="G1025" t="s">
        <v>2836</v>
      </c>
      <c r="H1025" t="s">
        <v>2073</v>
      </c>
      <c r="I1025" t="s">
        <v>1462</v>
      </c>
      <c r="L1025">
        <v>500</v>
      </c>
      <c r="M1025">
        <v>63315.199999999997</v>
      </c>
      <c r="N1025">
        <v>-500</v>
      </c>
      <c r="O1025">
        <v>-63315.199999999997</v>
      </c>
      <c r="Z1025" s="3">
        <f t="shared" si="15"/>
        <v>126.63039999999999</v>
      </c>
    </row>
    <row r="1026" spans="1:26" hidden="1">
      <c r="A1026" t="s">
        <v>706</v>
      </c>
      <c r="B1026" s="6">
        <v>44287</v>
      </c>
      <c r="C1026" s="6">
        <v>44651</v>
      </c>
      <c r="D1026">
        <v>20210401</v>
      </c>
      <c r="E1026">
        <v>20220331</v>
      </c>
      <c r="F1026" t="s">
        <v>2837</v>
      </c>
      <c r="G1026" t="s">
        <v>2838</v>
      </c>
      <c r="H1026" t="s">
        <v>2834</v>
      </c>
      <c r="I1026" t="s">
        <v>1462</v>
      </c>
      <c r="K1026">
        <v>0.01</v>
      </c>
      <c r="N1026">
        <v>-50</v>
      </c>
      <c r="O1026">
        <v>-1375</v>
      </c>
      <c r="P1026">
        <v>50</v>
      </c>
      <c r="Q1026">
        <v>1375</v>
      </c>
      <c r="Y1026">
        <v>0.01</v>
      </c>
      <c r="Z1026" s="3" t="e">
        <f t="shared" si="15"/>
        <v>#DIV/0!</v>
      </c>
    </row>
    <row r="1027" spans="1:26" hidden="1">
      <c r="A1027" t="s">
        <v>706</v>
      </c>
      <c r="B1027" s="6">
        <v>44287</v>
      </c>
      <c r="C1027" s="6">
        <v>44651</v>
      </c>
      <c r="D1027">
        <v>20210401</v>
      </c>
      <c r="E1027">
        <v>20220331</v>
      </c>
      <c r="F1027" t="s">
        <v>2839</v>
      </c>
      <c r="G1027" t="s">
        <v>2840</v>
      </c>
      <c r="H1027" t="s">
        <v>2073</v>
      </c>
      <c r="I1027" t="s">
        <v>1462</v>
      </c>
      <c r="L1027">
        <v>100</v>
      </c>
      <c r="M1027">
        <v>2275</v>
      </c>
      <c r="N1027">
        <v>-100</v>
      </c>
      <c r="O1027">
        <v>-2275</v>
      </c>
      <c r="Z1027" s="3">
        <f t="shared" ref="Z1027:Z1090" si="16">IFERROR((O1027+Q1027)/(N1027+P1027),Y1027/X1027)</f>
        <v>22.75</v>
      </c>
    </row>
    <row r="1028" spans="1:26" hidden="1">
      <c r="A1028" t="s">
        <v>706</v>
      </c>
      <c r="B1028" s="6">
        <v>44287</v>
      </c>
      <c r="C1028" s="6">
        <v>44651</v>
      </c>
      <c r="D1028">
        <v>20210401</v>
      </c>
      <c r="E1028">
        <v>20220331</v>
      </c>
      <c r="F1028" t="s">
        <v>2841</v>
      </c>
      <c r="G1028" t="s">
        <v>2842</v>
      </c>
      <c r="H1028" t="s">
        <v>2073</v>
      </c>
      <c r="I1028" t="s">
        <v>1462</v>
      </c>
      <c r="L1028">
        <v>200</v>
      </c>
      <c r="M1028">
        <v>8533</v>
      </c>
      <c r="N1028">
        <v>-200</v>
      </c>
      <c r="O1028">
        <v>-8533</v>
      </c>
      <c r="Z1028" s="3">
        <f t="shared" si="16"/>
        <v>42.664999999999999</v>
      </c>
    </row>
    <row r="1029" spans="1:26" hidden="1">
      <c r="A1029" t="s">
        <v>706</v>
      </c>
      <c r="B1029" s="6">
        <v>44287</v>
      </c>
      <c r="C1029" s="6">
        <v>44651</v>
      </c>
      <c r="D1029">
        <v>20210401</v>
      </c>
      <c r="E1029">
        <v>20220331</v>
      </c>
      <c r="F1029" t="s">
        <v>2843</v>
      </c>
      <c r="G1029" t="s">
        <v>2844</v>
      </c>
      <c r="H1029" t="s">
        <v>2073</v>
      </c>
      <c r="I1029" t="s">
        <v>1462</v>
      </c>
      <c r="L1029">
        <v>17</v>
      </c>
      <c r="M1029">
        <v>750</v>
      </c>
      <c r="N1029">
        <v>-17</v>
      </c>
      <c r="O1029">
        <v>-750</v>
      </c>
      <c r="Z1029" s="3">
        <f t="shared" si="16"/>
        <v>44.117647058823529</v>
      </c>
    </row>
    <row r="1030" spans="1:26" hidden="1">
      <c r="A1030" t="s">
        <v>706</v>
      </c>
      <c r="B1030" s="6">
        <v>44287</v>
      </c>
      <c r="C1030" s="6">
        <v>44651</v>
      </c>
      <c r="D1030">
        <v>20210401</v>
      </c>
      <c r="E1030">
        <v>20220331</v>
      </c>
      <c r="F1030" t="s">
        <v>2845</v>
      </c>
      <c r="G1030" t="s">
        <v>2846</v>
      </c>
      <c r="H1030" t="s">
        <v>2073</v>
      </c>
      <c r="I1030" t="s">
        <v>1462</v>
      </c>
      <c r="L1030">
        <v>105</v>
      </c>
      <c r="M1030">
        <v>179733.75</v>
      </c>
      <c r="N1030">
        <v>-105</v>
      </c>
      <c r="O1030">
        <v>-179733.75</v>
      </c>
      <c r="Z1030" s="3">
        <f t="shared" si="16"/>
        <v>1711.75</v>
      </c>
    </row>
    <row r="1031" spans="1:26" hidden="1">
      <c r="A1031" t="s">
        <v>706</v>
      </c>
      <c r="B1031" s="6">
        <v>44287</v>
      </c>
      <c r="C1031" s="6">
        <v>44651</v>
      </c>
      <c r="D1031">
        <v>20210401</v>
      </c>
      <c r="E1031">
        <v>20220331</v>
      </c>
      <c r="F1031" t="s">
        <v>2847</v>
      </c>
      <c r="G1031" t="s">
        <v>2848</v>
      </c>
      <c r="H1031" t="s">
        <v>2834</v>
      </c>
      <c r="I1031" t="s">
        <v>1462</v>
      </c>
      <c r="L1031">
        <v>100</v>
      </c>
      <c r="M1031">
        <v>6272</v>
      </c>
      <c r="N1031">
        <v>-100</v>
      </c>
      <c r="O1031">
        <v>-6272</v>
      </c>
      <c r="Z1031" s="3">
        <f t="shared" si="16"/>
        <v>62.72</v>
      </c>
    </row>
    <row r="1032" spans="1:26" hidden="1">
      <c r="A1032" t="s">
        <v>706</v>
      </c>
      <c r="B1032" s="6">
        <v>44287</v>
      </c>
      <c r="C1032" s="6">
        <v>44651</v>
      </c>
      <c r="D1032">
        <v>20210401</v>
      </c>
      <c r="E1032">
        <v>20220331</v>
      </c>
      <c r="F1032" t="s">
        <v>2849</v>
      </c>
      <c r="G1032" t="s">
        <v>2850</v>
      </c>
      <c r="H1032" t="s">
        <v>1556</v>
      </c>
      <c r="I1032" t="s">
        <v>1462</v>
      </c>
      <c r="J1032">
        <v>12.848000000000001</v>
      </c>
      <c r="K1032">
        <v>35918.15</v>
      </c>
      <c r="L1032">
        <v>1.6679999999999999</v>
      </c>
      <c r="M1032">
        <v>4962.3</v>
      </c>
      <c r="N1032">
        <v>-1.6679999999999999</v>
      </c>
      <c r="O1032">
        <v>-4697.4799999999996</v>
      </c>
      <c r="X1032">
        <v>12.848000000000001</v>
      </c>
      <c r="Y1032">
        <v>36182.97</v>
      </c>
      <c r="Z1032" s="3">
        <f t="shared" si="16"/>
        <v>2816.2350119904077</v>
      </c>
    </row>
    <row r="1033" spans="1:26" hidden="1">
      <c r="A1033" t="s">
        <v>706</v>
      </c>
      <c r="B1033" s="6">
        <v>44287</v>
      </c>
      <c r="C1033" s="6">
        <v>44651</v>
      </c>
      <c r="D1033">
        <v>20210401</v>
      </c>
      <c r="E1033">
        <v>20220331</v>
      </c>
      <c r="F1033" t="s">
        <v>2851</v>
      </c>
      <c r="G1033" t="s">
        <v>2852</v>
      </c>
      <c r="H1033" t="s">
        <v>590</v>
      </c>
      <c r="I1033" t="s">
        <v>1462</v>
      </c>
      <c r="L1033">
        <v>20</v>
      </c>
      <c r="M1033">
        <v>800</v>
      </c>
      <c r="N1033">
        <v>-20</v>
      </c>
      <c r="O1033">
        <v>-800</v>
      </c>
      <c r="Z1033" s="3">
        <f t="shared" si="16"/>
        <v>40</v>
      </c>
    </row>
    <row r="1034" spans="1:26" hidden="1">
      <c r="A1034" t="s">
        <v>706</v>
      </c>
      <c r="B1034" s="6">
        <v>44287</v>
      </c>
      <c r="C1034" s="6">
        <v>44651</v>
      </c>
      <c r="D1034">
        <v>20210401</v>
      </c>
      <c r="E1034">
        <v>20220331</v>
      </c>
      <c r="F1034" t="s">
        <v>2853</v>
      </c>
      <c r="G1034" t="s">
        <v>2854</v>
      </c>
      <c r="H1034" t="s">
        <v>2073</v>
      </c>
      <c r="I1034" t="s">
        <v>1462</v>
      </c>
      <c r="L1034">
        <v>100</v>
      </c>
      <c r="M1034">
        <v>5400</v>
      </c>
      <c r="N1034">
        <v>-100</v>
      </c>
      <c r="O1034">
        <v>-5400</v>
      </c>
      <c r="Z1034" s="3">
        <f t="shared" si="16"/>
        <v>54</v>
      </c>
    </row>
    <row r="1035" spans="1:26" hidden="1">
      <c r="A1035" t="s">
        <v>706</v>
      </c>
      <c r="B1035" s="6">
        <v>44287</v>
      </c>
      <c r="C1035" s="6">
        <v>44651</v>
      </c>
      <c r="D1035">
        <v>20210401</v>
      </c>
      <c r="E1035">
        <v>20220331</v>
      </c>
      <c r="F1035" t="s">
        <v>2855</v>
      </c>
      <c r="G1035" t="s">
        <v>2856</v>
      </c>
      <c r="H1035" t="s">
        <v>2073</v>
      </c>
      <c r="I1035" t="s">
        <v>1462</v>
      </c>
      <c r="L1035">
        <v>150</v>
      </c>
      <c r="M1035">
        <v>13794</v>
      </c>
      <c r="N1035">
        <v>-150</v>
      </c>
      <c r="O1035">
        <v>-13794</v>
      </c>
      <c r="Z1035" s="3">
        <f t="shared" si="16"/>
        <v>91.96</v>
      </c>
    </row>
    <row r="1036" spans="1:26" hidden="1">
      <c r="A1036" t="s">
        <v>706</v>
      </c>
      <c r="B1036" s="6">
        <v>44287</v>
      </c>
      <c r="C1036" s="6">
        <v>44651</v>
      </c>
      <c r="D1036">
        <v>20210401</v>
      </c>
      <c r="E1036">
        <v>20220331</v>
      </c>
      <c r="F1036" t="s">
        <v>2857</v>
      </c>
      <c r="G1036" t="s">
        <v>2858</v>
      </c>
      <c r="H1036" t="s">
        <v>2073</v>
      </c>
      <c r="I1036" t="s">
        <v>1462</v>
      </c>
      <c r="L1036">
        <v>200</v>
      </c>
      <c r="M1036">
        <v>1991</v>
      </c>
      <c r="N1036">
        <v>-200</v>
      </c>
      <c r="O1036">
        <v>-1991</v>
      </c>
      <c r="Z1036" s="3">
        <f t="shared" si="16"/>
        <v>9.9550000000000001</v>
      </c>
    </row>
    <row r="1037" spans="1:26" hidden="1">
      <c r="A1037" t="s">
        <v>706</v>
      </c>
      <c r="B1037" s="6">
        <v>44287</v>
      </c>
      <c r="C1037" s="6">
        <v>44651</v>
      </c>
      <c r="D1037">
        <v>20210401</v>
      </c>
      <c r="E1037">
        <v>20220331</v>
      </c>
      <c r="F1037" t="s">
        <v>2859</v>
      </c>
      <c r="G1037" t="s">
        <v>2860</v>
      </c>
      <c r="H1037" t="s">
        <v>2834</v>
      </c>
      <c r="I1037" t="s">
        <v>1462</v>
      </c>
      <c r="L1037">
        <v>200</v>
      </c>
      <c r="M1037">
        <v>7980</v>
      </c>
      <c r="N1037">
        <v>-200</v>
      </c>
      <c r="O1037">
        <v>-7980</v>
      </c>
      <c r="Z1037" s="3">
        <f t="shared" si="16"/>
        <v>39.9</v>
      </c>
    </row>
    <row r="1038" spans="1:26" hidden="1">
      <c r="A1038" t="s">
        <v>706</v>
      </c>
      <c r="B1038" s="6">
        <v>44287</v>
      </c>
      <c r="C1038" s="6">
        <v>44651</v>
      </c>
      <c r="D1038">
        <v>20210401</v>
      </c>
      <c r="E1038">
        <v>20220331</v>
      </c>
      <c r="F1038" t="s">
        <v>2861</v>
      </c>
      <c r="G1038" t="s">
        <v>2862</v>
      </c>
      <c r="H1038" t="s">
        <v>2834</v>
      </c>
      <c r="I1038" t="s">
        <v>1462</v>
      </c>
      <c r="L1038">
        <v>180</v>
      </c>
      <c r="M1038">
        <v>1899.9</v>
      </c>
      <c r="N1038">
        <v>-180</v>
      </c>
      <c r="O1038">
        <v>-1899.9</v>
      </c>
      <c r="Z1038" s="3">
        <f t="shared" si="16"/>
        <v>10.555</v>
      </c>
    </row>
    <row r="1039" spans="1:26" hidden="1">
      <c r="A1039" t="s">
        <v>706</v>
      </c>
      <c r="B1039" s="6">
        <v>44287</v>
      </c>
      <c r="C1039" s="6">
        <v>44651</v>
      </c>
      <c r="D1039">
        <v>20210401</v>
      </c>
      <c r="E1039">
        <v>20220331</v>
      </c>
      <c r="F1039" t="s">
        <v>2863</v>
      </c>
      <c r="G1039" t="s">
        <v>2864</v>
      </c>
      <c r="H1039" t="s">
        <v>2073</v>
      </c>
      <c r="I1039" t="s">
        <v>1462</v>
      </c>
      <c r="L1039">
        <v>500</v>
      </c>
      <c r="M1039">
        <v>7160</v>
      </c>
      <c r="N1039">
        <v>-500</v>
      </c>
      <c r="O1039">
        <v>-7160</v>
      </c>
      <c r="Z1039" s="3">
        <f t="shared" si="16"/>
        <v>14.32</v>
      </c>
    </row>
    <row r="1040" spans="1:26" hidden="1">
      <c r="A1040" t="s">
        <v>706</v>
      </c>
      <c r="B1040" s="6">
        <v>44287</v>
      </c>
      <c r="C1040" s="6">
        <v>44651</v>
      </c>
      <c r="D1040">
        <v>20210401</v>
      </c>
      <c r="E1040">
        <v>20220331</v>
      </c>
      <c r="F1040" t="s">
        <v>2865</v>
      </c>
      <c r="G1040" t="s">
        <v>2866</v>
      </c>
      <c r="H1040" t="s">
        <v>2834</v>
      </c>
      <c r="I1040" t="s">
        <v>1462</v>
      </c>
      <c r="L1040">
        <v>415</v>
      </c>
      <c r="M1040">
        <v>37350</v>
      </c>
      <c r="N1040">
        <v>-415</v>
      </c>
      <c r="O1040">
        <v>-37350</v>
      </c>
      <c r="Z1040" s="3">
        <f t="shared" si="16"/>
        <v>90</v>
      </c>
    </row>
    <row r="1041" spans="1:26" hidden="1">
      <c r="A1041" t="s">
        <v>706</v>
      </c>
      <c r="B1041" s="6">
        <v>44287</v>
      </c>
      <c r="C1041" s="6">
        <v>44651</v>
      </c>
      <c r="D1041">
        <v>20210401</v>
      </c>
      <c r="E1041">
        <v>20220331</v>
      </c>
      <c r="F1041" t="s">
        <v>2867</v>
      </c>
      <c r="G1041" t="s">
        <v>2868</v>
      </c>
      <c r="H1041" t="s">
        <v>2073</v>
      </c>
      <c r="I1041" t="s">
        <v>1462</v>
      </c>
      <c r="L1041">
        <v>90</v>
      </c>
      <c r="M1041">
        <v>1867.5</v>
      </c>
      <c r="N1041">
        <v>-90</v>
      </c>
      <c r="O1041">
        <v>-1867.5</v>
      </c>
      <c r="Z1041" s="3">
        <f t="shared" si="16"/>
        <v>20.75</v>
      </c>
    </row>
    <row r="1042" spans="1:26" hidden="1">
      <c r="A1042" t="s">
        <v>706</v>
      </c>
      <c r="B1042" s="6">
        <v>44287</v>
      </c>
      <c r="C1042" s="6">
        <v>44651</v>
      </c>
      <c r="D1042">
        <v>20210401</v>
      </c>
      <c r="E1042">
        <v>20220331</v>
      </c>
      <c r="F1042" t="s">
        <v>2869</v>
      </c>
      <c r="G1042" t="s">
        <v>2870</v>
      </c>
      <c r="H1042" t="s">
        <v>590</v>
      </c>
      <c r="I1042" t="s">
        <v>805</v>
      </c>
      <c r="L1042">
        <v>4</v>
      </c>
      <c r="M1042">
        <v>3500</v>
      </c>
      <c r="N1042">
        <v>-4</v>
      </c>
      <c r="O1042">
        <v>-3500</v>
      </c>
      <c r="Z1042" s="3">
        <f t="shared" si="16"/>
        <v>875</v>
      </c>
    </row>
    <row r="1043" spans="1:26" hidden="1">
      <c r="A1043" t="s">
        <v>706</v>
      </c>
      <c r="B1043" s="6">
        <v>44287</v>
      </c>
      <c r="C1043" s="6">
        <v>44651</v>
      </c>
      <c r="D1043">
        <v>20210401</v>
      </c>
      <c r="E1043">
        <v>20220331</v>
      </c>
      <c r="F1043" t="s">
        <v>2871</v>
      </c>
      <c r="G1043" t="s">
        <v>2872</v>
      </c>
      <c r="H1043" t="s">
        <v>590</v>
      </c>
      <c r="I1043" t="s">
        <v>1462</v>
      </c>
      <c r="K1043">
        <v>0.01</v>
      </c>
      <c r="Y1043">
        <v>0.01</v>
      </c>
      <c r="Z1043" s="3" t="e">
        <f t="shared" si="16"/>
        <v>#DIV/0!</v>
      </c>
    </row>
    <row r="1044" spans="1:26" hidden="1">
      <c r="A1044" t="s">
        <v>706</v>
      </c>
      <c r="B1044" s="6">
        <v>44287</v>
      </c>
      <c r="C1044" s="6">
        <v>44651</v>
      </c>
      <c r="D1044">
        <v>20210401</v>
      </c>
      <c r="E1044">
        <v>20220331</v>
      </c>
      <c r="F1044" t="s">
        <v>2873</v>
      </c>
      <c r="G1044" t="s">
        <v>2874</v>
      </c>
      <c r="H1044" t="s">
        <v>590</v>
      </c>
      <c r="I1044" t="s">
        <v>1462</v>
      </c>
      <c r="J1044">
        <v>500</v>
      </c>
      <c r="K1044">
        <v>3657.5</v>
      </c>
      <c r="N1044">
        <v>-500</v>
      </c>
      <c r="O1044">
        <v>-3657.5</v>
      </c>
      <c r="Z1044" s="3">
        <f t="shared" si="16"/>
        <v>7.3150000000000004</v>
      </c>
    </row>
    <row r="1045" spans="1:26" hidden="1">
      <c r="A1045" t="s">
        <v>706</v>
      </c>
      <c r="B1045" s="6">
        <v>44287</v>
      </c>
      <c r="C1045" s="6">
        <v>44651</v>
      </c>
      <c r="D1045">
        <v>20210401</v>
      </c>
      <c r="E1045">
        <v>20220331</v>
      </c>
      <c r="F1045" t="s">
        <v>2875</v>
      </c>
      <c r="G1045" t="s">
        <v>2876</v>
      </c>
      <c r="H1045" t="s">
        <v>2073</v>
      </c>
      <c r="I1045" t="s">
        <v>805</v>
      </c>
      <c r="L1045">
        <v>2</v>
      </c>
      <c r="M1045">
        <v>12400</v>
      </c>
      <c r="N1045">
        <v>-2</v>
      </c>
      <c r="O1045">
        <v>-12400</v>
      </c>
      <c r="Z1045" s="3">
        <f t="shared" si="16"/>
        <v>6200</v>
      </c>
    </row>
    <row r="1046" spans="1:26" hidden="1">
      <c r="A1046" t="s">
        <v>706</v>
      </c>
      <c r="B1046" s="6">
        <v>44287</v>
      </c>
      <c r="C1046" s="6">
        <v>44651</v>
      </c>
      <c r="D1046">
        <v>20210401</v>
      </c>
      <c r="E1046">
        <v>20220331</v>
      </c>
      <c r="F1046" t="s">
        <v>2877</v>
      </c>
      <c r="G1046" t="s">
        <v>2878</v>
      </c>
      <c r="H1046" t="s">
        <v>590</v>
      </c>
      <c r="I1046" t="s">
        <v>1462</v>
      </c>
      <c r="L1046">
        <v>1</v>
      </c>
      <c r="M1046">
        <v>14112</v>
      </c>
      <c r="N1046">
        <v>-1</v>
      </c>
      <c r="O1046">
        <v>-14112</v>
      </c>
      <c r="Z1046" s="3">
        <f t="shared" si="16"/>
        <v>14112</v>
      </c>
    </row>
    <row r="1047" spans="1:26" hidden="1">
      <c r="A1047" t="s">
        <v>706</v>
      </c>
      <c r="B1047" s="6">
        <v>44287</v>
      </c>
      <c r="C1047" s="6">
        <v>44651</v>
      </c>
      <c r="D1047">
        <v>20210401</v>
      </c>
      <c r="E1047">
        <v>20220331</v>
      </c>
      <c r="F1047" t="s">
        <v>2879</v>
      </c>
      <c r="G1047" t="s">
        <v>2880</v>
      </c>
      <c r="H1047" t="s">
        <v>590</v>
      </c>
      <c r="I1047" t="s">
        <v>1462</v>
      </c>
      <c r="L1047">
        <v>20</v>
      </c>
      <c r="M1047">
        <v>7175</v>
      </c>
      <c r="N1047">
        <v>-20</v>
      </c>
      <c r="O1047">
        <v>-7175</v>
      </c>
      <c r="Z1047" s="3">
        <f t="shared" si="16"/>
        <v>358.75</v>
      </c>
    </row>
    <row r="1048" spans="1:26" hidden="1">
      <c r="A1048" t="s">
        <v>706</v>
      </c>
      <c r="B1048" s="6">
        <v>44287</v>
      </c>
      <c r="C1048" s="6">
        <v>44651</v>
      </c>
      <c r="D1048">
        <v>20210401</v>
      </c>
      <c r="E1048">
        <v>20220331</v>
      </c>
      <c r="F1048" t="s">
        <v>2881</v>
      </c>
      <c r="G1048" t="s">
        <v>2882</v>
      </c>
      <c r="H1048" t="s">
        <v>613</v>
      </c>
      <c r="I1048" t="s">
        <v>1462</v>
      </c>
      <c r="L1048">
        <v>122</v>
      </c>
      <c r="M1048">
        <v>11590</v>
      </c>
      <c r="N1048">
        <v>-122</v>
      </c>
      <c r="O1048">
        <v>-11590</v>
      </c>
      <c r="Z1048" s="3">
        <f t="shared" si="16"/>
        <v>95</v>
      </c>
    </row>
    <row r="1049" spans="1:26" hidden="1">
      <c r="A1049" t="s">
        <v>706</v>
      </c>
      <c r="B1049" s="6">
        <v>44287</v>
      </c>
      <c r="C1049" s="6">
        <v>44651</v>
      </c>
      <c r="D1049">
        <v>20210401</v>
      </c>
      <c r="E1049">
        <v>20220331</v>
      </c>
      <c r="F1049" t="s">
        <v>2883</v>
      </c>
      <c r="G1049" t="s">
        <v>2884</v>
      </c>
      <c r="H1049" t="s">
        <v>613</v>
      </c>
      <c r="I1049" t="s">
        <v>1462</v>
      </c>
      <c r="L1049">
        <v>123</v>
      </c>
      <c r="M1049">
        <v>10770</v>
      </c>
      <c r="N1049">
        <v>-123</v>
      </c>
      <c r="O1049">
        <v>-10770</v>
      </c>
      <c r="Z1049" s="3">
        <f t="shared" si="16"/>
        <v>87.560975609756099</v>
      </c>
    </row>
    <row r="1050" spans="1:26" hidden="1">
      <c r="A1050" t="s">
        <v>706</v>
      </c>
      <c r="B1050" s="6">
        <v>44287</v>
      </c>
      <c r="C1050" s="6">
        <v>44651</v>
      </c>
      <c r="D1050">
        <v>20210401</v>
      </c>
      <c r="E1050">
        <v>20220331</v>
      </c>
      <c r="F1050" t="s">
        <v>2885</v>
      </c>
      <c r="G1050" t="s">
        <v>2886</v>
      </c>
      <c r="H1050" t="s">
        <v>2073</v>
      </c>
      <c r="I1050" t="s">
        <v>1462</v>
      </c>
      <c r="L1050">
        <v>100</v>
      </c>
      <c r="M1050">
        <v>10000</v>
      </c>
      <c r="N1050">
        <v>-100</v>
      </c>
      <c r="O1050">
        <v>-10000</v>
      </c>
      <c r="Z1050" s="3">
        <f t="shared" si="16"/>
        <v>100</v>
      </c>
    </row>
    <row r="1051" spans="1:26" hidden="1">
      <c r="A1051" t="s">
        <v>706</v>
      </c>
      <c r="B1051" s="6">
        <v>44287</v>
      </c>
      <c r="C1051" s="6">
        <v>44651</v>
      </c>
      <c r="D1051">
        <v>20210401</v>
      </c>
      <c r="E1051">
        <v>20220331</v>
      </c>
      <c r="F1051" t="s">
        <v>2887</v>
      </c>
      <c r="G1051" t="s">
        <v>2888</v>
      </c>
      <c r="H1051" t="s">
        <v>2073</v>
      </c>
      <c r="I1051" t="s">
        <v>1462</v>
      </c>
      <c r="N1051">
        <v>-40</v>
      </c>
      <c r="O1051">
        <v>-4897.2</v>
      </c>
      <c r="P1051">
        <v>40</v>
      </c>
      <c r="Q1051">
        <v>4897.2</v>
      </c>
      <c r="Z1051" s="3" t="e">
        <f t="shared" si="16"/>
        <v>#DIV/0!</v>
      </c>
    </row>
    <row r="1052" spans="1:26" hidden="1">
      <c r="A1052" t="s">
        <v>706</v>
      </c>
      <c r="B1052" s="6">
        <v>44287</v>
      </c>
      <c r="C1052" s="6">
        <v>44651</v>
      </c>
      <c r="D1052">
        <v>20210401</v>
      </c>
      <c r="E1052">
        <v>20220331</v>
      </c>
      <c r="F1052" t="s">
        <v>2889</v>
      </c>
      <c r="G1052" t="s">
        <v>2890</v>
      </c>
      <c r="H1052" t="s">
        <v>2073</v>
      </c>
      <c r="I1052" t="s">
        <v>1462</v>
      </c>
      <c r="L1052">
        <v>200</v>
      </c>
      <c r="M1052">
        <v>10272</v>
      </c>
      <c r="N1052">
        <v>-200</v>
      </c>
      <c r="O1052">
        <v>-10272</v>
      </c>
      <c r="Z1052" s="3">
        <f t="shared" si="16"/>
        <v>51.36</v>
      </c>
    </row>
    <row r="1053" spans="1:26" hidden="1">
      <c r="A1053" t="s">
        <v>706</v>
      </c>
      <c r="B1053" s="6">
        <v>44287</v>
      </c>
      <c r="C1053" s="6">
        <v>44651</v>
      </c>
      <c r="D1053">
        <v>20210401</v>
      </c>
      <c r="E1053">
        <v>20220331</v>
      </c>
      <c r="F1053" t="s">
        <v>2891</v>
      </c>
      <c r="G1053" t="s">
        <v>2892</v>
      </c>
      <c r="H1053" t="s">
        <v>1173</v>
      </c>
      <c r="I1053" t="s">
        <v>1462</v>
      </c>
      <c r="L1053">
        <v>40</v>
      </c>
      <c r="M1053">
        <v>2160</v>
      </c>
      <c r="N1053">
        <v>-46</v>
      </c>
      <c r="O1053">
        <v>-2490</v>
      </c>
      <c r="P1053">
        <v>6</v>
      </c>
      <c r="Q1053">
        <v>330</v>
      </c>
      <c r="Z1053" s="3">
        <f t="shared" si="16"/>
        <v>54</v>
      </c>
    </row>
    <row r="1054" spans="1:26" hidden="1">
      <c r="A1054" t="s">
        <v>706</v>
      </c>
      <c r="B1054" s="6">
        <v>44287</v>
      </c>
      <c r="C1054" s="6">
        <v>44651</v>
      </c>
      <c r="D1054">
        <v>20210401</v>
      </c>
      <c r="E1054">
        <v>20220331</v>
      </c>
      <c r="F1054" t="s">
        <v>2893</v>
      </c>
      <c r="G1054" t="s">
        <v>2894</v>
      </c>
      <c r="H1054" t="s">
        <v>590</v>
      </c>
      <c r="I1054" t="s">
        <v>1462</v>
      </c>
      <c r="L1054">
        <v>33</v>
      </c>
      <c r="M1054">
        <v>2145</v>
      </c>
      <c r="N1054">
        <v>-35</v>
      </c>
      <c r="O1054">
        <v>-2275</v>
      </c>
      <c r="P1054">
        <v>2</v>
      </c>
      <c r="Q1054">
        <v>130</v>
      </c>
      <c r="Z1054" s="3">
        <f t="shared" si="16"/>
        <v>65</v>
      </c>
    </row>
    <row r="1055" spans="1:26" hidden="1">
      <c r="A1055" t="s">
        <v>706</v>
      </c>
      <c r="B1055" s="6">
        <v>44287</v>
      </c>
      <c r="C1055" s="6">
        <v>44651</v>
      </c>
      <c r="D1055">
        <v>20210401</v>
      </c>
      <c r="E1055">
        <v>20220331</v>
      </c>
      <c r="F1055" t="s">
        <v>2895</v>
      </c>
      <c r="G1055" t="s">
        <v>2896</v>
      </c>
      <c r="H1055" t="s">
        <v>590</v>
      </c>
      <c r="I1055" t="s">
        <v>1462</v>
      </c>
      <c r="L1055">
        <v>200</v>
      </c>
      <c r="M1055">
        <v>1450</v>
      </c>
      <c r="N1055">
        <v>-200</v>
      </c>
      <c r="O1055">
        <v>-1450</v>
      </c>
      <c r="Z1055" s="3">
        <f t="shared" si="16"/>
        <v>7.25</v>
      </c>
    </row>
    <row r="1056" spans="1:26" hidden="1">
      <c r="A1056" t="s">
        <v>706</v>
      </c>
      <c r="B1056" s="6">
        <v>44287</v>
      </c>
      <c r="C1056" s="6">
        <v>44651</v>
      </c>
      <c r="D1056">
        <v>20210401</v>
      </c>
      <c r="E1056">
        <v>20220331</v>
      </c>
      <c r="F1056" t="s">
        <v>2897</v>
      </c>
      <c r="G1056" t="s">
        <v>2898</v>
      </c>
      <c r="H1056" t="s">
        <v>590</v>
      </c>
      <c r="I1056" t="s">
        <v>1462</v>
      </c>
      <c r="L1056">
        <v>200</v>
      </c>
      <c r="M1056">
        <v>1000</v>
      </c>
      <c r="N1056">
        <v>-200</v>
      </c>
      <c r="O1056">
        <v>-1000</v>
      </c>
      <c r="Z1056" s="3">
        <f t="shared" si="16"/>
        <v>5</v>
      </c>
    </row>
    <row r="1057" spans="1:26" hidden="1">
      <c r="A1057" t="s">
        <v>706</v>
      </c>
      <c r="B1057" s="6">
        <v>44287</v>
      </c>
      <c r="C1057" s="6">
        <v>44651</v>
      </c>
      <c r="D1057">
        <v>20210401</v>
      </c>
      <c r="E1057">
        <v>20220331</v>
      </c>
      <c r="F1057" t="s">
        <v>2899</v>
      </c>
      <c r="G1057" t="s">
        <v>2900</v>
      </c>
      <c r="H1057" t="s">
        <v>590</v>
      </c>
      <c r="I1057" t="s">
        <v>1462</v>
      </c>
      <c r="L1057">
        <v>25</v>
      </c>
      <c r="M1057">
        <v>431.25</v>
      </c>
      <c r="N1057">
        <v>-25</v>
      </c>
      <c r="O1057">
        <v>-431.25</v>
      </c>
      <c r="Z1057" s="3">
        <f t="shared" si="16"/>
        <v>17.25</v>
      </c>
    </row>
    <row r="1058" spans="1:26" hidden="1">
      <c r="A1058" t="s">
        <v>706</v>
      </c>
      <c r="B1058" s="6">
        <v>44287</v>
      </c>
      <c r="C1058" s="6">
        <v>44651</v>
      </c>
      <c r="D1058">
        <v>20210401</v>
      </c>
      <c r="E1058">
        <v>20220331</v>
      </c>
      <c r="F1058" t="s">
        <v>2901</v>
      </c>
      <c r="G1058" t="s">
        <v>2902</v>
      </c>
      <c r="H1058" t="s">
        <v>590</v>
      </c>
      <c r="I1058" t="s">
        <v>1462</v>
      </c>
      <c r="L1058">
        <v>20</v>
      </c>
      <c r="M1058">
        <v>200</v>
      </c>
      <c r="N1058">
        <v>-20</v>
      </c>
      <c r="O1058">
        <v>-200</v>
      </c>
      <c r="Z1058" s="3">
        <f t="shared" si="16"/>
        <v>10</v>
      </c>
    </row>
    <row r="1059" spans="1:26" hidden="1">
      <c r="A1059" t="s">
        <v>706</v>
      </c>
      <c r="B1059" s="6">
        <v>44287</v>
      </c>
      <c r="C1059" s="6">
        <v>44651</v>
      </c>
      <c r="D1059">
        <v>20210401</v>
      </c>
      <c r="E1059">
        <v>20220331</v>
      </c>
      <c r="F1059" t="s">
        <v>2903</v>
      </c>
      <c r="G1059" t="s">
        <v>2904</v>
      </c>
      <c r="H1059" t="s">
        <v>590</v>
      </c>
      <c r="I1059" t="s">
        <v>1462</v>
      </c>
      <c r="L1059">
        <v>10</v>
      </c>
      <c r="M1059">
        <v>100</v>
      </c>
      <c r="N1059">
        <v>-10</v>
      </c>
      <c r="O1059">
        <v>-100</v>
      </c>
      <c r="Z1059" s="3">
        <f t="shared" si="16"/>
        <v>10</v>
      </c>
    </row>
    <row r="1060" spans="1:26" hidden="1">
      <c r="A1060" t="s">
        <v>706</v>
      </c>
      <c r="B1060" s="6">
        <v>44287</v>
      </c>
      <c r="C1060" s="6">
        <v>44651</v>
      </c>
      <c r="D1060">
        <v>20210401</v>
      </c>
      <c r="E1060">
        <v>20220331</v>
      </c>
      <c r="F1060" t="s">
        <v>2905</v>
      </c>
      <c r="G1060" t="s">
        <v>2906</v>
      </c>
      <c r="H1060" t="s">
        <v>590</v>
      </c>
      <c r="I1060" t="s">
        <v>1462</v>
      </c>
      <c r="L1060">
        <v>10</v>
      </c>
      <c r="M1060">
        <v>100</v>
      </c>
      <c r="N1060">
        <v>-10</v>
      </c>
      <c r="O1060">
        <v>-100</v>
      </c>
      <c r="Z1060" s="3">
        <f t="shared" si="16"/>
        <v>10</v>
      </c>
    </row>
    <row r="1061" spans="1:26" hidden="1">
      <c r="A1061" t="s">
        <v>706</v>
      </c>
      <c r="B1061" s="6">
        <v>44287</v>
      </c>
      <c r="C1061" s="6">
        <v>44651</v>
      </c>
      <c r="D1061">
        <v>20210401</v>
      </c>
      <c r="E1061">
        <v>20220331</v>
      </c>
      <c r="F1061" t="s">
        <v>2907</v>
      </c>
      <c r="G1061" t="s">
        <v>2908</v>
      </c>
      <c r="H1061" t="s">
        <v>590</v>
      </c>
      <c r="I1061" t="s">
        <v>1462</v>
      </c>
      <c r="L1061">
        <v>25</v>
      </c>
      <c r="M1061">
        <v>5557.5</v>
      </c>
      <c r="N1061">
        <v>-25</v>
      </c>
      <c r="O1061">
        <v>-5557.5</v>
      </c>
      <c r="Z1061" s="3">
        <f t="shared" si="16"/>
        <v>222.3</v>
      </c>
    </row>
    <row r="1062" spans="1:26" hidden="1">
      <c r="A1062" t="s">
        <v>706</v>
      </c>
      <c r="B1062" s="6">
        <v>44287</v>
      </c>
      <c r="C1062" s="6">
        <v>44651</v>
      </c>
      <c r="D1062">
        <v>20210401</v>
      </c>
      <c r="E1062">
        <v>20220331</v>
      </c>
      <c r="F1062" t="s">
        <v>2909</v>
      </c>
      <c r="G1062" t="s">
        <v>2910</v>
      </c>
      <c r="H1062" t="s">
        <v>590</v>
      </c>
      <c r="I1062" t="s">
        <v>1462</v>
      </c>
      <c r="L1062">
        <v>21</v>
      </c>
      <c r="M1062">
        <v>8872.5</v>
      </c>
      <c r="N1062">
        <v>-21</v>
      </c>
      <c r="O1062">
        <v>-8872.5</v>
      </c>
      <c r="Z1062" s="3">
        <f t="shared" si="16"/>
        <v>422.5</v>
      </c>
    </row>
    <row r="1063" spans="1:26" hidden="1">
      <c r="A1063" t="s">
        <v>706</v>
      </c>
      <c r="B1063" s="6">
        <v>44287</v>
      </c>
      <c r="C1063" s="6">
        <v>44651</v>
      </c>
      <c r="D1063">
        <v>20210401</v>
      </c>
      <c r="E1063">
        <v>20220331</v>
      </c>
      <c r="F1063" t="s">
        <v>2911</v>
      </c>
      <c r="G1063" t="s">
        <v>2912</v>
      </c>
      <c r="H1063" t="s">
        <v>590</v>
      </c>
      <c r="I1063" t="s">
        <v>1462</v>
      </c>
      <c r="L1063">
        <v>5</v>
      </c>
      <c r="M1063">
        <v>2500</v>
      </c>
      <c r="N1063">
        <v>-5</v>
      </c>
      <c r="O1063">
        <v>-2500</v>
      </c>
      <c r="Z1063" s="3">
        <f t="shared" si="16"/>
        <v>500</v>
      </c>
    </row>
    <row r="1064" spans="1:26" hidden="1">
      <c r="A1064" t="s">
        <v>706</v>
      </c>
      <c r="B1064" s="6">
        <v>44287</v>
      </c>
      <c r="C1064" s="6">
        <v>44651</v>
      </c>
      <c r="D1064">
        <v>20210401</v>
      </c>
      <c r="E1064">
        <v>20220331</v>
      </c>
      <c r="F1064" t="s">
        <v>2913</v>
      </c>
      <c r="G1064" t="s">
        <v>2914</v>
      </c>
      <c r="H1064" t="s">
        <v>590</v>
      </c>
      <c r="I1064" t="s">
        <v>1462</v>
      </c>
      <c r="L1064">
        <v>10</v>
      </c>
      <c r="M1064">
        <v>850</v>
      </c>
      <c r="N1064">
        <v>-10</v>
      </c>
      <c r="O1064">
        <v>-850</v>
      </c>
      <c r="Z1064" s="3">
        <f t="shared" si="16"/>
        <v>85</v>
      </c>
    </row>
    <row r="1065" spans="1:26" hidden="1">
      <c r="A1065" t="s">
        <v>706</v>
      </c>
      <c r="B1065" s="6">
        <v>44287</v>
      </c>
      <c r="C1065" s="6">
        <v>44651</v>
      </c>
      <c r="D1065">
        <v>20210401</v>
      </c>
      <c r="E1065">
        <v>20220331</v>
      </c>
      <c r="F1065" t="s">
        <v>2915</v>
      </c>
      <c r="G1065" t="s">
        <v>2916</v>
      </c>
      <c r="H1065" t="s">
        <v>590</v>
      </c>
      <c r="I1065" t="s">
        <v>1462</v>
      </c>
      <c r="L1065">
        <v>200</v>
      </c>
      <c r="M1065">
        <v>780</v>
      </c>
      <c r="N1065">
        <v>-200</v>
      </c>
      <c r="O1065">
        <v>-780</v>
      </c>
      <c r="Z1065" s="3">
        <f t="shared" si="16"/>
        <v>3.9</v>
      </c>
    </row>
    <row r="1066" spans="1:26" hidden="1">
      <c r="A1066" t="s">
        <v>706</v>
      </c>
      <c r="B1066" s="6">
        <v>44287</v>
      </c>
      <c r="C1066" s="6">
        <v>44651</v>
      </c>
      <c r="D1066">
        <v>20210401</v>
      </c>
      <c r="E1066">
        <v>20220331</v>
      </c>
      <c r="F1066" t="s">
        <v>2917</v>
      </c>
      <c r="G1066" t="s">
        <v>2918</v>
      </c>
      <c r="H1066" t="s">
        <v>2073</v>
      </c>
      <c r="I1066" t="s">
        <v>1462</v>
      </c>
      <c r="L1066">
        <v>110</v>
      </c>
      <c r="M1066">
        <v>1090</v>
      </c>
      <c r="N1066">
        <v>-110</v>
      </c>
      <c r="O1066">
        <v>-1090.01</v>
      </c>
      <c r="Y1066">
        <v>-0.01</v>
      </c>
      <c r="Z1066" s="3">
        <f t="shared" si="16"/>
        <v>9.9091818181818176</v>
      </c>
    </row>
    <row r="1067" spans="1:26" hidden="1">
      <c r="A1067" t="s">
        <v>706</v>
      </c>
      <c r="B1067" s="6">
        <v>44287</v>
      </c>
      <c r="C1067" s="6">
        <v>44651</v>
      </c>
      <c r="D1067">
        <v>20210401</v>
      </c>
      <c r="E1067">
        <v>20220331</v>
      </c>
      <c r="F1067" t="s">
        <v>2919</v>
      </c>
      <c r="G1067" t="s">
        <v>2920</v>
      </c>
      <c r="H1067" t="s">
        <v>590</v>
      </c>
      <c r="I1067" t="s">
        <v>1462</v>
      </c>
      <c r="L1067">
        <v>800</v>
      </c>
      <c r="M1067">
        <v>1260</v>
      </c>
      <c r="N1067">
        <v>-800</v>
      </c>
      <c r="O1067">
        <v>-1260</v>
      </c>
      <c r="Z1067" s="3">
        <f t="shared" si="16"/>
        <v>1.575</v>
      </c>
    </row>
    <row r="1068" spans="1:26" hidden="1">
      <c r="A1068" t="s">
        <v>706</v>
      </c>
      <c r="B1068" s="6">
        <v>44287</v>
      </c>
      <c r="C1068" s="6">
        <v>44651</v>
      </c>
      <c r="D1068">
        <v>20210401</v>
      </c>
      <c r="E1068">
        <v>20220331</v>
      </c>
      <c r="F1068" t="s">
        <v>2921</v>
      </c>
      <c r="G1068" t="s">
        <v>2922</v>
      </c>
      <c r="H1068" t="s">
        <v>590</v>
      </c>
      <c r="I1068" t="s">
        <v>1462</v>
      </c>
      <c r="L1068">
        <v>1200</v>
      </c>
      <c r="M1068">
        <v>1800</v>
      </c>
      <c r="N1068">
        <v>-1200</v>
      </c>
      <c r="O1068">
        <v>-1800</v>
      </c>
      <c r="Z1068" s="3">
        <f t="shared" si="16"/>
        <v>1.5</v>
      </c>
    </row>
    <row r="1069" spans="1:26" hidden="1">
      <c r="A1069" t="s">
        <v>706</v>
      </c>
      <c r="B1069" s="6">
        <v>44287</v>
      </c>
      <c r="C1069" s="6">
        <v>44651</v>
      </c>
      <c r="D1069">
        <v>20210401</v>
      </c>
      <c r="E1069">
        <v>20220331</v>
      </c>
      <c r="F1069" t="s">
        <v>2923</v>
      </c>
      <c r="G1069" t="s">
        <v>2916</v>
      </c>
      <c r="H1069" t="s">
        <v>590</v>
      </c>
      <c r="I1069" t="s">
        <v>1462</v>
      </c>
      <c r="L1069">
        <v>400</v>
      </c>
      <c r="M1069">
        <v>2420</v>
      </c>
      <c r="N1069">
        <v>-400</v>
      </c>
      <c r="O1069">
        <v>-2420</v>
      </c>
      <c r="Z1069" s="3">
        <f t="shared" si="16"/>
        <v>6.05</v>
      </c>
    </row>
    <row r="1070" spans="1:26" hidden="1">
      <c r="A1070" t="s">
        <v>706</v>
      </c>
      <c r="B1070" s="6">
        <v>44287</v>
      </c>
      <c r="C1070" s="6">
        <v>44651</v>
      </c>
      <c r="D1070">
        <v>20210401</v>
      </c>
      <c r="E1070">
        <v>20220331</v>
      </c>
      <c r="F1070" t="s">
        <v>2924</v>
      </c>
      <c r="G1070" t="s">
        <v>2925</v>
      </c>
      <c r="H1070" t="s">
        <v>590</v>
      </c>
      <c r="I1070" t="s">
        <v>1462</v>
      </c>
      <c r="L1070">
        <v>31</v>
      </c>
      <c r="M1070">
        <v>1178.03</v>
      </c>
      <c r="N1070">
        <v>-31</v>
      </c>
      <c r="O1070">
        <v>-1178.07</v>
      </c>
      <c r="Y1070">
        <v>-0.04</v>
      </c>
      <c r="Z1070" s="3">
        <f t="shared" si="16"/>
        <v>38.002258064516127</v>
      </c>
    </row>
    <row r="1071" spans="1:26" hidden="1">
      <c r="A1071" t="s">
        <v>706</v>
      </c>
      <c r="B1071" s="6">
        <v>44287</v>
      </c>
      <c r="C1071" s="6">
        <v>44651</v>
      </c>
      <c r="D1071">
        <v>20210401</v>
      </c>
      <c r="E1071">
        <v>20220331</v>
      </c>
      <c r="F1071" t="s">
        <v>2926</v>
      </c>
      <c r="G1071" t="s">
        <v>2927</v>
      </c>
      <c r="H1071" t="s">
        <v>590</v>
      </c>
      <c r="I1071" t="s">
        <v>1462</v>
      </c>
      <c r="L1071">
        <v>200</v>
      </c>
      <c r="M1071">
        <v>1086</v>
      </c>
      <c r="N1071">
        <v>-200</v>
      </c>
      <c r="O1071">
        <v>-1086</v>
      </c>
      <c r="Z1071" s="3">
        <f t="shared" si="16"/>
        <v>5.43</v>
      </c>
    </row>
    <row r="1072" spans="1:26" hidden="1">
      <c r="A1072" t="s">
        <v>706</v>
      </c>
      <c r="B1072" s="6">
        <v>44287</v>
      </c>
      <c r="C1072" s="6">
        <v>44651</v>
      </c>
      <c r="D1072">
        <v>20210401</v>
      </c>
      <c r="E1072">
        <v>20220331</v>
      </c>
      <c r="F1072" t="s">
        <v>2928</v>
      </c>
      <c r="G1072" t="s">
        <v>2929</v>
      </c>
      <c r="H1072" t="s">
        <v>590</v>
      </c>
      <c r="I1072" t="s">
        <v>1462</v>
      </c>
      <c r="L1072">
        <v>6</v>
      </c>
      <c r="M1072">
        <v>3900</v>
      </c>
      <c r="N1072">
        <v>-6</v>
      </c>
      <c r="O1072">
        <v>-3900</v>
      </c>
      <c r="Z1072" s="3">
        <f t="shared" si="16"/>
        <v>650</v>
      </c>
    </row>
    <row r="1073" spans="1:26" hidden="1">
      <c r="A1073" t="s">
        <v>706</v>
      </c>
      <c r="B1073" s="6">
        <v>44287</v>
      </c>
      <c r="C1073" s="6">
        <v>44651</v>
      </c>
      <c r="D1073">
        <v>20210401</v>
      </c>
      <c r="E1073">
        <v>20220331</v>
      </c>
      <c r="F1073" t="s">
        <v>2930</v>
      </c>
      <c r="G1073" t="s">
        <v>2931</v>
      </c>
      <c r="H1073" t="s">
        <v>590</v>
      </c>
      <c r="I1073" t="s">
        <v>1462</v>
      </c>
      <c r="L1073">
        <v>15</v>
      </c>
      <c r="M1073">
        <v>16200</v>
      </c>
      <c r="N1073">
        <v>-15</v>
      </c>
      <c r="O1073">
        <v>-16200</v>
      </c>
      <c r="Z1073" s="3">
        <f t="shared" si="16"/>
        <v>1080</v>
      </c>
    </row>
    <row r="1074" spans="1:26" hidden="1">
      <c r="A1074" t="s">
        <v>706</v>
      </c>
      <c r="B1074" s="6">
        <v>44287</v>
      </c>
      <c r="C1074" s="6">
        <v>44651</v>
      </c>
      <c r="D1074">
        <v>20210401</v>
      </c>
      <c r="E1074">
        <v>20220331</v>
      </c>
      <c r="F1074" t="s">
        <v>2932</v>
      </c>
      <c r="G1074" t="s">
        <v>2933</v>
      </c>
      <c r="H1074" t="s">
        <v>590</v>
      </c>
      <c r="I1074" t="s">
        <v>1462</v>
      </c>
      <c r="L1074">
        <v>25</v>
      </c>
      <c r="M1074">
        <v>2550</v>
      </c>
      <c r="N1074">
        <v>-25</v>
      </c>
      <c r="O1074">
        <v>-2550</v>
      </c>
      <c r="Z1074" s="3">
        <f t="shared" si="16"/>
        <v>102</v>
      </c>
    </row>
    <row r="1075" spans="1:26" hidden="1">
      <c r="A1075" t="s">
        <v>706</v>
      </c>
      <c r="B1075" s="6">
        <v>44287</v>
      </c>
      <c r="C1075" s="6">
        <v>44651</v>
      </c>
      <c r="D1075">
        <v>20210401</v>
      </c>
      <c r="E1075">
        <v>20220331</v>
      </c>
      <c r="F1075" t="s">
        <v>2934</v>
      </c>
      <c r="G1075" t="s">
        <v>2935</v>
      </c>
      <c r="H1075" t="s">
        <v>590</v>
      </c>
      <c r="I1075" t="s">
        <v>805</v>
      </c>
      <c r="L1075">
        <v>4</v>
      </c>
      <c r="M1075">
        <v>6300</v>
      </c>
      <c r="N1075">
        <v>-4</v>
      </c>
      <c r="O1075">
        <v>-6300</v>
      </c>
      <c r="Z1075" s="3">
        <f t="shared" si="16"/>
        <v>1575</v>
      </c>
    </row>
    <row r="1076" spans="1:26" hidden="1">
      <c r="A1076" t="s">
        <v>706</v>
      </c>
      <c r="B1076" s="6">
        <v>44287</v>
      </c>
      <c r="C1076" s="6">
        <v>44651</v>
      </c>
      <c r="D1076">
        <v>20210401</v>
      </c>
      <c r="E1076">
        <v>20220331</v>
      </c>
      <c r="F1076" t="s">
        <v>2936</v>
      </c>
      <c r="G1076" t="s">
        <v>2937</v>
      </c>
      <c r="H1076" t="s">
        <v>590</v>
      </c>
      <c r="I1076" t="s">
        <v>1462</v>
      </c>
      <c r="L1076">
        <v>25</v>
      </c>
      <c r="M1076">
        <v>575</v>
      </c>
      <c r="N1076">
        <v>-25</v>
      </c>
      <c r="O1076">
        <v>-575</v>
      </c>
      <c r="Z1076" s="3">
        <f t="shared" si="16"/>
        <v>23</v>
      </c>
    </row>
    <row r="1077" spans="1:26" hidden="1">
      <c r="A1077" t="s">
        <v>706</v>
      </c>
      <c r="B1077" s="6">
        <v>44287</v>
      </c>
      <c r="C1077" s="6">
        <v>44651</v>
      </c>
      <c r="D1077">
        <v>20210401</v>
      </c>
      <c r="E1077">
        <v>20220331</v>
      </c>
      <c r="F1077" t="s">
        <v>2938</v>
      </c>
      <c r="G1077" t="s">
        <v>2939</v>
      </c>
      <c r="H1077" t="s">
        <v>590</v>
      </c>
      <c r="I1077" t="s">
        <v>1462</v>
      </c>
      <c r="L1077">
        <v>10</v>
      </c>
      <c r="M1077">
        <v>2000</v>
      </c>
      <c r="N1077">
        <v>-10</v>
      </c>
      <c r="O1077">
        <v>-2000</v>
      </c>
      <c r="Z1077" s="3">
        <f t="shared" si="16"/>
        <v>200</v>
      </c>
    </row>
    <row r="1078" spans="1:26" hidden="1">
      <c r="A1078" t="s">
        <v>706</v>
      </c>
      <c r="B1078" s="6">
        <v>44287</v>
      </c>
      <c r="C1078" s="6">
        <v>44651</v>
      </c>
      <c r="D1078">
        <v>20210401</v>
      </c>
      <c r="E1078">
        <v>20220331</v>
      </c>
      <c r="F1078" t="s">
        <v>2940</v>
      </c>
      <c r="G1078" t="s">
        <v>2941</v>
      </c>
      <c r="H1078" t="s">
        <v>590</v>
      </c>
      <c r="I1078" t="s">
        <v>1462</v>
      </c>
      <c r="L1078">
        <v>5</v>
      </c>
      <c r="M1078">
        <v>7500</v>
      </c>
      <c r="N1078">
        <v>-5</v>
      </c>
      <c r="O1078">
        <v>-7500</v>
      </c>
      <c r="Z1078" s="3">
        <f t="shared" si="16"/>
        <v>1500</v>
      </c>
    </row>
    <row r="1079" spans="1:26" hidden="1">
      <c r="A1079" t="s">
        <v>706</v>
      </c>
      <c r="B1079" s="6">
        <v>44287</v>
      </c>
      <c r="C1079" s="6">
        <v>44651</v>
      </c>
      <c r="D1079">
        <v>20210401</v>
      </c>
      <c r="E1079">
        <v>20220331</v>
      </c>
      <c r="F1079" t="s">
        <v>2942</v>
      </c>
      <c r="G1079" t="s">
        <v>2943</v>
      </c>
      <c r="H1079" t="s">
        <v>590</v>
      </c>
      <c r="I1079" t="s">
        <v>1462</v>
      </c>
      <c r="L1079">
        <v>2</v>
      </c>
      <c r="M1079">
        <v>2170</v>
      </c>
      <c r="N1079">
        <v>-2</v>
      </c>
      <c r="O1079">
        <v>-2170</v>
      </c>
      <c r="Z1079" s="3">
        <f t="shared" si="16"/>
        <v>1085</v>
      </c>
    </row>
    <row r="1080" spans="1:26" hidden="1">
      <c r="A1080" t="s">
        <v>706</v>
      </c>
      <c r="B1080" s="6">
        <v>44287</v>
      </c>
      <c r="C1080" s="6">
        <v>44651</v>
      </c>
      <c r="D1080">
        <v>20210401</v>
      </c>
      <c r="E1080">
        <v>20220331</v>
      </c>
      <c r="F1080" t="s">
        <v>2944</v>
      </c>
      <c r="G1080" t="s">
        <v>2945</v>
      </c>
      <c r="H1080" t="s">
        <v>590</v>
      </c>
      <c r="I1080" t="s">
        <v>1462</v>
      </c>
      <c r="L1080">
        <v>105</v>
      </c>
      <c r="M1080">
        <v>805</v>
      </c>
      <c r="N1080">
        <v>-105</v>
      </c>
      <c r="O1080">
        <v>-805</v>
      </c>
      <c r="Z1080" s="3">
        <f t="shared" si="16"/>
        <v>7.666666666666667</v>
      </c>
    </row>
    <row r="1081" spans="1:26" hidden="1">
      <c r="A1081" t="s">
        <v>706</v>
      </c>
      <c r="B1081" s="6">
        <v>44287</v>
      </c>
      <c r="C1081" s="6">
        <v>44651</v>
      </c>
      <c r="D1081">
        <v>20210401</v>
      </c>
      <c r="E1081">
        <v>20220331</v>
      </c>
      <c r="F1081" t="s">
        <v>2946</v>
      </c>
      <c r="G1081" t="s">
        <v>2947</v>
      </c>
      <c r="H1081" t="s">
        <v>590</v>
      </c>
      <c r="I1081" t="s">
        <v>1462</v>
      </c>
      <c r="L1081">
        <v>60</v>
      </c>
      <c r="M1081">
        <v>630</v>
      </c>
      <c r="N1081">
        <v>-60</v>
      </c>
      <c r="O1081">
        <v>-630</v>
      </c>
      <c r="Z1081" s="3">
        <f t="shared" si="16"/>
        <v>10.5</v>
      </c>
    </row>
    <row r="1082" spans="1:26" hidden="1">
      <c r="A1082" t="s">
        <v>706</v>
      </c>
      <c r="B1082" s="6">
        <v>44287</v>
      </c>
      <c r="C1082" s="6">
        <v>44651</v>
      </c>
      <c r="D1082">
        <v>20210401</v>
      </c>
      <c r="E1082">
        <v>20220331</v>
      </c>
      <c r="F1082" t="s">
        <v>2948</v>
      </c>
      <c r="G1082" t="s">
        <v>2949</v>
      </c>
      <c r="H1082" t="s">
        <v>590</v>
      </c>
      <c r="I1082" t="s">
        <v>1462</v>
      </c>
      <c r="L1082">
        <v>45</v>
      </c>
      <c r="M1082">
        <v>525</v>
      </c>
      <c r="N1082">
        <v>-45</v>
      </c>
      <c r="O1082">
        <v>-525</v>
      </c>
      <c r="Z1082" s="3">
        <f t="shared" si="16"/>
        <v>11.666666666666666</v>
      </c>
    </row>
    <row r="1083" spans="1:26" hidden="1">
      <c r="A1083" t="s">
        <v>706</v>
      </c>
      <c r="B1083" s="6">
        <v>44287</v>
      </c>
      <c r="C1083" s="6">
        <v>44651</v>
      </c>
      <c r="D1083">
        <v>20210401</v>
      </c>
      <c r="E1083">
        <v>20220331</v>
      </c>
      <c r="F1083" t="s">
        <v>2950</v>
      </c>
      <c r="G1083" t="s">
        <v>2951</v>
      </c>
      <c r="H1083" t="s">
        <v>590</v>
      </c>
      <c r="I1083" t="s">
        <v>1462</v>
      </c>
      <c r="L1083">
        <v>2</v>
      </c>
      <c r="M1083">
        <v>4175</v>
      </c>
      <c r="N1083">
        <v>-2</v>
      </c>
      <c r="O1083">
        <v>-4175</v>
      </c>
      <c r="Z1083" s="3">
        <f t="shared" si="16"/>
        <v>2087.5</v>
      </c>
    </row>
    <row r="1084" spans="1:26" hidden="1">
      <c r="A1084" t="s">
        <v>706</v>
      </c>
      <c r="B1084" s="6">
        <v>44287</v>
      </c>
      <c r="C1084" s="6">
        <v>44651</v>
      </c>
      <c r="D1084">
        <v>20210401</v>
      </c>
      <c r="E1084">
        <v>20220331</v>
      </c>
      <c r="F1084" t="s">
        <v>2952</v>
      </c>
      <c r="G1084" t="s">
        <v>2953</v>
      </c>
      <c r="H1084" t="s">
        <v>590</v>
      </c>
      <c r="I1084" t="s">
        <v>1462</v>
      </c>
      <c r="L1084">
        <v>800</v>
      </c>
      <c r="M1084">
        <v>476</v>
      </c>
      <c r="N1084">
        <v>-800</v>
      </c>
      <c r="O1084">
        <v>-476</v>
      </c>
      <c r="Z1084" s="3">
        <f t="shared" si="16"/>
        <v>0.59499999999999997</v>
      </c>
    </row>
    <row r="1085" spans="1:26" hidden="1">
      <c r="A1085" t="s">
        <v>706</v>
      </c>
      <c r="B1085" s="6">
        <v>44287</v>
      </c>
      <c r="C1085" s="6">
        <v>44651</v>
      </c>
      <c r="D1085">
        <v>20210401</v>
      </c>
      <c r="E1085">
        <v>20220331</v>
      </c>
      <c r="F1085" t="s">
        <v>2954</v>
      </c>
      <c r="G1085" t="s">
        <v>2955</v>
      </c>
      <c r="H1085" t="s">
        <v>590</v>
      </c>
      <c r="I1085" t="s">
        <v>1462</v>
      </c>
      <c r="L1085">
        <v>1200</v>
      </c>
      <c r="M1085">
        <v>3720</v>
      </c>
      <c r="N1085">
        <v>-1200</v>
      </c>
      <c r="O1085">
        <v>-3720</v>
      </c>
      <c r="Z1085" s="3">
        <f t="shared" si="16"/>
        <v>3.1</v>
      </c>
    </row>
    <row r="1086" spans="1:26" hidden="1">
      <c r="A1086" t="s">
        <v>706</v>
      </c>
      <c r="B1086" s="6">
        <v>44287</v>
      </c>
      <c r="C1086" s="6">
        <v>44651</v>
      </c>
      <c r="D1086">
        <v>20210401</v>
      </c>
      <c r="E1086">
        <v>20220331</v>
      </c>
      <c r="F1086" t="s">
        <v>2956</v>
      </c>
      <c r="G1086" t="s">
        <v>2957</v>
      </c>
      <c r="H1086" t="s">
        <v>590</v>
      </c>
      <c r="I1086" t="s">
        <v>1462</v>
      </c>
      <c r="L1086">
        <v>600</v>
      </c>
      <c r="M1086">
        <v>1930</v>
      </c>
      <c r="N1086">
        <v>-600</v>
      </c>
      <c r="O1086">
        <v>-1930.02</v>
      </c>
      <c r="Y1086">
        <v>-0.02</v>
      </c>
      <c r="Z1086" s="3">
        <f t="shared" si="16"/>
        <v>3.2166999999999999</v>
      </c>
    </row>
    <row r="1087" spans="1:26" hidden="1">
      <c r="A1087" t="s">
        <v>706</v>
      </c>
      <c r="B1087" s="6">
        <v>44287</v>
      </c>
      <c r="C1087" s="6">
        <v>44651</v>
      </c>
      <c r="D1087">
        <v>20210401</v>
      </c>
      <c r="E1087">
        <v>20220331</v>
      </c>
      <c r="F1087" t="s">
        <v>2958</v>
      </c>
      <c r="G1087" t="s">
        <v>2959</v>
      </c>
      <c r="H1087" t="s">
        <v>590</v>
      </c>
      <c r="I1087" t="s">
        <v>1462</v>
      </c>
      <c r="L1087">
        <v>400</v>
      </c>
      <c r="M1087">
        <v>1140</v>
      </c>
      <c r="N1087">
        <v>-400</v>
      </c>
      <c r="O1087">
        <v>-1140</v>
      </c>
      <c r="Z1087" s="3">
        <f t="shared" si="16"/>
        <v>2.85</v>
      </c>
    </row>
    <row r="1088" spans="1:26" hidden="1">
      <c r="A1088" t="s">
        <v>706</v>
      </c>
      <c r="B1088" s="6">
        <v>44287</v>
      </c>
      <c r="C1088" s="6">
        <v>44651</v>
      </c>
      <c r="D1088">
        <v>20210401</v>
      </c>
      <c r="E1088">
        <v>20220331</v>
      </c>
      <c r="F1088" t="s">
        <v>2960</v>
      </c>
      <c r="G1088" t="s">
        <v>2961</v>
      </c>
      <c r="H1088" t="s">
        <v>590</v>
      </c>
      <c r="I1088" t="s">
        <v>1462</v>
      </c>
      <c r="L1088">
        <v>20</v>
      </c>
      <c r="M1088">
        <v>720</v>
      </c>
      <c r="N1088">
        <v>-20</v>
      </c>
      <c r="O1088">
        <v>-720</v>
      </c>
      <c r="Z1088" s="3">
        <f t="shared" si="16"/>
        <v>36</v>
      </c>
    </row>
    <row r="1089" spans="1:26" hidden="1">
      <c r="A1089" t="s">
        <v>706</v>
      </c>
      <c r="B1089" s="6">
        <v>44287</v>
      </c>
      <c r="C1089" s="6">
        <v>44651</v>
      </c>
      <c r="D1089">
        <v>20210401</v>
      </c>
      <c r="E1089">
        <v>20220331</v>
      </c>
      <c r="F1089" t="s">
        <v>2962</v>
      </c>
      <c r="G1089" t="s">
        <v>2963</v>
      </c>
      <c r="H1089" t="s">
        <v>590</v>
      </c>
      <c r="I1089" t="s">
        <v>1462</v>
      </c>
      <c r="L1089">
        <v>20</v>
      </c>
      <c r="M1089">
        <v>720</v>
      </c>
      <c r="N1089">
        <v>-20</v>
      </c>
      <c r="O1089">
        <v>-720</v>
      </c>
      <c r="Z1089" s="3">
        <f t="shared" si="16"/>
        <v>36</v>
      </c>
    </row>
    <row r="1090" spans="1:26" hidden="1">
      <c r="A1090" t="s">
        <v>706</v>
      </c>
      <c r="B1090" s="6">
        <v>44287</v>
      </c>
      <c r="C1090" s="6">
        <v>44651</v>
      </c>
      <c r="D1090">
        <v>20210401</v>
      </c>
      <c r="E1090">
        <v>20220331</v>
      </c>
      <c r="F1090" t="s">
        <v>2964</v>
      </c>
      <c r="G1090" t="s">
        <v>2965</v>
      </c>
      <c r="H1090" t="s">
        <v>590</v>
      </c>
      <c r="I1090" t="s">
        <v>1462</v>
      </c>
      <c r="N1090">
        <v>-6</v>
      </c>
      <c r="O1090">
        <v>-23.14</v>
      </c>
      <c r="P1090">
        <v>6</v>
      </c>
      <c r="Q1090">
        <v>23.14</v>
      </c>
      <c r="Z1090" s="3" t="e">
        <f t="shared" si="16"/>
        <v>#DIV/0!</v>
      </c>
    </row>
    <row r="1091" spans="1:26" hidden="1">
      <c r="A1091" t="s">
        <v>706</v>
      </c>
      <c r="B1091" s="6">
        <v>44287</v>
      </c>
      <c r="C1091" s="6">
        <v>44651</v>
      </c>
      <c r="D1091">
        <v>20210401</v>
      </c>
      <c r="E1091">
        <v>20220331</v>
      </c>
      <c r="F1091" t="s">
        <v>2966</v>
      </c>
      <c r="G1091" t="s">
        <v>2967</v>
      </c>
      <c r="H1091" t="s">
        <v>590</v>
      </c>
      <c r="I1091" t="s">
        <v>1462</v>
      </c>
      <c r="L1091">
        <v>100</v>
      </c>
      <c r="M1091">
        <v>200</v>
      </c>
      <c r="N1091">
        <v>-100</v>
      </c>
      <c r="O1091">
        <v>-200</v>
      </c>
      <c r="Z1091" s="3">
        <f t="shared" ref="Z1091:Z1154" si="17">IFERROR((O1091+Q1091)/(N1091+P1091),Y1091/X1091)</f>
        <v>2</v>
      </c>
    </row>
    <row r="1092" spans="1:26" hidden="1">
      <c r="A1092" t="s">
        <v>706</v>
      </c>
      <c r="B1092" s="6">
        <v>44287</v>
      </c>
      <c r="C1092" s="6">
        <v>44651</v>
      </c>
      <c r="D1092">
        <v>20210401</v>
      </c>
      <c r="E1092">
        <v>20220331</v>
      </c>
      <c r="F1092" t="s">
        <v>2968</v>
      </c>
      <c r="G1092" t="s">
        <v>2969</v>
      </c>
      <c r="H1092" t="s">
        <v>590</v>
      </c>
      <c r="I1092" t="s">
        <v>1462</v>
      </c>
      <c r="L1092">
        <v>100</v>
      </c>
      <c r="M1092">
        <v>200</v>
      </c>
      <c r="N1092">
        <v>-100</v>
      </c>
      <c r="O1092">
        <v>-200</v>
      </c>
      <c r="Z1092" s="3">
        <f t="shared" si="17"/>
        <v>2</v>
      </c>
    </row>
    <row r="1093" spans="1:26" hidden="1">
      <c r="A1093" t="s">
        <v>706</v>
      </c>
      <c r="B1093" s="6">
        <v>44287</v>
      </c>
      <c r="C1093" s="6">
        <v>44651</v>
      </c>
      <c r="D1093">
        <v>20210401</v>
      </c>
      <c r="E1093">
        <v>20220331</v>
      </c>
      <c r="F1093" t="s">
        <v>2970</v>
      </c>
      <c r="G1093" t="s">
        <v>2971</v>
      </c>
      <c r="H1093" t="s">
        <v>590</v>
      </c>
      <c r="I1093" t="s">
        <v>1462</v>
      </c>
      <c r="N1093">
        <v>-1</v>
      </c>
      <c r="O1093">
        <v>-280</v>
      </c>
      <c r="P1093">
        <v>1</v>
      </c>
      <c r="Q1093">
        <v>280</v>
      </c>
      <c r="Z1093" s="3" t="e">
        <f t="shared" si="17"/>
        <v>#DIV/0!</v>
      </c>
    </row>
    <row r="1094" spans="1:26" hidden="1">
      <c r="A1094" t="s">
        <v>706</v>
      </c>
      <c r="B1094" s="6">
        <v>44287</v>
      </c>
      <c r="C1094" s="6">
        <v>44651</v>
      </c>
      <c r="D1094">
        <v>20210401</v>
      </c>
      <c r="E1094">
        <v>20220331</v>
      </c>
      <c r="F1094" t="s">
        <v>2972</v>
      </c>
      <c r="G1094" t="s">
        <v>2973</v>
      </c>
      <c r="H1094" t="s">
        <v>590</v>
      </c>
      <c r="I1094" t="s">
        <v>1462</v>
      </c>
      <c r="N1094">
        <v>-6</v>
      </c>
      <c r="O1094">
        <v>-3176.85</v>
      </c>
      <c r="P1094">
        <v>6</v>
      </c>
      <c r="Q1094">
        <v>3176.85</v>
      </c>
      <c r="Z1094" s="3" t="e">
        <f t="shared" si="17"/>
        <v>#DIV/0!</v>
      </c>
    </row>
    <row r="1095" spans="1:26" hidden="1">
      <c r="A1095" t="s">
        <v>706</v>
      </c>
      <c r="B1095" s="6">
        <v>44287</v>
      </c>
      <c r="C1095" s="6">
        <v>44651</v>
      </c>
      <c r="D1095">
        <v>20210401</v>
      </c>
      <c r="E1095">
        <v>20220331</v>
      </c>
      <c r="F1095" t="s">
        <v>2974</v>
      </c>
      <c r="G1095" t="s">
        <v>2975</v>
      </c>
      <c r="H1095" t="s">
        <v>590</v>
      </c>
      <c r="I1095" t="s">
        <v>1462</v>
      </c>
      <c r="L1095">
        <v>100</v>
      </c>
      <c r="M1095">
        <v>200</v>
      </c>
      <c r="N1095">
        <v>-100</v>
      </c>
      <c r="O1095">
        <v>-200</v>
      </c>
      <c r="Z1095" s="3">
        <f t="shared" si="17"/>
        <v>2</v>
      </c>
    </row>
    <row r="1096" spans="1:26" hidden="1">
      <c r="A1096" t="s">
        <v>706</v>
      </c>
      <c r="B1096" s="6">
        <v>44287</v>
      </c>
      <c r="C1096" s="6">
        <v>44651</v>
      </c>
      <c r="D1096">
        <v>20210401</v>
      </c>
      <c r="E1096">
        <v>20220331</v>
      </c>
      <c r="F1096" t="s">
        <v>2976</v>
      </c>
      <c r="G1096" t="s">
        <v>2977</v>
      </c>
      <c r="H1096" t="s">
        <v>590</v>
      </c>
      <c r="I1096" t="s">
        <v>1462</v>
      </c>
      <c r="L1096">
        <v>100</v>
      </c>
      <c r="M1096">
        <v>200</v>
      </c>
      <c r="N1096">
        <v>-100</v>
      </c>
      <c r="O1096">
        <v>-200</v>
      </c>
      <c r="Z1096" s="3">
        <f t="shared" si="17"/>
        <v>2</v>
      </c>
    </row>
    <row r="1097" spans="1:26" hidden="1">
      <c r="A1097" t="s">
        <v>706</v>
      </c>
      <c r="B1097" s="6">
        <v>44287</v>
      </c>
      <c r="C1097" s="6">
        <v>44651</v>
      </c>
      <c r="D1097">
        <v>20210401</v>
      </c>
      <c r="E1097">
        <v>20220331</v>
      </c>
      <c r="F1097" t="s">
        <v>2978</v>
      </c>
      <c r="G1097" t="s">
        <v>2979</v>
      </c>
      <c r="H1097" t="s">
        <v>590</v>
      </c>
      <c r="I1097" t="s">
        <v>1462</v>
      </c>
      <c r="L1097">
        <v>200</v>
      </c>
      <c r="M1097">
        <v>400</v>
      </c>
      <c r="N1097">
        <v>-200</v>
      </c>
      <c r="O1097">
        <v>-400</v>
      </c>
      <c r="Z1097" s="3">
        <f t="shared" si="17"/>
        <v>2</v>
      </c>
    </row>
    <row r="1098" spans="1:26" hidden="1">
      <c r="A1098" t="s">
        <v>706</v>
      </c>
      <c r="B1098" s="6">
        <v>44287</v>
      </c>
      <c r="C1098" s="6">
        <v>44651</v>
      </c>
      <c r="D1098">
        <v>20210401</v>
      </c>
      <c r="E1098">
        <v>20220331</v>
      </c>
      <c r="F1098" t="s">
        <v>2980</v>
      </c>
      <c r="G1098" t="s">
        <v>2981</v>
      </c>
      <c r="H1098" t="s">
        <v>590</v>
      </c>
      <c r="I1098" t="s">
        <v>1462</v>
      </c>
      <c r="L1098">
        <v>100</v>
      </c>
      <c r="M1098">
        <v>200</v>
      </c>
      <c r="N1098">
        <v>-100</v>
      </c>
      <c r="O1098">
        <v>-200</v>
      </c>
      <c r="Z1098" s="3">
        <f t="shared" si="17"/>
        <v>2</v>
      </c>
    </row>
    <row r="1099" spans="1:26" hidden="1">
      <c r="A1099" t="s">
        <v>706</v>
      </c>
      <c r="B1099" s="6">
        <v>44287</v>
      </c>
      <c r="C1099" s="6">
        <v>44651</v>
      </c>
      <c r="D1099">
        <v>20210401</v>
      </c>
      <c r="E1099">
        <v>20220331</v>
      </c>
      <c r="F1099" t="s">
        <v>2982</v>
      </c>
      <c r="G1099" t="s">
        <v>2983</v>
      </c>
      <c r="H1099" t="s">
        <v>590</v>
      </c>
      <c r="I1099" t="s">
        <v>1462</v>
      </c>
      <c r="K1099">
        <v>0.04</v>
      </c>
      <c r="Y1099">
        <v>0.04</v>
      </c>
      <c r="Z1099" s="3" t="e">
        <f t="shared" si="17"/>
        <v>#DIV/0!</v>
      </c>
    </row>
    <row r="1100" spans="1:26" hidden="1">
      <c r="A1100" t="s">
        <v>706</v>
      </c>
      <c r="B1100" s="6">
        <v>44287</v>
      </c>
      <c r="C1100" s="6">
        <v>44651</v>
      </c>
      <c r="D1100">
        <v>20210401</v>
      </c>
      <c r="E1100">
        <v>20220331</v>
      </c>
      <c r="F1100" t="s">
        <v>2984</v>
      </c>
      <c r="G1100" t="s">
        <v>2985</v>
      </c>
      <c r="H1100" t="s">
        <v>590</v>
      </c>
      <c r="I1100" t="s">
        <v>1462</v>
      </c>
      <c r="L1100">
        <v>6</v>
      </c>
      <c r="M1100">
        <v>2304</v>
      </c>
      <c r="N1100">
        <v>-8</v>
      </c>
      <c r="O1100">
        <v>-3244</v>
      </c>
      <c r="P1100">
        <v>2</v>
      </c>
      <c r="Q1100">
        <v>940</v>
      </c>
      <c r="Z1100" s="3">
        <f t="shared" si="17"/>
        <v>384</v>
      </c>
    </row>
    <row r="1101" spans="1:26" hidden="1">
      <c r="A1101" t="s">
        <v>706</v>
      </c>
      <c r="B1101" s="6">
        <v>44287</v>
      </c>
      <c r="C1101" s="6">
        <v>44651</v>
      </c>
      <c r="D1101">
        <v>20210401</v>
      </c>
      <c r="E1101">
        <v>20220331</v>
      </c>
      <c r="F1101" t="s">
        <v>2986</v>
      </c>
      <c r="G1101" t="s">
        <v>2987</v>
      </c>
      <c r="H1101" t="s">
        <v>590</v>
      </c>
      <c r="I1101" t="s">
        <v>1462</v>
      </c>
      <c r="L1101">
        <v>4</v>
      </c>
      <c r="M1101">
        <v>5300</v>
      </c>
      <c r="N1101">
        <v>-4</v>
      </c>
      <c r="O1101">
        <v>-5300</v>
      </c>
      <c r="Z1101" s="3">
        <f t="shared" si="17"/>
        <v>1325</v>
      </c>
    </row>
    <row r="1102" spans="1:26" hidden="1">
      <c r="A1102" t="s">
        <v>706</v>
      </c>
      <c r="B1102" s="6">
        <v>44287</v>
      </c>
      <c r="C1102" s="6">
        <v>44651</v>
      </c>
      <c r="D1102">
        <v>20210401</v>
      </c>
      <c r="E1102">
        <v>20220331</v>
      </c>
      <c r="F1102" t="s">
        <v>2988</v>
      </c>
      <c r="G1102" t="s">
        <v>2989</v>
      </c>
      <c r="H1102" t="s">
        <v>590</v>
      </c>
      <c r="I1102" t="s">
        <v>1462</v>
      </c>
      <c r="L1102">
        <v>15</v>
      </c>
      <c r="M1102">
        <v>20100</v>
      </c>
      <c r="N1102">
        <v>-17</v>
      </c>
      <c r="O1102">
        <v>-22710</v>
      </c>
      <c r="P1102">
        <v>2</v>
      </c>
      <c r="Q1102">
        <v>2610</v>
      </c>
      <c r="Z1102" s="3">
        <f t="shared" si="17"/>
        <v>1340</v>
      </c>
    </row>
    <row r="1103" spans="1:26" hidden="1">
      <c r="A1103" t="s">
        <v>706</v>
      </c>
      <c r="B1103" s="6">
        <v>44287</v>
      </c>
      <c r="C1103" s="6">
        <v>44651</v>
      </c>
      <c r="D1103">
        <v>20210401</v>
      </c>
      <c r="E1103">
        <v>20220331</v>
      </c>
      <c r="F1103" t="s">
        <v>2990</v>
      </c>
      <c r="G1103" t="s">
        <v>2991</v>
      </c>
      <c r="H1103" t="s">
        <v>590</v>
      </c>
      <c r="I1103" t="s">
        <v>1462</v>
      </c>
      <c r="J1103">
        <v>1</v>
      </c>
      <c r="K1103">
        <v>250</v>
      </c>
      <c r="L1103">
        <v>1</v>
      </c>
      <c r="M1103">
        <v>8300</v>
      </c>
      <c r="N1103">
        <v>-2</v>
      </c>
      <c r="O1103">
        <v>-8550</v>
      </c>
      <c r="Z1103" s="3">
        <f t="shared" si="17"/>
        <v>4275</v>
      </c>
    </row>
    <row r="1104" spans="1:26" hidden="1">
      <c r="A1104" t="s">
        <v>706</v>
      </c>
      <c r="B1104" s="6">
        <v>44287</v>
      </c>
      <c r="C1104" s="6">
        <v>44651</v>
      </c>
      <c r="D1104">
        <v>20210401</v>
      </c>
      <c r="E1104">
        <v>20220331</v>
      </c>
      <c r="F1104" t="s">
        <v>2992</v>
      </c>
      <c r="G1104" t="s">
        <v>2993</v>
      </c>
      <c r="I1104" t="s">
        <v>1462</v>
      </c>
      <c r="N1104">
        <v>-2</v>
      </c>
      <c r="O1104">
        <v>-2094.14</v>
      </c>
      <c r="P1104">
        <v>2</v>
      </c>
      <c r="Q1104">
        <v>2094.14</v>
      </c>
      <c r="Z1104" s="3" t="e">
        <f t="shared" si="17"/>
        <v>#DIV/0!</v>
      </c>
    </row>
    <row r="1105" spans="1:26" hidden="1">
      <c r="A1105" t="s">
        <v>706</v>
      </c>
      <c r="B1105" s="6">
        <v>44287</v>
      </c>
      <c r="C1105" s="6">
        <v>44651</v>
      </c>
      <c r="D1105">
        <v>20210401</v>
      </c>
      <c r="E1105">
        <v>20220331</v>
      </c>
      <c r="F1105" t="s">
        <v>2994</v>
      </c>
      <c r="G1105" t="s">
        <v>2995</v>
      </c>
      <c r="H1105" t="s">
        <v>590</v>
      </c>
      <c r="I1105" t="s">
        <v>1462</v>
      </c>
      <c r="L1105">
        <v>2</v>
      </c>
      <c r="M1105">
        <v>4580</v>
      </c>
      <c r="N1105">
        <v>-4</v>
      </c>
      <c r="O1105">
        <v>-10680.06</v>
      </c>
      <c r="P1105">
        <v>2</v>
      </c>
      <c r="Q1105">
        <v>6100</v>
      </c>
      <c r="Y1105">
        <v>-0.06</v>
      </c>
      <c r="Z1105" s="3">
        <f t="shared" si="17"/>
        <v>2290.0299999999997</v>
      </c>
    </row>
    <row r="1106" spans="1:26" hidden="1">
      <c r="A1106" t="s">
        <v>706</v>
      </c>
      <c r="B1106" s="6">
        <v>44287</v>
      </c>
      <c r="C1106" s="6">
        <v>44651</v>
      </c>
      <c r="D1106">
        <v>20210401</v>
      </c>
      <c r="E1106">
        <v>20220331</v>
      </c>
      <c r="F1106" t="s">
        <v>2996</v>
      </c>
      <c r="G1106" t="s">
        <v>2997</v>
      </c>
      <c r="H1106" t="s">
        <v>590</v>
      </c>
      <c r="I1106" t="s">
        <v>1462</v>
      </c>
      <c r="K1106">
        <v>0.02</v>
      </c>
      <c r="L1106">
        <v>9</v>
      </c>
      <c r="M1106">
        <v>17176.5</v>
      </c>
      <c r="N1106">
        <v>-9</v>
      </c>
      <c r="O1106">
        <v>-17176.5</v>
      </c>
      <c r="Y1106">
        <v>0.02</v>
      </c>
      <c r="Z1106" s="3">
        <f t="shared" si="17"/>
        <v>1908.5</v>
      </c>
    </row>
    <row r="1107" spans="1:26" hidden="1">
      <c r="A1107" t="s">
        <v>706</v>
      </c>
      <c r="B1107" s="6">
        <v>44287</v>
      </c>
      <c r="C1107" s="6">
        <v>44651</v>
      </c>
      <c r="D1107">
        <v>20210401</v>
      </c>
      <c r="E1107">
        <v>20220331</v>
      </c>
      <c r="F1107" t="s">
        <v>2998</v>
      </c>
      <c r="G1107" t="s">
        <v>2999</v>
      </c>
      <c r="H1107" t="s">
        <v>590</v>
      </c>
      <c r="I1107" t="s">
        <v>1462</v>
      </c>
      <c r="L1107">
        <v>2</v>
      </c>
      <c r="M1107">
        <v>5800</v>
      </c>
      <c r="N1107">
        <v>-2</v>
      </c>
      <c r="O1107">
        <v>-5800</v>
      </c>
      <c r="Z1107" s="3">
        <f t="shared" si="17"/>
        <v>2900</v>
      </c>
    </row>
    <row r="1108" spans="1:26" hidden="1">
      <c r="A1108" t="s">
        <v>706</v>
      </c>
      <c r="B1108" s="6">
        <v>44287</v>
      </c>
      <c r="C1108" s="6">
        <v>44651</v>
      </c>
      <c r="D1108">
        <v>20210401</v>
      </c>
      <c r="E1108">
        <v>20220331</v>
      </c>
      <c r="F1108" t="s">
        <v>3000</v>
      </c>
      <c r="G1108" t="s">
        <v>3001</v>
      </c>
      <c r="H1108" t="s">
        <v>590</v>
      </c>
      <c r="I1108" t="s">
        <v>1462</v>
      </c>
      <c r="L1108">
        <v>1</v>
      </c>
      <c r="M1108">
        <v>11300</v>
      </c>
      <c r="N1108">
        <v>-1</v>
      </c>
      <c r="O1108">
        <v>-11300</v>
      </c>
      <c r="Z1108" s="3">
        <f t="shared" si="17"/>
        <v>11300</v>
      </c>
    </row>
    <row r="1109" spans="1:26" hidden="1">
      <c r="A1109" t="s">
        <v>706</v>
      </c>
      <c r="B1109" s="6">
        <v>44287</v>
      </c>
      <c r="C1109" s="6">
        <v>44651</v>
      </c>
      <c r="D1109">
        <v>20210401</v>
      </c>
      <c r="E1109">
        <v>20220331</v>
      </c>
      <c r="F1109" t="s">
        <v>3002</v>
      </c>
      <c r="G1109" t="s">
        <v>3003</v>
      </c>
      <c r="H1109" t="s">
        <v>590</v>
      </c>
      <c r="I1109" t="s">
        <v>1462</v>
      </c>
      <c r="L1109">
        <v>6</v>
      </c>
      <c r="M1109">
        <v>6420</v>
      </c>
      <c r="N1109">
        <v>-6</v>
      </c>
      <c r="O1109">
        <v>-6420</v>
      </c>
      <c r="Z1109" s="3">
        <f t="shared" si="17"/>
        <v>1070</v>
      </c>
    </row>
    <row r="1110" spans="1:26" hidden="1">
      <c r="A1110" t="s">
        <v>706</v>
      </c>
      <c r="B1110" s="6">
        <v>44287</v>
      </c>
      <c r="C1110" s="6">
        <v>44651</v>
      </c>
      <c r="D1110">
        <v>20210401</v>
      </c>
      <c r="E1110">
        <v>20220331</v>
      </c>
      <c r="F1110" t="s">
        <v>3004</v>
      </c>
      <c r="G1110" t="s">
        <v>3005</v>
      </c>
      <c r="H1110" t="s">
        <v>590</v>
      </c>
      <c r="I1110" t="s">
        <v>1462</v>
      </c>
      <c r="L1110">
        <v>6</v>
      </c>
      <c r="M1110">
        <v>2685</v>
      </c>
      <c r="N1110">
        <v>-6</v>
      </c>
      <c r="O1110">
        <v>-2685</v>
      </c>
      <c r="Z1110" s="3">
        <f t="shared" si="17"/>
        <v>447.5</v>
      </c>
    </row>
    <row r="1111" spans="1:26" hidden="1">
      <c r="A1111" t="s">
        <v>706</v>
      </c>
      <c r="B1111" s="6">
        <v>44287</v>
      </c>
      <c r="C1111" s="6">
        <v>44651</v>
      </c>
      <c r="D1111">
        <v>20210401</v>
      </c>
      <c r="E1111">
        <v>20220331</v>
      </c>
      <c r="F1111" t="s">
        <v>3006</v>
      </c>
      <c r="G1111" t="s">
        <v>3007</v>
      </c>
      <c r="H1111" t="s">
        <v>590</v>
      </c>
      <c r="I1111" t="s">
        <v>1462</v>
      </c>
      <c r="L1111">
        <v>6</v>
      </c>
      <c r="M1111">
        <v>3300</v>
      </c>
      <c r="N1111">
        <v>-6</v>
      </c>
      <c r="O1111">
        <v>-3300</v>
      </c>
      <c r="Z1111" s="3">
        <f t="shared" si="17"/>
        <v>550</v>
      </c>
    </row>
    <row r="1112" spans="1:26" hidden="1">
      <c r="A1112" t="s">
        <v>706</v>
      </c>
      <c r="B1112" s="6">
        <v>44287</v>
      </c>
      <c r="C1112" s="6">
        <v>44651</v>
      </c>
      <c r="D1112">
        <v>20210401</v>
      </c>
      <c r="E1112">
        <v>20220331</v>
      </c>
      <c r="F1112" t="s">
        <v>3008</v>
      </c>
      <c r="G1112" t="s">
        <v>3009</v>
      </c>
      <c r="H1112" t="s">
        <v>590</v>
      </c>
      <c r="I1112" t="s">
        <v>1462</v>
      </c>
      <c r="L1112">
        <v>483</v>
      </c>
      <c r="M1112">
        <v>4004</v>
      </c>
      <c r="N1112">
        <v>-513</v>
      </c>
      <c r="O1112">
        <v>-4244</v>
      </c>
      <c r="P1112">
        <v>30</v>
      </c>
      <c r="Q1112">
        <v>240</v>
      </c>
      <c r="Z1112" s="3">
        <f t="shared" si="17"/>
        <v>8.2898550724637676</v>
      </c>
    </row>
    <row r="1113" spans="1:26" hidden="1">
      <c r="A1113" t="s">
        <v>706</v>
      </c>
      <c r="B1113" s="6">
        <v>44287</v>
      </c>
      <c r="C1113" s="6">
        <v>44651</v>
      </c>
      <c r="D1113">
        <v>20210401</v>
      </c>
      <c r="E1113">
        <v>20220331</v>
      </c>
      <c r="F1113" t="s">
        <v>3010</v>
      </c>
      <c r="G1113" t="s">
        <v>3011</v>
      </c>
      <c r="H1113" t="s">
        <v>590</v>
      </c>
      <c r="I1113" t="s">
        <v>1462</v>
      </c>
      <c r="K1113">
        <v>51.74</v>
      </c>
      <c r="Y1113">
        <v>51.74</v>
      </c>
      <c r="Z1113" s="3" t="e">
        <f t="shared" si="17"/>
        <v>#DIV/0!</v>
      </c>
    </row>
    <row r="1114" spans="1:26" hidden="1">
      <c r="A1114" t="s">
        <v>706</v>
      </c>
      <c r="B1114" s="6">
        <v>44287</v>
      </c>
      <c r="C1114" s="6">
        <v>44651</v>
      </c>
      <c r="D1114">
        <v>20210401</v>
      </c>
      <c r="E1114">
        <v>20220331</v>
      </c>
      <c r="F1114" t="s">
        <v>3012</v>
      </c>
      <c r="G1114" t="s">
        <v>3013</v>
      </c>
      <c r="H1114" t="s">
        <v>590</v>
      </c>
      <c r="I1114" t="s">
        <v>1462</v>
      </c>
      <c r="L1114">
        <v>6</v>
      </c>
      <c r="M1114">
        <v>2304</v>
      </c>
      <c r="N1114">
        <v>-6</v>
      </c>
      <c r="O1114">
        <v>-2304</v>
      </c>
      <c r="Z1114" s="3">
        <f t="shared" si="17"/>
        <v>384</v>
      </c>
    </row>
    <row r="1115" spans="1:26" hidden="1">
      <c r="A1115" t="s">
        <v>706</v>
      </c>
      <c r="B1115" s="6">
        <v>44287</v>
      </c>
      <c r="C1115" s="6">
        <v>44651</v>
      </c>
      <c r="D1115">
        <v>20210401</v>
      </c>
      <c r="E1115">
        <v>20220331</v>
      </c>
      <c r="F1115" t="s">
        <v>3014</v>
      </c>
      <c r="G1115" t="s">
        <v>3015</v>
      </c>
      <c r="H1115" t="s">
        <v>1173</v>
      </c>
      <c r="I1115" t="s">
        <v>1462</v>
      </c>
      <c r="K1115">
        <v>0.04</v>
      </c>
      <c r="Y1115">
        <v>0.04</v>
      </c>
      <c r="Z1115" s="3" t="e">
        <f t="shared" si="17"/>
        <v>#DIV/0!</v>
      </c>
    </row>
    <row r="1116" spans="1:26" hidden="1">
      <c r="A1116" t="s">
        <v>706</v>
      </c>
      <c r="B1116" s="6">
        <v>44287</v>
      </c>
      <c r="C1116" s="6">
        <v>44651</v>
      </c>
      <c r="D1116">
        <v>20210401</v>
      </c>
      <c r="E1116">
        <v>20220331</v>
      </c>
      <c r="F1116" t="s">
        <v>3016</v>
      </c>
      <c r="G1116" t="s">
        <v>3017</v>
      </c>
      <c r="H1116" t="s">
        <v>590</v>
      </c>
      <c r="I1116" t="s">
        <v>1462</v>
      </c>
      <c r="L1116">
        <v>110</v>
      </c>
      <c r="M1116">
        <v>2750</v>
      </c>
      <c r="N1116">
        <v>-110</v>
      </c>
      <c r="O1116">
        <v>-2750</v>
      </c>
      <c r="Z1116" s="3">
        <f t="shared" si="17"/>
        <v>25</v>
      </c>
    </row>
    <row r="1117" spans="1:26" hidden="1">
      <c r="A1117" t="s">
        <v>706</v>
      </c>
      <c r="B1117" s="6">
        <v>44287</v>
      </c>
      <c r="C1117" s="6">
        <v>44651</v>
      </c>
      <c r="D1117">
        <v>20210401</v>
      </c>
      <c r="E1117">
        <v>20220331</v>
      </c>
      <c r="F1117" t="s">
        <v>3018</v>
      </c>
      <c r="G1117" t="s">
        <v>3019</v>
      </c>
      <c r="H1117" t="s">
        <v>613</v>
      </c>
      <c r="I1117" t="s">
        <v>1462</v>
      </c>
      <c r="L1117">
        <v>0.5</v>
      </c>
      <c r="M1117">
        <v>1100</v>
      </c>
      <c r="N1117">
        <v>-1</v>
      </c>
      <c r="O1117">
        <v>-2000</v>
      </c>
      <c r="P1117">
        <v>0.5</v>
      </c>
      <c r="Q1117">
        <v>900</v>
      </c>
      <c r="Z1117" s="3">
        <f t="shared" si="17"/>
        <v>2200</v>
      </c>
    </row>
    <row r="1118" spans="1:26" hidden="1">
      <c r="A1118" t="s">
        <v>706</v>
      </c>
      <c r="B1118" s="6">
        <v>44287</v>
      </c>
      <c r="C1118" s="6">
        <v>44651</v>
      </c>
      <c r="D1118">
        <v>20210401</v>
      </c>
      <c r="E1118">
        <v>20220331</v>
      </c>
      <c r="F1118" t="s">
        <v>3020</v>
      </c>
      <c r="G1118" t="s">
        <v>3021</v>
      </c>
      <c r="H1118" t="s">
        <v>590</v>
      </c>
      <c r="I1118" t="s">
        <v>1462</v>
      </c>
      <c r="L1118">
        <v>4</v>
      </c>
      <c r="M1118">
        <v>560</v>
      </c>
      <c r="N1118">
        <v>-4</v>
      </c>
      <c r="O1118">
        <v>-560</v>
      </c>
      <c r="Z1118" s="3">
        <f t="shared" si="17"/>
        <v>140</v>
      </c>
    </row>
    <row r="1119" spans="1:26" hidden="1">
      <c r="A1119" t="s">
        <v>706</v>
      </c>
      <c r="B1119" s="6">
        <v>44287</v>
      </c>
      <c r="C1119" s="6">
        <v>44651</v>
      </c>
      <c r="D1119">
        <v>20210401</v>
      </c>
      <c r="E1119">
        <v>20220331</v>
      </c>
      <c r="F1119" t="s">
        <v>3022</v>
      </c>
      <c r="G1119" t="s">
        <v>3023</v>
      </c>
      <c r="H1119" t="s">
        <v>590</v>
      </c>
      <c r="I1119" t="s">
        <v>805</v>
      </c>
      <c r="L1119">
        <v>1</v>
      </c>
      <c r="M1119">
        <v>1235</v>
      </c>
      <c r="N1119">
        <v>-1</v>
      </c>
      <c r="O1119">
        <v>-1235</v>
      </c>
      <c r="Z1119" s="3">
        <f t="shared" si="17"/>
        <v>1235</v>
      </c>
    </row>
    <row r="1120" spans="1:26" hidden="1">
      <c r="A1120" t="s">
        <v>706</v>
      </c>
      <c r="B1120" s="6">
        <v>44287</v>
      </c>
      <c r="C1120" s="6">
        <v>44651</v>
      </c>
      <c r="D1120">
        <v>20210401</v>
      </c>
      <c r="E1120">
        <v>20220331</v>
      </c>
      <c r="F1120" t="s">
        <v>3024</v>
      </c>
      <c r="G1120" t="s">
        <v>3025</v>
      </c>
      <c r="H1120" t="s">
        <v>590</v>
      </c>
      <c r="I1120" t="s">
        <v>1462</v>
      </c>
      <c r="L1120">
        <v>5</v>
      </c>
      <c r="M1120">
        <v>825</v>
      </c>
      <c r="N1120">
        <v>-5</v>
      </c>
      <c r="O1120">
        <v>-825</v>
      </c>
      <c r="Z1120" s="3">
        <f t="shared" si="17"/>
        <v>165</v>
      </c>
    </row>
    <row r="1121" spans="1:26" hidden="1">
      <c r="A1121" t="s">
        <v>706</v>
      </c>
      <c r="B1121" s="6">
        <v>44287</v>
      </c>
      <c r="C1121" s="6">
        <v>44651</v>
      </c>
      <c r="D1121">
        <v>20210401</v>
      </c>
      <c r="E1121">
        <v>20220331</v>
      </c>
      <c r="F1121" t="s">
        <v>3026</v>
      </c>
      <c r="G1121" t="s">
        <v>3027</v>
      </c>
      <c r="H1121" t="s">
        <v>590</v>
      </c>
      <c r="I1121" t="s">
        <v>1462</v>
      </c>
      <c r="L1121">
        <v>1</v>
      </c>
      <c r="M1121">
        <v>2950</v>
      </c>
      <c r="N1121">
        <v>-1</v>
      </c>
      <c r="O1121">
        <v>-2950</v>
      </c>
      <c r="Z1121" s="3">
        <f t="shared" si="17"/>
        <v>2950</v>
      </c>
    </row>
    <row r="1122" spans="1:26" hidden="1">
      <c r="A1122" t="s">
        <v>706</v>
      </c>
      <c r="B1122" s="6">
        <v>44287</v>
      </c>
      <c r="C1122" s="6">
        <v>44651</v>
      </c>
      <c r="D1122">
        <v>20210401</v>
      </c>
      <c r="E1122">
        <v>20220331</v>
      </c>
      <c r="F1122" t="s">
        <v>3028</v>
      </c>
      <c r="G1122" t="s">
        <v>3029</v>
      </c>
      <c r="H1122" t="s">
        <v>590</v>
      </c>
      <c r="I1122" t="s">
        <v>1462</v>
      </c>
      <c r="L1122">
        <v>3</v>
      </c>
      <c r="M1122">
        <v>996</v>
      </c>
      <c r="N1122">
        <v>-3</v>
      </c>
      <c r="O1122">
        <v>-996</v>
      </c>
      <c r="Z1122" s="3">
        <f t="shared" si="17"/>
        <v>332</v>
      </c>
    </row>
    <row r="1123" spans="1:26" hidden="1">
      <c r="A1123" t="s">
        <v>706</v>
      </c>
      <c r="B1123" s="6">
        <v>44287</v>
      </c>
      <c r="C1123" s="6">
        <v>44651</v>
      </c>
      <c r="D1123">
        <v>20210401</v>
      </c>
      <c r="E1123">
        <v>20220331</v>
      </c>
      <c r="F1123" t="s">
        <v>3030</v>
      </c>
      <c r="G1123" t="s">
        <v>3031</v>
      </c>
      <c r="H1123" t="s">
        <v>590</v>
      </c>
      <c r="I1123" t="s">
        <v>805</v>
      </c>
      <c r="L1123">
        <v>4</v>
      </c>
      <c r="M1123">
        <v>2432.1999999999998</v>
      </c>
      <c r="N1123">
        <v>-4</v>
      </c>
      <c r="O1123">
        <v>-2432.1999999999998</v>
      </c>
      <c r="Z1123" s="3">
        <f t="shared" si="17"/>
        <v>608.04999999999995</v>
      </c>
    </row>
    <row r="1124" spans="1:26" hidden="1">
      <c r="A1124" t="s">
        <v>706</v>
      </c>
      <c r="B1124" s="6">
        <v>44287</v>
      </c>
      <c r="C1124" s="6">
        <v>44651</v>
      </c>
      <c r="D1124">
        <v>20210401</v>
      </c>
      <c r="E1124">
        <v>20220331</v>
      </c>
      <c r="F1124" t="s">
        <v>3032</v>
      </c>
      <c r="G1124" t="s">
        <v>3033</v>
      </c>
      <c r="H1124" t="s">
        <v>590</v>
      </c>
      <c r="I1124" t="s">
        <v>805</v>
      </c>
      <c r="L1124">
        <v>11</v>
      </c>
      <c r="M1124">
        <v>8150</v>
      </c>
      <c r="N1124">
        <v>-11</v>
      </c>
      <c r="O1124">
        <v>-8150</v>
      </c>
      <c r="Z1124" s="3">
        <f t="shared" si="17"/>
        <v>740.90909090909088</v>
      </c>
    </row>
    <row r="1125" spans="1:26" hidden="1">
      <c r="A1125" t="s">
        <v>706</v>
      </c>
      <c r="B1125" s="6">
        <v>44287</v>
      </c>
      <c r="C1125" s="6">
        <v>44651</v>
      </c>
      <c r="D1125">
        <v>20210401</v>
      </c>
      <c r="E1125">
        <v>20220331</v>
      </c>
      <c r="F1125" t="s">
        <v>3034</v>
      </c>
      <c r="G1125" t="s">
        <v>3035</v>
      </c>
      <c r="H1125" t="s">
        <v>613</v>
      </c>
      <c r="I1125" t="s">
        <v>1462</v>
      </c>
      <c r="L1125">
        <v>8</v>
      </c>
      <c r="M1125">
        <v>7800</v>
      </c>
      <c r="N1125">
        <v>-8</v>
      </c>
      <c r="O1125">
        <v>-7337.14</v>
      </c>
      <c r="P1125">
        <v>6</v>
      </c>
      <c r="Q1125">
        <v>5040</v>
      </c>
      <c r="X1125">
        <v>6</v>
      </c>
      <c r="Y1125">
        <v>5502.86</v>
      </c>
      <c r="Z1125" s="3">
        <f t="shared" si="17"/>
        <v>1148.5700000000002</v>
      </c>
    </row>
    <row r="1126" spans="1:26" hidden="1">
      <c r="A1126" t="s">
        <v>706</v>
      </c>
      <c r="B1126" s="6">
        <v>44287</v>
      </c>
      <c r="C1126" s="6">
        <v>44651</v>
      </c>
      <c r="D1126">
        <v>20210401</v>
      </c>
      <c r="E1126">
        <v>20220331</v>
      </c>
      <c r="F1126" t="s">
        <v>3036</v>
      </c>
      <c r="G1126" t="s">
        <v>3037</v>
      </c>
      <c r="H1126" t="s">
        <v>590</v>
      </c>
      <c r="I1126" t="s">
        <v>1462</v>
      </c>
      <c r="L1126">
        <v>2</v>
      </c>
      <c r="M1126">
        <v>847.46</v>
      </c>
      <c r="N1126">
        <v>-2</v>
      </c>
      <c r="O1126">
        <v>-847.46</v>
      </c>
      <c r="Z1126" s="3">
        <f t="shared" si="17"/>
        <v>423.73</v>
      </c>
    </row>
    <row r="1127" spans="1:26" hidden="1">
      <c r="A1127" t="s">
        <v>706</v>
      </c>
      <c r="B1127" s="6">
        <v>44287</v>
      </c>
      <c r="C1127" s="6">
        <v>44651</v>
      </c>
      <c r="D1127">
        <v>20210401</v>
      </c>
      <c r="E1127">
        <v>20220331</v>
      </c>
      <c r="F1127" t="s">
        <v>3038</v>
      </c>
      <c r="G1127" t="s">
        <v>3039</v>
      </c>
      <c r="H1127" t="s">
        <v>590</v>
      </c>
      <c r="I1127" t="s">
        <v>1462</v>
      </c>
      <c r="L1127">
        <v>1</v>
      </c>
      <c r="M1127">
        <v>18718.09</v>
      </c>
      <c r="N1127">
        <v>-1</v>
      </c>
      <c r="O1127">
        <v>-18718.09</v>
      </c>
      <c r="Z1127" s="3">
        <f t="shared" si="17"/>
        <v>18718.09</v>
      </c>
    </row>
    <row r="1128" spans="1:26" hidden="1">
      <c r="A1128" t="s">
        <v>706</v>
      </c>
      <c r="B1128" s="6">
        <v>44287</v>
      </c>
      <c r="C1128" s="6">
        <v>44651</v>
      </c>
      <c r="D1128">
        <v>20210401</v>
      </c>
      <c r="E1128">
        <v>20220331</v>
      </c>
      <c r="F1128" t="s">
        <v>3040</v>
      </c>
      <c r="G1128" t="s">
        <v>3041</v>
      </c>
      <c r="H1128" t="s">
        <v>590</v>
      </c>
      <c r="I1128" t="s">
        <v>1462</v>
      </c>
      <c r="L1128">
        <v>7</v>
      </c>
      <c r="M1128">
        <v>14220</v>
      </c>
      <c r="N1128">
        <v>-7</v>
      </c>
      <c r="O1128">
        <v>-14220</v>
      </c>
      <c r="Z1128" s="3">
        <f t="shared" si="17"/>
        <v>2031.4285714285713</v>
      </c>
    </row>
    <row r="1129" spans="1:26" hidden="1">
      <c r="A1129" t="s">
        <v>706</v>
      </c>
      <c r="B1129" s="6">
        <v>44287</v>
      </c>
      <c r="C1129" s="6">
        <v>44651</v>
      </c>
      <c r="D1129">
        <v>20210401</v>
      </c>
      <c r="E1129">
        <v>20220331</v>
      </c>
      <c r="F1129" t="s">
        <v>3042</v>
      </c>
      <c r="G1129" t="s">
        <v>3043</v>
      </c>
      <c r="H1129" t="s">
        <v>590</v>
      </c>
      <c r="I1129" t="s">
        <v>1462</v>
      </c>
      <c r="K1129">
        <v>0.01</v>
      </c>
      <c r="L1129">
        <v>32</v>
      </c>
      <c r="M1129">
        <v>13120</v>
      </c>
      <c r="N1129">
        <v>-32</v>
      </c>
      <c r="O1129">
        <v>-13120</v>
      </c>
      <c r="Y1129">
        <v>0.01</v>
      </c>
      <c r="Z1129" s="3">
        <f t="shared" si="17"/>
        <v>410</v>
      </c>
    </row>
    <row r="1130" spans="1:26" hidden="1">
      <c r="A1130" t="s">
        <v>706</v>
      </c>
      <c r="B1130" s="6">
        <v>44287</v>
      </c>
      <c r="C1130" s="6">
        <v>44651</v>
      </c>
      <c r="D1130">
        <v>20210401</v>
      </c>
      <c r="E1130">
        <v>20220331</v>
      </c>
      <c r="F1130" t="s">
        <v>3044</v>
      </c>
      <c r="G1130" t="s">
        <v>3045</v>
      </c>
      <c r="H1130" t="s">
        <v>2073</v>
      </c>
      <c r="I1130" t="s">
        <v>1462</v>
      </c>
      <c r="L1130">
        <v>18</v>
      </c>
      <c r="M1130">
        <v>1440</v>
      </c>
      <c r="N1130">
        <v>-18</v>
      </c>
      <c r="O1130">
        <v>-1440</v>
      </c>
      <c r="Z1130" s="3">
        <f t="shared" si="17"/>
        <v>80</v>
      </c>
    </row>
    <row r="1131" spans="1:26" hidden="1">
      <c r="A1131" t="s">
        <v>706</v>
      </c>
      <c r="B1131" s="6">
        <v>44287</v>
      </c>
      <c r="C1131" s="6">
        <v>44651</v>
      </c>
      <c r="D1131">
        <v>20210401</v>
      </c>
      <c r="E1131">
        <v>20220331</v>
      </c>
      <c r="F1131" t="s">
        <v>3046</v>
      </c>
      <c r="G1131" t="s">
        <v>3047</v>
      </c>
      <c r="H1131" t="s">
        <v>590</v>
      </c>
      <c r="I1131" t="s">
        <v>1462</v>
      </c>
      <c r="L1131">
        <v>4</v>
      </c>
      <c r="M1131">
        <v>820</v>
      </c>
      <c r="N1131">
        <v>-4</v>
      </c>
      <c r="O1131">
        <v>-820</v>
      </c>
      <c r="Z1131" s="3">
        <f t="shared" si="17"/>
        <v>205</v>
      </c>
    </row>
    <row r="1132" spans="1:26" hidden="1">
      <c r="A1132" t="s">
        <v>706</v>
      </c>
      <c r="B1132" s="6">
        <v>44287</v>
      </c>
      <c r="C1132" s="6">
        <v>44651</v>
      </c>
      <c r="D1132">
        <v>20210401</v>
      </c>
      <c r="E1132">
        <v>20220331</v>
      </c>
      <c r="F1132" t="s">
        <v>3048</v>
      </c>
      <c r="G1132" t="s">
        <v>3049</v>
      </c>
      <c r="H1132" t="s">
        <v>590</v>
      </c>
      <c r="I1132" t="s">
        <v>1462</v>
      </c>
      <c r="L1132">
        <v>20</v>
      </c>
      <c r="M1132">
        <v>5000</v>
      </c>
      <c r="N1132">
        <v>-22</v>
      </c>
      <c r="O1132">
        <v>-5483.44</v>
      </c>
      <c r="P1132">
        <v>2</v>
      </c>
      <c r="Q1132">
        <v>483.44</v>
      </c>
      <c r="Z1132" s="3">
        <f t="shared" si="17"/>
        <v>250</v>
      </c>
    </row>
    <row r="1133" spans="1:26" hidden="1">
      <c r="A1133" t="s">
        <v>706</v>
      </c>
      <c r="B1133" s="6">
        <v>44287</v>
      </c>
      <c r="C1133" s="6">
        <v>44651</v>
      </c>
      <c r="D1133">
        <v>20210401</v>
      </c>
      <c r="E1133">
        <v>20220331</v>
      </c>
      <c r="F1133" t="s">
        <v>3050</v>
      </c>
      <c r="G1133" t="s">
        <v>3051</v>
      </c>
      <c r="H1133" t="s">
        <v>1973</v>
      </c>
      <c r="I1133" t="s">
        <v>1462</v>
      </c>
      <c r="K1133">
        <v>0.01</v>
      </c>
      <c r="L1133">
        <v>5</v>
      </c>
      <c r="M1133">
        <v>650</v>
      </c>
      <c r="N1133">
        <v>-5</v>
      </c>
      <c r="O1133">
        <v>-650</v>
      </c>
      <c r="Y1133">
        <v>0.01</v>
      </c>
      <c r="Z1133" s="3">
        <f t="shared" si="17"/>
        <v>130</v>
      </c>
    </row>
    <row r="1134" spans="1:26" hidden="1">
      <c r="A1134" t="s">
        <v>706</v>
      </c>
      <c r="B1134" s="6">
        <v>44287</v>
      </c>
      <c r="C1134" s="6">
        <v>44651</v>
      </c>
      <c r="D1134">
        <v>20210401</v>
      </c>
      <c r="E1134">
        <v>20220331</v>
      </c>
      <c r="F1134" t="s">
        <v>3052</v>
      </c>
      <c r="G1134" t="s">
        <v>3053</v>
      </c>
      <c r="H1134" t="s">
        <v>590</v>
      </c>
      <c r="I1134" t="s">
        <v>1462</v>
      </c>
      <c r="L1134">
        <v>2</v>
      </c>
      <c r="M1134">
        <v>664</v>
      </c>
      <c r="N1134">
        <v>-2</v>
      </c>
      <c r="O1134">
        <v>-664</v>
      </c>
      <c r="Z1134" s="3">
        <f t="shared" si="17"/>
        <v>332</v>
      </c>
    </row>
    <row r="1135" spans="1:26" hidden="1">
      <c r="A1135" t="s">
        <v>706</v>
      </c>
      <c r="B1135" s="6">
        <v>44287</v>
      </c>
      <c r="C1135" s="6">
        <v>44651</v>
      </c>
      <c r="D1135">
        <v>20210401</v>
      </c>
      <c r="E1135">
        <v>20220331</v>
      </c>
      <c r="F1135" t="s">
        <v>3054</v>
      </c>
      <c r="G1135" t="s">
        <v>3055</v>
      </c>
      <c r="H1135" t="s">
        <v>590</v>
      </c>
      <c r="I1135" t="s">
        <v>1462</v>
      </c>
      <c r="L1135">
        <v>3</v>
      </c>
      <c r="M1135">
        <v>7631.25</v>
      </c>
      <c r="N1135">
        <v>-4</v>
      </c>
      <c r="O1135">
        <v>-10175</v>
      </c>
      <c r="P1135">
        <v>1</v>
      </c>
      <c r="Q1135">
        <v>2543.75</v>
      </c>
      <c r="Z1135" s="3">
        <f t="shared" si="17"/>
        <v>2543.75</v>
      </c>
    </row>
    <row r="1136" spans="1:26" hidden="1">
      <c r="A1136" t="s">
        <v>706</v>
      </c>
      <c r="B1136" s="6">
        <v>44287</v>
      </c>
      <c r="C1136" s="6">
        <v>44651</v>
      </c>
      <c r="D1136">
        <v>20210401</v>
      </c>
      <c r="E1136">
        <v>20220331</v>
      </c>
      <c r="F1136" t="s">
        <v>3056</v>
      </c>
      <c r="G1136" t="s">
        <v>3057</v>
      </c>
      <c r="H1136" t="s">
        <v>590</v>
      </c>
      <c r="I1136" t="s">
        <v>1462</v>
      </c>
      <c r="L1136">
        <v>6</v>
      </c>
      <c r="M1136">
        <v>7704</v>
      </c>
      <c r="N1136">
        <v>-5</v>
      </c>
      <c r="O1136">
        <v>-6420</v>
      </c>
      <c r="X1136">
        <v>1</v>
      </c>
      <c r="Y1136">
        <v>1284</v>
      </c>
      <c r="Z1136" s="3">
        <f t="shared" si="17"/>
        <v>1284</v>
      </c>
    </row>
    <row r="1137" spans="1:26" hidden="1">
      <c r="A1137" t="s">
        <v>706</v>
      </c>
      <c r="B1137" s="6">
        <v>44287</v>
      </c>
      <c r="C1137" s="6">
        <v>44651</v>
      </c>
      <c r="D1137">
        <v>20210401</v>
      </c>
      <c r="E1137">
        <v>20220331</v>
      </c>
      <c r="F1137" t="s">
        <v>3058</v>
      </c>
      <c r="G1137" t="s">
        <v>3059</v>
      </c>
      <c r="H1137" t="s">
        <v>590</v>
      </c>
      <c r="I1137" t="s">
        <v>1462</v>
      </c>
      <c r="L1137">
        <v>1</v>
      </c>
      <c r="M1137">
        <v>2480</v>
      </c>
      <c r="N1137">
        <v>-1</v>
      </c>
      <c r="O1137">
        <v>-2480</v>
      </c>
      <c r="Z1137" s="3">
        <f t="shared" si="17"/>
        <v>2480</v>
      </c>
    </row>
    <row r="1138" spans="1:26" hidden="1">
      <c r="A1138" t="s">
        <v>706</v>
      </c>
      <c r="B1138" s="6">
        <v>44287</v>
      </c>
      <c r="C1138" s="6">
        <v>44651</v>
      </c>
      <c r="D1138">
        <v>20210401</v>
      </c>
      <c r="E1138">
        <v>20220331</v>
      </c>
      <c r="F1138" t="s">
        <v>3060</v>
      </c>
      <c r="G1138" t="s">
        <v>3061</v>
      </c>
      <c r="H1138" t="s">
        <v>590</v>
      </c>
      <c r="I1138" t="s">
        <v>1462</v>
      </c>
      <c r="L1138">
        <v>25</v>
      </c>
      <c r="M1138">
        <v>5500</v>
      </c>
      <c r="N1138">
        <v>-25</v>
      </c>
      <c r="O1138">
        <v>-5500</v>
      </c>
      <c r="Z1138" s="3">
        <f t="shared" si="17"/>
        <v>220</v>
      </c>
    </row>
    <row r="1139" spans="1:26" hidden="1">
      <c r="A1139" t="s">
        <v>706</v>
      </c>
      <c r="B1139" s="6">
        <v>44287</v>
      </c>
      <c r="C1139" s="6">
        <v>44651</v>
      </c>
      <c r="D1139">
        <v>20210401</v>
      </c>
      <c r="E1139">
        <v>20220331</v>
      </c>
      <c r="F1139" t="s">
        <v>3062</v>
      </c>
      <c r="G1139" t="s">
        <v>3063</v>
      </c>
      <c r="H1139" t="s">
        <v>2073</v>
      </c>
      <c r="I1139" t="s">
        <v>1462</v>
      </c>
      <c r="L1139">
        <v>50</v>
      </c>
      <c r="M1139">
        <v>51250</v>
      </c>
      <c r="N1139">
        <v>-50</v>
      </c>
      <c r="O1139">
        <v>-51250</v>
      </c>
      <c r="Z1139" s="3">
        <f t="shared" si="17"/>
        <v>1025</v>
      </c>
    </row>
    <row r="1140" spans="1:26" hidden="1">
      <c r="A1140" t="s">
        <v>706</v>
      </c>
      <c r="B1140" s="6">
        <v>44287</v>
      </c>
      <c r="C1140" s="6">
        <v>44651</v>
      </c>
      <c r="D1140">
        <v>20210401</v>
      </c>
      <c r="E1140">
        <v>20220331</v>
      </c>
      <c r="F1140" t="s">
        <v>3064</v>
      </c>
      <c r="G1140" t="s">
        <v>3065</v>
      </c>
      <c r="H1140" t="s">
        <v>590</v>
      </c>
      <c r="I1140" t="s">
        <v>1462</v>
      </c>
      <c r="L1140">
        <v>4</v>
      </c>
      <c r="M1140">
        <v>420</v>
      </c>
      <c r="N1140">
        <v>-4</v>
      </c>
      <c r="O1140">
        <v>-420</v>
      </c>
      <c r="Z1140" s="3">
        <f t="shared" si="17"/>
        <v>105</v>
      </c>
    </row>
    <row r="1141" spans="1:26" hidden="1">
      <c r="A1141" t="s">
        <v>706</v>
      </c>
      <c r="B1141" s="6">
        <v>44287</v>
      </c>
      <c r="C1141" s="6">
        <v>44651</v>
      </c>
      <c r="D1141">
        <v>20210401</v>
      </c>
      <c r="E1141">
        <v>20220331</v>
      </c>
      <c r="F1141" t="s">
        <v>3066</v>
      </c>
      <c r="G1141" t="s">
        <v>3067</v>
      </c>
      <c r="H1141" t="s">
        <v>590</v>
      </c>
      <c r="I1141" t="s">
        <v>1462</v>
      </c>
      <c r="L1141">
        <v>2</v>
      </c>
      <c r="M1141">
        <v>2420</v>
      </c>
      <c r="N1141">
        <v>-2</v>
      </c>
      <c r="O1141">
        <v>-2420</v>
      </c>
      <c r="Z1141" s="3">
        <f t="shared" si="17"/>
        <v>1210</v>
      </c>
    </row>
    <row r="1142" spans="1:26" hidden="1">
      <c r="A1142" t="s">
        <v>706</v>
      </c>
      <c r="B1142" s="6">
        <v>44287</v>
      </c>
      <c r="C1142" s="6">
        <v>44651</v>
      </c>
      <c r="D1142">
        <v>20210401</v>
      </c>
      <c r="E1142">
        <v>20220331</v>
      </c>
      <c r="F1142" t="s">
        <v>3068</v>
      </c>
      <c r="G1142" t="s">
        <v>3069</v>
      </c>
      <c r="H1142" t="s">
        <v>1882</v>
      </c>
      <c r="I1142" t="s">
        <v>1462</v>
      </c>
      <c r="L1142">
        <v>20</v>
      </c>
      <c r="M1142">
        <v>9500</v>
      </c>
      <c r="N1142">
        <v>-20</v>
      </c>
      <c r="O1142">
        <v>-9500</v>
      </c>
      <c r="Z1142" s="3">
        <f t="shared" si="17"/>
        <v>475</v>
      </c>
    </row>
    <row r="1143" spans="1:26" hidden="1">
      <c r="A1143" t="s">
        <v>706</v>
      </c>
      <c r="B1143" s="6">
        <v>44287</v>
      </c>
      <c r="C1143" s="6">
        <v>44651</v>
      </c>
      <c r="D1143">
        <v>20210401</v>
      </c>
      <c r="E1143">
        <v>20220331</v>
      </c>
      <c r="F1143" t="s">
        <v>3070</v>
      </c>
      <c r="G1143" t="s">
        <v>3071</v>
      </c>
      <c r="I1143" t="s">
        <v>1462</v>
      </c>
      <c r="L1143">
        <v>6</v>
      </c>
      <c r="M1143">
        <v>1992</v>
      </c>
      <c r="N1143">
        <v>-6</v>
      </c>
      <c r="O1143">
        <v>-1992</v>
      </c>
      <c r="Z1143" s="3">
        <f t="shared" si="17"/>
        <v>332</v>
      </c>
    </row>
    <row r="1144" spans="1:26" hidden="1">
      <c r="A1144" t="s">
        <v>706</v>
      </c>
      <c r="B1144" s="6">
        <v>44287</v>
      </c>
      <c r="C1144" s="6">
        <v>44651</v>
      </c>
      <c r="D1144">
        <v>20210401</v>
      </c>
      <c r="E1144">
        <v>20220331</v>
      </c>
      <c r="F1144" t="s">
        <v>3072</v>
      </c>
      <c r="G1144" t="s">
        <v>3073</v>
      </c>
      <c r="H1144" t="s">
        <v>590</v>
      </c>
      <c r="I1144" t="s">
        <v>1462</v>
      </c>
      <c r="L1144">
        <v>21</v>
      </c>
      <c r="M1144">
        <v>29137.5</v>
      </c>
      <c r="N1144">
        <v>-23</v>
      </c>
      <c r="O1144">
        <v>-31912.5</v>
      </c>
      <c r="P1144">
        <v>2</v>
      </c>
      <c r="Q1144">
        <v>2775</v>
      </c>
      <c r="Z1144" s="3">
        <f t="shared" si="17"/>
        <v>1387.5</v>
      </c>
    </row>
    <row r="1145" spans="1:26" hidden="1">
      <c r="A1145" t="s">
        <v>706</v>
      </c>
      <c r="B1145" s="6">
        <v>44287</v>
      </c>
      <c r="C1145" s="6">
        <v>44651</v>
      </c>
      <c r="D1145">
        <v>20210401</v>
      </c>
      <c r="E1145">
        <v>20220331</v>
      </c>
      <c r="F1145" t="s">
        <v>3074</v>
      </c>
      <c r="G1145" t="s">
        <v>3075</v>
      </c>
      <c r="H1145" t="s">
        <v>590</v>
      </c>
      <c r="I1145" t="s">
        <v>1462</v>
      </c>
      <c r="L1145">
        <v>8</v>
      </c>
      <c r="M1145">
        <v>12950</v>
      </c>
      <c r="N1145">
        <v>-10</v>
      </c>
      <c r="O1145">
        <v>-16187.5</v>
      </c>
      <c r="P1145">
        <v>2</v>
      </c>
      <c r="Q1145">
        <v>3237.5</v>
      </c>
      <c r="Z1145" s="3">
        <f t="shared" si="17"/>
        <v>1618.75</v>
      </c>
    </row>
    <row r="1146" spans="1:26" hidden="1">
      <c r="A1146" t="s">
        <v>706</v>
      </c>
      <c r="B1146" s="6">
        <v>44287</v>
      </c>
      <c r="C1146" s="6">
        <v>44651</v>
      </c>
      <c r="D1146">
        <v>20210401</v>
      </c>
      <c r="E1146">
        <v>20220331</v>
      </c>
      <c r="F1146" t="s">
        <v>3076</v>
      </c>
      <c r="G1146" t="s">
        <v>3075</v>
      </c>
      <c r="H1146" t="s">
        <v>590</v>
      </c>
      <c r="I1146" t="s">
        <v>1462</v>
      </c>
      <c r="L1146">
        <v>6</v>
      </c>
      <c r="M1146">
        <v>12210</v>
      </c>
      <c r="N1146">
        <v>-7</v>
      </c>
      <c r="O1146">
        <v>-14245</v>
      </c>
      <c r="P1146">
        <v>1</v>
      </c>
      <c r="Q1146">
        <v>2035</v>
      </c>
      <c r="Z1146" s="3">
        <f t="shared" si="17"/>
        <v>2035</v>
      </c>
    </row>
    <row r="1147" spans="1:26" hidden="1">
      <c r="A1147" t="s">
        <v>706</v>
      </c>
      <c r="B1147" s="6">
        <v>44287</v>
      </c>
      <c r="C1147" s="6">
        <v>44651</v>
      </c>
      <c r="D1147">
        <v>20210401</v>
      </c>
      <c r="E1147">
        <v>20220331</v>
      </c>
      <c r="F1147" t="s">
        <v>3077</v>
      </c>
      <c r="G1147" t="s">
        <v>3078</v>
      </c>
      <c r="H1147" t="s">
        <v>590</v>
      </c>
      <c r="I1147" t="s">
        <v>1462</v>
      </c>
      <c r="L1147">
        <v>1</v>
      </c>
      <c r="M1147">
        <v>408.27</v>
      </c>
      <c r="N1147">
        <v>-1</v>
      </c>
      <c r="O1147">
        <v>-408.27</v>
      </c>
      <c r="Z1147" s="3">
        <f t="shared" si="17"/>
        <v>408.27</v>
      </c>
    </row>
    <row r="1148" spans="1:26" hidden="1">
      <c r="A1148" t="s">
        <v>706</v>
      </c>
      <c r="B1148" s="6">
        <v>44287</v>
      </c>
      <c r="C1148" s="6">
        <v>44651</v>
      </c>
      <c r="D1148">
        <v>20210401</v>
      </c>
      <c r="E1148">
        <v>20220331</v>
      </c>
      <c r="F1148" t="s">
        <v>3079</v>
      </c>
      <c r="G1148" t="s">
        <v>3080</v>
      </c>
      <c r="H1148" t="s">
        <v>590</v>
      </c>
      <c r="I1148" t="s">
        <v>1462</v>
      </c>
      <c r="L1148">
        <v>1</v>
      </c>
      <c r="M1148">
        <v>2200</v>
      </c>
      <c r="N1148">
        <v>-1</v>
      </c>
      <c r="O1148">
        <v>-2200</v>
      </c>
      <c r="Z1148" s="3">
        <f t="shared" si="17"/>
        <v>2200</v>
      </c>
    </row>
    <row r="1149" spans="1:26" hidden="1">
      <c r="A1149" t="s">
        <v>706</v>
      </c>
      <c r="B1149" s="6">
        <v>44287</v>
      </c>
      <c r="C1149" s="6">
        <v>44651</v>
      </c>
      <c r="D1149">
        <v>20210401</v>
      </c>
      <c r="E1149">
        <v>20220331</v>
      </c>
      <c r="F1149" t="s">
        <v>3081</v>
      </c>
      <c r="G1149" t="s">
        <v>3082</v>
      </c>
      <c r="H1149" t="s">
        <v>590</v>
      </c>
      <c r="I1149" t="s">
        <v>1462</v>
      </c>
      <c r="L1149">
        <v>4</v>
      </c>
      <c r="M1149">
        <v>1200</v>
      </c>
      <c r="N1149">
        <v>-4</v>
      </c>
      <c r="O1149">
        <v>-1200</v>
      </c>
      <c r="Z1149" s="3">
        <f t="shared" si="17"/>
        <v>300</v>
      </c>
    </row>
    <row r="1150" spans="1:26" hidden="1">
      <c r="A1150" t="s">
        <v>706</v>
      </c>
      <c r="B1150" s="6">
        <v>44287</v>
      </c>
      <c r="C1150" s="6">
        <v>44651</v>
      </c>
      <c r="D1150">
        <v>20210401</v>
      </c>
      <c r="E1150">
        <v>20220331</v>
      </c>
      <c r="F1150" t="s">
        <v>3083</v>
      </c>
      <c r="G1150" t="s">
        <v>3084</v>
      </c>
      <c r="H1150" t="s">
        <v>590</v>
      </c>
      <c r="I1150" t="s">
        <v>1462</v>
      </c>
      <c r="K1150">
        <v>0.01</v>
      </c>
      <c r="N1150">
        <v>-8</v>
      </c>
      <c r="O1150">
        <v>-743.1</v>
      </c>
      <c r="P1150">
        <v>8</v>
      </c>
      <c r="Q1150">
        <v>743.1</v>
      </c>
      <c r="Y1150">
        <v>0.01</v>
      </c>
      <c r="Z1150" s="3" t="e">
        <f t="shared" si="17"/>
        <v>#DIV/0!</v>
      </c>
    </row>
    <row r="1151" spans="1:26" hidden="1">
      <c r="A1151" t="s">
        <v>706</v>
      </c>
      <c r="B1151" s="6">
        <v>44287</v>
      </c>
      <c r="C1151" s="6">
        <v>44651</v>
      </c>
      <c r="D1151">
        <v>20210401</v>
      </c>
      <c r="E1151">
        <v>20220331</v>
      </c>
      <c r="F1151" t="s">
        <v>3085</v>
      </c>
      <c r="G1151" t="s">
        <v>3086</v>
      </c>
      <c r="H1151" t="s">
        <v>590</v>
      </c>
      <c r="I1151" t="s">
        <v>1462</v>
      </c>
      <c r="L1151">
        <v>2</v>
      </c>
      <c r="M1151">
        <v>2810</v>
      </c>
      <c r="N1151">
        <v>-1</v>
      </c>
      <c r="O1151">
        <v>-1385</v>
      </c>
      <c r="X1151">
        <v>1</v>
      </c>
      <c r="Y1151">
        <v>1425</v>
      </c>
      <c r="Z1151" s="3">
        <f t="shared" si="17"/>
        <v>1385</v>
      </c>
    </row>
    <row r="1152" spans="1:26" hidden="1">
      <c r="A1152" t="s">
        <v>706</v>
      </c>
      <c r="B1152" s="6">
        <v>44287</v>
      </c>
      <c r="C1152" s="6">
        <v>44651</v>
      </c>
      <c r="D1152">
        <v>20210401</v>
      </c>
      <c r="E1152">
        <v>20220331</v>
      </c>
      <c r="F1152" t="s">
        <v>3087</v>
      </c>
      <c r="G1152" t="s">
        <v>3088</v>
      </c>
      <c r="H1152" t="s">
        <v>2073</v>
      </c>
      <c r="I1152" t="s">
        <v>1462</v>
      </c>
      <c r="N1152">
        <v>-1</v>
      </c>
      <c r="O1152">
        <v>-66.88</v>
      </c>
      <c r="P1152">
        <v>1</v>
      </c>
      <c r="Q1152">
        <v>66.88</v>
      </c>
      <c r="Z1152" s="3" t="e">
        <f t="shared" si="17"/>
        <v>#DIV/0!</v>
      </c>
    </row>
    <row r="1153" spans="1:26" hidden="1">
      <c r="A1153" t="s">
        <v>706</v>
      </c>
      <c r="B1153" s="6">
        <v>44287</v>
      </c>
      <c r="C1153" s="6">
        <v>44651</v>
      </c>
      <c r="D1153">
        <v>20210401</v>
      </c>
      <c r="E1153">
        <v>20220331</v>
      </c>
      <c r="F1153" t="s">
        <v>3089</v>
      </c>
      <c r="G1153" t="s">
        <v>3090</v>
      </c>
      <c r="H1153" t="s">
        <v>590</v>
      </c>
      <c r="I1153" t="s">
        <v>1462</v>
      </c>
      <c r="L1153">
        <v>10</v>
      </c>
      <c r="M1153">
        <v>6000</v>
      </c>
      <c r="X1153">
        <v>10</v>
      </c>
      <c r="Y1153">
        <v>6000</v>
      </c>
      <c r="Z1153" s="3">
        <f t="shared" si="17"/>
        <v>600</v>
      </c>
    </row>
    <row r="1154" spans="1:26" hidden="1">
      <c r="A1154" t="s">
        <v>706</v>
      </c>
      <c r="B1154" s="6">
        <v>44287</v>
      </c>
      <c r="C1154" s="6">
        <v>44651</v>
      </c>
      <c r="D1154">
        <v>20210401</v>
      </c>
      <c r="E1154">
        <v>20220331</v>
      </c>
      <c r="F1154" t="s">
        <v>3091</v>
      </c>
      <c r="G1154" t="s">
        <v>3092</v>
      </c>
      <c r="H1154" t="s">
        <v>590</v>
      </c>
      <c r="I1154" t="s">
        <v>1462</v>
      </c>
      <c r="L1154">
        <v>1</v>
      </c>
      <c r="M1154">
        <v>820</v>
      </c>
      <c r="N1154">
        <v>-1</v>
      </c>
      <c r="O1154">
        <v>-820</v>
      </c>
      <c r="Z1154" s="3">
        <f t="shared" si="17"/>
        <v>820</v>
      </c>
    </row>
    <row r="1155" spans="1:26" hidden="1">
      <c r="A1155" t="s">
        <v>706</v>
      </c>
      <c r="B1155" s="6">
        <v>44287</v>
      </c>
      <c r="C1155" s="6">
        <v>44651</v>
      </c>
      <c r="D1155">
        <v>20210401</v>
      </c>
      <c r="E1155">
        <v>20220331</v>
      </c>
      <c r="F1155" t="s">
        <v>3093</v>
      </c>
      <c r="G1155" t="s">
        <v>3094</v>
      </c>
      <c r="H1155" t="s">
        <v>590</v>
      </c>
      <c r="I1155" t="s">
        <v>1462</v>
      </c>
      <c r="L1155">
        <v>1</v>
      </c>
      <c r="M1155">
        <v>1250</v>
      </c>
      <c r="N1155">
        <v>-1</v>
      </c>
      <c r="O1155">
        <v>-1250</v>
      </c>
      <c r="Z1155" s="3">
        <f t="shared" ref="Z1155:Z1218" si="18">IFERROR((O1155+Q1155)/(N1155+P1155),Y1155/X1155)</f>
        <v>1250</v>
      </c>
    </row>
    <row r="1156" spans="1:26" hidden="1">
      <c r="A1156" t="s">
        <v>706</v>
      </c>
      <c r="B1156" s="6">
        <v>44287</v>
      </c>
      <c r="C1156" s="6">
        <v>44651</v>
      </c>
      <c r="D1156">
        <v>20210401</v>
      </c>
      <c r="E1156">
        <v>20220331</v>
      </c>
      <c r="F1156" t="s">
        <v>3095</v>
      </c>
      <c r="G1156" t="s">
        <v>3096</v>
      </c>
      <c r="H1156" t="s">
        <v>590</v>
      </c>
      <c r="I1156" t="s">
        <v>1462</v>
      </c>
      <c r="L1156">
        <v>2</v>
      </c>
      <c r="M1156">
        <v>1100</v>
      </c>
      <c r="N1156">
        <v>-2</v>
      </c>
      <c r="O1156">
        <v>-1100</v>
      </c>
      <c r="Z1156" s="3">
        <f t="shared" si="18"/>
        <v>550</v>
      </c>
    </row>
    <row r="1157" spans="1:26" hidden="1">
      <c r="A1157" t="s">
        <v>706</v>
      </c>
      <c r="B1157" s="6">
        <v>44287</v>
      </c>
      <c r="C1157" s="6">
        <v>44651</v>
      </c>
      <c r="D1157">
        <v>20210401</v>
      </c>
      <c r="E1157">
        <v>20220331</v>
      </c>
      <c r="F1157" t="s">
        <v>3097</v>
      </c>
      <c r="G1157" t="s">
        <v>3098</v>
      </c>
      <c r="H1157" t="s">
        <v>1973</v>
      </c>
      <c r="I1157" t="s">
        <v>1462</v>
      </c>
      <c r="L1157">
        <v>95</v>
      </c>
      <c r="M1157">
        <v>237.25</v>
      </c>
      <c r="N1157">
        <v>-95</v>
      </c>
      <c r="O1157">
        <v>-237.26</v>
      </c>
      <c r="Y1157">
        <v>-0.01</v>
      </c>
      <c r="Z1157" s="3">
        <f t="shared" si="18"/>
        <v>2.4974736842105263</v>
      </c>
    </row>
    <row r="1158" spans="1:26" hidden="1">
      <c r="A1158" t="s">
        <v>706</v>
      </c>
      <c r="B1158" s="6">
        <v>44287</v>
      </c>
      <c r="C1158" s="6">
        <v>44651</v>
      </c>
      <c r="D1158">
        <v>20210401</v>
      </c>
      <c r="E1158">
        <v>20220331</v>
      </c>
      <c r="F1158" t="s">
        <v>3099</v>
      </c>
      <c r="G1158" t="s">
        <v>3100</v>
      </c>
      <c r="H1158" t="s">
        <v>590</v>
      </c>
      <c r="I1158" t="s">
        <v>1462</v>
      </c>
      <c r="L1158">
        <v>1</v>
      </c>
      <c r="M1158">
        <v>2650</v>
      </c>
      <c r="N1158">
        <v>-1</v>
      </c>
      <c r="O1158">
        <v>-2650</v>
      </c>
      <c r="Z1158" s="3">
        <f t="shared" si="18"/>
        <v>2650</v>
      </c>
    </row>
    <row r="1159" spans="1:26" hidden="1">
      <c r="A1159" t="s">
        <v>706</v>
      </c>
      <c r="B1159" s="6">
        <v>44287</v>
      </c>
      <c r="C1159" s="6">
        <v>44651</v>
      </c>
      <c r="D1159">
        <v>20210401</v>
      </c>
      <c r="E1159">
        <v>20220331</v>
      </c>
      <c r="F1159" t="s">
        <v>3101</v>
      </c>
      <c r="G1159" t="s">
        <v>3102</v>
      </c>
      <c r="H1159" t="s">
        <v>590</v>
      </c>
      <c r="I1159" t="s">
        <v>1462</v>
      </c>
      <c r="L1159">
        <v>3</v>
      </c>
      <c r="M1159">
        <v>7200</v>
      </c>
      <c r="N1159">
        <v>-3</v>
      </c>
      <c r="O1159">
        <v>-7200</v>
      </c>
      <c r="Z1159" s="3">
        <f t="shared" si="18"/>
        <v>2400</v>
      </c>
    </row>
    <row r="1160" spans="1:26" hidden="1">
      <c r="A1160" t="s">
        <v>706</v>
      </c>
      <c r="B1160" s="6">
        <v>44287</v>
      </c>
      <c r="C1160" s="6">
        <v>44651</v>
      </c>
      <c r="D1160">
        <v>20210401</v>
      </c>
      <c r="E1160">
        <v>20220331</v>
      </c>
      <c r="F1160" t="s">
        <v>3103</v>
      </c>
      <c r="G1160" t="s">
        <v>3104</v>
      </c>
      <c r="H1160" t="s">
        <v>590</v>
      </c>
      <c r="I1160" t="s">
        <v>1462</v>
      </c>
      <c r="L1160">
        <v>1</v>
      </c>
      <c r="M1160">
        <v>10200</v>
      </c>
      <c r="N1160">
        <v>-1</v>
      </c>
      <c r="O1160">
        <v>-10200</v>
      </c>
      <c r="Z1160" s="3">
        <f t="shared" si="18"/>
        <v>10200</v>
      </c>
    </row>
    <row r="1161" spans="1:26" hidden="1">
      <c r="A1161" t="s">
        <v>706</v>
      </c>
      <c r="B1161" s="6">
        <v>44287</v>
      </c>
      <c r="C1161" s="6">
        <v>44651</v>
      </c>
      <c r="D1161">
        <v>20210401</v>
      </c>
      <c r="E1161">
        <v>20220331</v>
      </c>
      <c r="F1161" t="s">
        <v>3105</v>
      </c>
      <c r="G1161" t="s">
        <v>3106</v>
      </c>
      <c r="H1161" t="s">
        <v>590</v>
      </c>
      <c r="I1161" t="s">
        <v>1462</v>
      </c>
      <c r="L1161">
        <v>1</v>
      </c>
      <c r="M1161">
        <v>562.65</v>
      </c>
      <c r="N1161">
        <v>-1</v>
      </c>
      <c r="O1161">
        <v>-562.65</v>
      </c>
      <c r="Z1161" s="3">
        <f t="shared" si="18"/>
        <v>562.65</v>
      </c>
    </row>
    <row r="1162" spans="1:26" hidden="1">
      <c r="A1162" t="s">
        <v>706</v>
      </c>
      <c r="B1162" s="6">
        <v>44287</v>
      </c>
      <c r="C1162" s="6">
        <v>44651</v>
      </c>
      <c r="D1162">
        <v>20210401</v>
      </c>
      <c r="E1162">
        <v>20220331</v>
      </c>
      <c r="F1162" t="s">
        <v>3107</v>
      </c>
      <c r="G1162" t="s">
        <v>3108</v>
      </c>
      <c r="H1162" t="s">
        <v>590</v>
      </c>
      <c r="I1162" t="s">
        <v>1462</v>
      </c>
      <c r="L1162">
        <v>6.5</v>
      </c>
      <c r="M1162">
        <v>975</v>
      </c>
      <c r="N1162">
        <v>-6.5</v>
      </c>
      <c r="O1162">
        <v>-975</v>
      </c>
      <c r="Z1162" s="3">
        <f t="shared" si="18"/>
        <v>150</v>
      </c>
    </row>
    <row r="1163" spans="1:26" hidden="1">
      <c r="A1163" t="s">
        <v>706</v>
      </c>
      <c r="B1163" s="6">
        <v>44287</v>
      </c>
      <c r="C1163" s="6">
        <v>44651</v>
      </c>
      <c r="D1163">
        <v>20210401</v>
      </c>
      <c r="E1163">
        <v>20220331</v>
      </c>
      <c r="F1163" t="s">
        <v>3109</v>
      </c>
      <c r="G1163" t="s">
        <v>3110</v>
      </c>
      <c r="H1163" t="s">
        <v>590</v>
      </c>
      <c r="I1163" t="s">
        <v>1462</v>
      </c>
      <c r="L1163">
        <v>3</v>
      </c>
      <c r="M1163">
        <v>1095</v>
      </c>
      <c r="N1163">
        <v>-3</v>
      </c>
      <c r="O1163">
        <v>-1095</v>
      </c>
      <c r="Z1163" s="3">
        <f t="shared" si="18"/>
        <v>365</v>
      </c>
    </row>
    <row r="1164" spans="1:26" hidden="1">
      <c r="A1164" t="s">
        <v>706</v>
      </c>
      <c r="B1164" s="6">
        <v>44287</v>
      </c>
      <c r="C1164" s="6">
        <v>44651</v>
      </c>
      <c r="D1164">
        <v>20210401</v>
      </c>
      <c r="E1164">
        <v>20220331</v>
      </c>
      <c r="F1164" t="s">
        <v>3111</v>
      </c>
      <c r="G1164" t="s">
        <v>3112</v>
      </c>
      <c r="H1164" t="s">
        <v>590</v>
      </c>
      <c r="I1164" t="s">
        <v>1462</v>
      </c>
      <c r="L1164">
        <v>3</v>
      </c>
      <c r="M1164">
        <v>24750</v>
      </c>
      <c r="N1164">
        <v>-3</v>
      </c>
      <c r="O1164">
        <v>-24750</v>
      </c>
      <c r="Z1164" s="3">
        <f t="shared" si="18"/>
        <v>8250</v>
      </c>
    </row>
    <row r="1165" spans="1:26" hidden="1">
      <c r="A1165" t="s">
        <v>706</v>
      </c>
      <c r="B1165" s="6">
        <v>44287</v>
      </c>
      <c r="C1165" s="6">
        <v>44651</v>
      </c>
      <c r="D1165">
        <v>20210401</v>
      </c>
      <c r="E1165">
        <v>20220331</v>
      </c>
      <c r="F1165" t="s">
        <v>3113</v>
      </c>
      <c r="G1165" t="s">
        <v>3114</v>
      </c>
      <c r="H1165" t="s">
        <v>590</v>
      </c>
      <c r="I1165" t="s">
        <v>1462</v>
      </c>
      <c r="L1165">
        <v>4</v>
      </c>
      <c r="M1165">
        <v>6452</v>
      </c>
      <c r="N1165">
        <v>-4</v>
      </c>
      <c r="O1165">
        <v>-6452</v>
      </c>
      <c r="Z1165" s="3">
        <f t="shared" si="18"/>
        <v>1613</v>
      </c>
    </row>
    <row r="1166" spans="1:26" hidden="1">
      <c r="A1166" t="s">
        <v>706</v>
      </c>
      <c r="B1166" s="6">
        <v>44287</v>
      </c>
      <c r="C1166" s="6">
        <v>44651</v>
      </c>
      <c r="D1166">
        <v>20210401</v>
      </c>
      <c r="E1166">
        <v>20220331</v>
      </c>
      <c r="F1166" t="s">
        <v>3115</v>
      </c>
      <c r="G1166" t="s">
        <v>3116</v>
      </c>
      <c r="H1166" t="s">
        <v>590</v>
      </c>
      <c r="I1166" t="s">
        <v>1462</v>
      </c>
      <c r="L1166">
        <v>2</v>
      </c>
      <c r="M1166">
        <v>9854</v>
      </c>
      <c r="N1166">
        <v>-2</v>
      </c>
      <c r="O1166">
        <v>-9854</v>
      </c>
      <c r="Z1166" s="3">
        <f t="shared" si="18"/>
        <v>4927</v>
      </c>
    </row>
    <row r="1167" spans="1:26" hidden="1">
      <c r="A1167" t="s">
        <v>706</v>
      </c>
      <c r="B1167" s="6">
        <v>44287</v>
      </c>
      <c r="C1167" s="6">
        <v>44651</v>
      </c>
      <c r="D1167">
        <v>20210401</v>
      </c>
      <c r="E1167">
        <v>20220331</v>
      </c>
      <c r="F1167" t="s">
        <v>3117</v>
      </c>
      <c r="G1167" t="s">
        <v>3118</v>
      </c>
      <c r="H1167" t="s">
        <v>590</v>
      </c>
      <c r="I1167" t="s">
        <v>1462</v>
      </c>
      <c r="L1167">
        <v>9</v>
      </c>
      <c r="M1167">
        <v>9125.43</v>
      </c>
      <c r="N1167">
        <v>-9</v>
      </c>
      <c r="O1167">
        <v>-9125.43</v>
      </c>
      <c r="Z1167" s="3">
        <f t="shared" si="18"/>
        <v>1013.9366666666667</v>
      </c>
    </row>
    <row r="1168" spans="1:26" hidden="1">
      <c r="A1168" t="s">
        <v>706</v>
      </c>
      <c r="B1168" s="6">
        <v>44287</v>
      </c>
      <c r="C1168" s="6">
        <v>44651</v>
      </c>
      <c r="D1168">
        <v>20210401</v>
      </c>
      <c r="E1168">
        <v>20220331</v>
      </c>
      <c r="F1168" t="s">
        <v>3119</v>
      </c>
      <c r="G1168" t="s">
        <v>3120</v>
      </c>
      <c r="H1168" t="s">
        <v>590</v>
      </c>
      <c r="I1168" t="s">
        <v>1462</v>
      </c>
      <c r="L1168">
        <v>1</v>
      </c>
      <c r="M1168">
        <v>54471</v>
      </c>
      <c r="N1168">
        <v>-1</v>
      </c>
      <c r="O1168">
        <v>-54471</v>
      </c>
      <c r="Z1168" s="3">
        <f t="shared" si="18"/>
        <v>54471</v>
      </c>
    </row>
    <row r="1169" spans="1:26" hidden="1">
      <c r="A1169" t="s">
        <v>706</v>
      </c>
      <c r="B1169" s="6">
        <v>44287</v>
      </c>
      <c r="C1169" s="6">
        <v>44651</v>
      </c>
      <c r="D1169">
        <v>20210401</v>
      </c>
      <c r="E1169">
        <v>20220331</v>
      </c>
      <c r="F1169" t="s">
        <v>3121</v>
      </c>
      <c r="G1169" t="s">
        <v>3122</v>
      </c>
      <c r="H1169" t="s">
        <v>590</v>
      </c>
      <c r="I1169" t="s">
        <v>1462</v>
      </c>
      <c r="L1169">
        <v>1</v>
      </c>
      <c r="M1169">
        <v>18155</v>
      </c>
      <c r="N1169">
        <v>-1</v>
      </c>
      <c r="O1169">
        <v>-18155</v>
      </c>
      <c r="Z1169" s="3">
        <f t="shared" si="18"/>
        <v>18155</v>
      </c>
    </row>
    <row r="1170" spans="1:26" hidden="1">
      <c r="A1170" t="s">
        <v>706</v>
      </c>
      <c r="B1170" s="6">
        <v>44287</v>
      </c>
      <c r="C1170" s="6">
        <v>44651</v>
      </c>
      <c r="D1170">
        <v>20210401</v>
      </c>
      <c r="E1170">
        <v>20220331</v>
      </c>
      <c r="F1170" t="s">
        <v>3123</v>
      </c>
      <c r="G1170" t="s">
        <v>3124</v>
      </c>
      <c r="H1170" t="s">
        <v>590</v>
      </c>
      <c r="I1170" t="s">
        <v>1462</v>
      </c>
      <c r="L1170">
        <v>14</v>
      </c>
      <c r="M1170">
        <v>9380</v>
      </c>
      <c r="N1170">
        <v>-14</v>
      </c>
      <c r="O1170">
        <v>-9380</v>
      </c>
      <c r="Z1170" s="3">
        <f t="shared" si="18"/>
        <v>670</v>
      </c>
    </row>
    <row r="1171" spans="1:26" hidden="1">
      <c r="A1171" t="s">
        <v>706</v>
      </c>
      <c r="B1171" s="6">
        <v>44287</v>
      </c>
      <c r="C1171" s="6">
        <v>44651</v>
      </c>
      <c r="D1171">
        <v>20210401</v>
      </c>
      <c r="E1171">
        <v>20220331</v>
      </c>
      <c r="F1171" t="s">
        <v>3125</v>
      </c>
      <c r="G1171" t="s">
        <v>3126</v>
      </c>
      <c r="H1171" t="s">
        <v>590</v>
      </c>
      <c r="I1171" t="s">
        <v>1462</v>
      </c>
      <c r="L1171">
        <v>200</v>
      </c>
      <c r="M1171">
        <v>8000</v>
      </c>
      <c r="N1171">
        <v>-200</v>
      </c>
      <c r="O1171">
        <v>-8000</v>
      </c>
      <c r="Z1171" s="3">
        <f t="shared" si="18"/>
        <v>40</v>
      </c>
    </row>
    <row r="1172" spans="1:26" hidden="1">
      <c r="A1172" t="s">
        <v>706</v>
      </c>
      <c r="B1172" s="6">
        <v>44287</v>
      </c>
      <c r="C1172" s="6">
        <v>44651</v>
      </c>
      <c r="D1172">
        <v>20210401</v>
      </c>
      <c r="E1172">
        <v>20220331</v>
      </c>
      <c r="F1172" t="s">
        <v>3127</v>
      </c>
      <c r="G1172" t="s">
        <v>3128</v>
      </c>
      <c r="H1172" t="s">
        <v>590</v>
      </c>
      <c r="I1172" t="s">
        <v>1462</v>
      </c>
      <c r="L1172">
        <v>48</v>
      </c>
      <c r="M1172">
        <v>2160</v>
      </c>
      <c r="N1172">
        <v>-48</v>
      </c>
      <c r="O1172">
        <v>-2160</v>
      </c>
      <c r="Z1172" s="3">
        <f t="shared" si="18"/>
        <v>45</v>
      </c>
    </row>
    <row r="1173" spans="1:26" hidden="1">
      <c r="A1173" t="s">
        <v>706</v>
      </c>
      <c r="B1173" s="6">
        <v>44287</v>
      </c>
      <c r="C1173" s="6">
        <v>44651</v>
      </c>
      <c r="D1173">
        <v>20210401</v>
      </c>
      <c r="E1173">
        <v>20220331</v>
      </c>
      <c r="F1173" t="s">
        <v>3129</v>
      </c>
      <c r="G1173" t="s">
        <v>3130</v>
      </c>
      <c r="H1173" t="s">
        <v>590</v>
      </c>
      <c r="I1173" t="s">
        <v>1462</v>
      </c>
      <c r="L1173">
        <v>10</v>
      </c>
      <c r="M1173">
        <v>210</v>
      </c>
      <c r="N1173">
        <v>-10</v>
      </c>
      <c r="O1173">
        <v>-210</v>
      </c>
      <c r="Z1173" s="3">
        <f t="shared" si="18"/>
        <v>21</v>
      </c>
    </row>
    <row r="1174" spans="1:26" hidden="1">
      <c r="A1174" t="s">
        <v>706</v>
      </c>
      <c r="B1174" s="6">
        <v>44287</v>
      </c>
      <c r="C1174" s="6">
        <v>44651</v>
      </c>
      <c r="D1174">
        <v>20210401</v>
      </c>
      <c r="E1174">
        <v>20220331</v>
      </c>
      <c r="F1174" t="s">
        <v>3131</v>
      </c>
      <c r="G1174" t="s">
        <v>3132</v>
      </c>
      <c r="H1174" t="s">
        <v>590</v>
      </c>
      <c r="I1174" t="s">
        <v>1462</v>
      </c>
      <c r="L1174">
        <v>20</v>
      </c>
      <c r="M1174">
        <v>576</v>
      </c>
      <c r="N1174">
        <v>-20</v>
      </c>
      <c r="O1174">
        <v>-576</v>
      </c>
      <c r="Z1174" s="3">
        <f t="shared" si="18"/>
        <v>28.8</v>
      </c>
    </row>
    <row r="1175" spans="1:26" hidden="1">
      <c r="A1175" t="s">
        <v>706</v>
      </c>
      <c r="B1175" s="6">
        <v>44287</v>
      </c>
      <c r="C1175" s="6">
        <v>44651</v>
      </c>
      <c r="D1175">
        <v>20210401</v>
      </c>
      <c r="E1175">
        <v>20220331</v>
      </c>
      <c r="F1175" t="s">
        <v>3133</v>
      </c>
      <c r="G1175" t="s">
        <v>3134</v>
      </c>
      <c r="H1175" t="s">
        <v>590</v>
      </c>
      <c r="I1175" t="s">
        <v>805</v>
      </c>
      <c r="L1175">
        <v>1</v>
      </c>
      <c r="M1175">
        <v>5800</v>
      </c>
      <c r="N1175">
        <v>-1</v>
      </c>
      <c r="O1175">
        <v>-5800</v>
      </c>
      <c r="Z1175" s="3">
        <f t="shared" si="18"/>
        <v>5800</v>
      </c>
    </row>
    <row r="1176" spans="1:26" hidden="1">
      <c r="A1176" t="s">
        <v>706</v>
      </c>
      <c r="B1176" s="6">
        <v>44287</v>
      </c>
      <c r="C1176" s="6">
        <v>44651</v>
      </c>
      <c r="D1176">
        <v>20210401</v>
      </c>
      <c r="E1176">
        <v>20220331</v>
      </c>
      <c r="F1176" t="s">
        <v>3135</v>
      </c>
      <c r="G1176" t="s">
        <v>3136</v>
      </c>
      <c r="H1176" t="s">
        <v>590</v>
      </c>
      <c r="I1176" t="s">
        <v>805</v>
      </c>
      <c r="L1176">
        <v>10</v>
      </c>
      <c r="M1176">
        <v>2500</v>
      </c>
      <c r="N1176">
        <v>-10</v>
      </c>
      <c r="O1176">
        <v>-2500</v>
      </c>
      <c r="Z1176" s="3">
        <f t="shared" si="18"/>
        <v>250</v>
      </c>
    </row>
    <row r="1177" spans="1:26" hidden="1">
      <c r="A1177" t="s">
        <v>706</v>
      </c>
      <c r="B1177" s="6">
        <v>44287</v>
      </c>
      <c r="C1177" s="6">
        <v>44651</v>
      </c>
      <c r="D1177">
        <v>20210401</v>
      </c>
      <c r="E1177">
        <v>20220331</v>
      </c>
      <c r="F1177" t="s">
        <v>3137</v>
      </c>
      <c r="G1177" t="s">
        <v>3138</v>
      </c>
      <c r="H1177" t="s">
        <v>590</v>
      </c>
      <c r="I1177" t="s">
        <v>805</v>
      </c>
      <c r="L1177">
        <v>5</v>
      </c>
      <c r="M1177">
        <v>1300</v>
      </c>
      <c r="N1177">
        <v>-5</v>
      </c>
      <c r="O1177">
        <v>-1300</v>
      </c>
      <c r="Z1177" s="3">
        <f t="shared" si="18"/>
        <v>260</v>
      </c>
    </row>
    <row r="1178" spans="1:26" hidden="1">
      <c r="A1178" t="s">
        <v>706</v>
      </c>
      <c r="B1178" s="6">
        <v>44287</v>
      </c>
      <c r="C1178" s="6">
        <v>44651</v>
      </c>
      <c r="D1178">
        <v>20210401</v>
      </c>
      <c r="E1178">
        <v>20220331</v>
      </c>
      <c r="F1178" t="s">
        <v>3139</v>
      </c>
      <c r="G1178" t="s">
        <v>3140</v>
      </c>
      <c r="H1178" t="s">
        <v>590</v>
      </c>
      <c r="I1178" t="s">
        <v>1462</v>
      </c>
      <c r="L1178">
        <v>5</v>
      </c>
      <c r="M1178">
        <v>85000</v>
      </c>
      <c r="N1178">
        <v>-5</v>
      </c>
      <c r="O1178">
        <v>-85000</v>
      </c>
      <c r="Z1178" s="3">
        <f t="shared" si="18"/>
        <v>17000</v>
      </c>
    </row>
    <row r="1179" spans="1:26" hidden="1">
      <c r="A1179" t="s">
        <v>706</v>
      </c>
      <c r="B1179" s="6">
        <v>44287</v>
      </c>
      <c r="C1179" s="6">
        <v>44651</v>
      </c>
      <c r="D1179">
        <v>20210401</v>
      </c>
      <c r="E1179">
        <v>20220331</v>
      </c>
      <c r="F1179" t="s">
        <v>3141</v>
      </c>
      <c r="G1179" t="s">
        <v>3142</v>
      </c>
      <c r="H1179" t="s">
        <v>590</v>
      </c>
      <c r="I1179" t="s">
        <v>1462</v>
      </c>
      <c r="L1179">
        <v>1</v>
      </c>
      <c r="M1179">
        <v>2327.5</v>
      </c>
      <c r="N1179">
        <v>-1</v>
      </c>
      <c r="O1179">
        <v>-2327.5</v>
      </c>
      <c r="Z1179" s="3">
        <f t="shared" si="18"/>
        <v>2327.5</v>
      </c>
    </row>
    <row r="1180" spans="1:26" hidden="1">
      <c r="A1180" t="s">
        <v>706</v>
      </c>
      <c r="B1180" s="6">
        <v>44287</v>
      </c>
      <c r="C1180" s="6">
        <v>44651</v>
      </c>
      <c r="D1180">
        <v>20210401</v>
      </c>
      <c r="E1180">
        <v>20220331</v>
      </c>
      <c r="F1180" t="s">
        <v>3143</v>
      </c>
      <c r="G1180" t="s">
        <v>3144</v>
      </c>
      <c r="H1180" t="s">
        <v>590</v>
      </c>
      <c r="I1180" t="s">
        <v>1462</v>
      </c>
      <c r="L1180">
        <v>2</v>
      </c>
      <c r="M1180">
        <v>44800</v>
      </c>
      <c r="N1180">
        <v>-2</v>
      </c>
      <c r="O1180">
        <v>-44800</v>
      </c>
      <c r="Z1180" s="3">
        <f t="shared" si="18"/>
        <v>22400</v>
      </c>
    </row>
    <row r="1181" spans="1:26" hidden="1">
      <c r="A1181" t="s">
        <v>706</v>
      </c>
      <c r="B1181" s="6">
        <v>44287</v>
      </c>
      <c r="C1181" s="6">
        <v>44651</v>
      </c>
      <c r="D1181">
        <v>20210401</v>
      </c>
      <c r="E1181">
        <v>20220331</v>
      </c>
      <c r="F1181" t="s">
        <v>3145</v>
      </c>
      <c r="G1181" t="s">
        <v>3146</v>
      </c>
      <c r="H1181" t="s">
        <v>590</v>
      </c>
      <c r="I1181" t="s">
        <v>1462</v>
      </c>
      <c r="L1181">
        <v>2</v>
      </c>
      <c r="M1181">
        <v>3400</v>
      </c>
      <c r="N1181">
        <v>-2</v>
      </c>
      <c r="O1181">
        <v>-3400</v>
      </c>
      <c r="Z1181" s="3">
        <f t="shared" si="18"/>
        <v>1700</v>
      </c>
    </row>
    <row r="1182" spans="1:26" hidden="1">
      <c r="A1182" t="s">
        <v>706</v>
      </c>
      <c r="B1182" s="6">
        <v>44287</v>
      </c>
      <c r="C1182" s="6">
        <v>44651</v>
      </c>
      <c r="D1182">
        <v>20210401</v>
      </c>
      <c r="E1182">
        <v>20220331</v>
      </c>
      <c r="F1182" t="s">
        <v>3147</v>
      </c>
      <c r="G1182" t="s">
        <v>3148</v>
      </c>
      <c r="H1182" t="s">
        <v>590</v>
      </c>
      <c r="I1182" t="s">
        <v>1462</v>
      </c>
      <c r="L1182">
        <v>2</v>
      </c>
      <c r="M1182">
        <v>3907.2</v>
      </c>
      <c r="N1182">
        <v>-1</v>
      </c>
      <c r="O1182">
        <v>-1953.6</v>
      </c>
      <c r="X1182">
        <v>1</v>
      </c>
      <c r="Y1182">
        <v>1953.6</v>
      </c>
      <c r="Z1182" s="3">
        <f t="shared" si="18"/>
        <v>1953.6</v>
      </c>
    </row>
    <row r="1183" spans="1:26" hidden="1">
      <c r="A1183" t="s">
        <v>706</v>
      </c>
      <c r="B1183" s="6">
        <v>44287</v>
      </c>
      <c r="C1183" s="6">
        <v>44651</v>
      </c>
      <c r="D1183">
        <v>20210401</v>
      </c>
      <c r="E1183">
        <v>20220331</v>
      </c>
      <c r="F1183" t="s">
        <v>3149</v>
      </c>
      <c r="G1183" t="s">
        <v>3150</v>
      </c>
      <c r="H1183" t="s">
        <v>590</v>
      </c>
      <c r="I1183" t="s">
        <v>774</v>
      </c>
      <c r="J1183">
        <v>1</v>
      </c>
      <c r="K1183">
        <v>95000</v>
      </c>
      <c r="N1183">
        <v>-1</v>
      </c>
      <c r="O1183">
        <v>-95000</v>
      </c>
      <c r="Z1183" s="3">
        <f t="shared" si="18"/>
        <v>95000</v>
      </c>
    </row>
    <row r="1184" spans="1:26" hidden="1">
      <c r="A1184" t="s">
        <v>706</v>
      </c>
      <c r="B1184" s="6">
        <v>44287</v>
      </c>
      <c r="C1184" s="6">
        <v>44651</v>
      </c>
      <c r="D1184">
        <v>20210401</v>
      </c>
      <c r="E1184">
        <v>20220331</v>
      </c>
      <c r="F1184" t="s">
        <v>3151</v>
      </c>
      <c r="G1184" t="s">
        <v>3152</v>
      </c>
      <c r="H1184" t="s">
        <v>590</v>
      </c>
      <c r="I1184" t="s">
        <v>774</v>
      </c>
      <c r="J1184">
        <v>1</v>
      </c>
      <c r="K1184">
        <v>92000</v>
      </c>
      <c r="N1184">
        <v>-1</v>
      </c>
      <c r="O1184">
        <v>-92000</v>
      </c>
      <c r="Z1184" s="3">
        <f t="shared" si="18"/>
        <v>92000</v>
      </c>
    </row>
    <row r="1185" spans="1:26" hidden="1">
      <c r="A1185" t="s">
        <v>706</v>
      </c>
      <c r="B1185" s="6">
        <v>44287</v>
      </c>
      <c r="C1185" s="6">
        <v>44651</v>
      </c>
      <c r="D1185">
        <v>20210401</v>
      </c>
      <c r="E1185">
        <v>20220331</v>
      </c>
      <c r="F1185" t="s">
        <v>3153</v>
      </c>
      <c r="G1185" t="s">
        <v>3154</v>
      </c>
      <c r="H1185" t="s">
        <v>590</v>
      </c>
      <c r="I1185" t="s">
        <v>774</v>
      </c>
      <c r="P1185">
        <v>1</v>
      </c>
      <c r="Q1185">
        <v>95353</v>
      </c>
      <c r="R1185">
        <v>-1</v>
      </c>
      <c r="S1185">
        <v>-95353</v>
      </c>
      <c r="Z1185" s="3">
        <f t="shared" si="18"/>
        <v>95353</v>
      </c>
    </row>
    <row r="1186" spans="1:26" hidden="1">
      <c r="A1186" t="s">
        <v>706</v>
      </c>
      <c r="B1186" s="6">
        <v>44287</v>
      </c>
      <c r="C1186" s="6">
        <v>44651</v>
      </c>
      <c r="D1186">
        <v>20210401</v>
      </c>
      <c r="E1186">
        <v>20220331</v>
      </c>
      <c r="F1186" t="s">
        <v>3155</v>
      </c>
      <c r="G1186" t="s">
        <v>3156</v>
      </c>
      <c r="H1186" t="s">
        <v>590</v>
      </c>
      <c r="I1186" t="s">
        <v>774</v>
      </c>
      <c r="L1186">
        <v>1</v>
      </c>
      <c r="M1186">
        <v>94000</v>
      </c>
      <c r="N1186">
        <v>-1</v>
      </c>
      <c r="O1186">
        <v>-94000</v>
      </c>
      <c r="Z1186" s="3">
        <f t="shared" si="18"/>
        <v>94000</v>
      </c>
    </row>
    <row r="1187" spans="1:26" hidden="1">
      <c r="A1187" t="s">
        <v>706</v>
      </c>
      <c r="B1187" s="6">
        <v>44287</v>
      </c>
      <c r="C1187" s="6">
        <v>44651</v>
      </c>
      <c r="D1187">
        <v>20210401</v>
      </c>
      <c r="E1187">
        <v>20220331</v>
      </c>
      <c r="F1187" t="s">
        <v>3157</v>
      </c>
      <c r="G1187" t="s">
        <v>3158</v>
      </c>
      <c r="H1187" t="s">
        <v>590</v>
      </c>
      <c r="I1187" t="s">
        <v>774</v>
      </c>
      <c r="P1187">
        <v>1</v>
      </c>
      <c r="Q1187">
        <v>104650</v>
      </c>
      <c r="R1187">
        <v>-1</v>
      </c>
      <c r="S1187">
        <v>-104650</v>
      </c>
      <c r="Z1187" s="3">
        <f t="shared" si="18"/>
        <v>104650</v>
      </c>
    </row>
    <row r="1188" spans="1:26" hidden="1">
      <c r="A1188" t="s">
        <v>706</v>
      </c>
      <c r="B1188" s="6">
        <v>44287</v>
      </c>
      <c r="C1188" s="6">
        <v>44651</v>
      </c>
      <c r="D1188">
        <v>20210401</v>
      </c>
      <c r="E1188">
        <v>20220331</v>
      </c>
      <c r="F1188" t="s">
        <v>3159</v>
      </c>
      <c r="G1188" t="s">
        <v>3160</v>
      </c>
      <c r="H1188" t="s">
        <v>613</v>
      </c>
      <c r="I1188" t="s">
        <v>805</v>
      </c>
      <c r="L1188">
        <v>552</v>
      </c>
      <c r="M1188">
        <v>33758</v>
      </c>
      <c r="N1188">
        <v>-552</v>
      </c>
      <c r="O1188">
        <v>-33442.68</v>
      </c>
      <c r="Y1188">
        <v>315.32</v>
      </c>
      <c r="Z1188" s="3">
        <f t="shared" si="18"/>
        <v>60.584565217391308</v>
      </c>
    </row>
    <row r="1189" spans="1:26" hidden="1">
      <c r="A1189" t="s">
        <v>706</v>
      </c>
      <c r="B1189" s="6">
        <v>44287</v>
      </c>
      <c r="C1189" s="6">
        <v>44651</v>
      </c>
      <c r="D1189">
        <v>20210401</v>
      </c>
      <c r="E1189">
        <v>20220331</v>
      </c>
      <c r="F1189" t="s">
        <v>3161</v>
      </c>
      <c r="G1189" t="s">
        <v>3162</v>
      </c>
      <c r="H1189" t="s">
        <v>2073</v>
      </c>
      <c r="I1189" t="s">
        <v>805</v>
      </c>
      <c r="L1189">
        <v>200</v>
      </c>
      <c r="M1189">
        <v>22632</v>
      </c>
      <c r="N1189">
        <v>-200</v>
      </c>
      <c r="O1189">
        <v>-22632</v>
      </c>
      <c r="Z1189" s="3">
        <f t="shared" si="18"/>
        <v>113.16</v>
      </c>
    </row>
    <row r="1190" spans="1:26" hidden="1">
      <c r="A1190" t="s">
        <v>706</v>
      </c>
      <c r="B1190" s="6">
        <v>44287</v>
      </c>
      <c r="C1190" s="6">
        <v>44651</v>
      </c>
      <c r="D1190">
        <v>20210401</v>
      </c>
      <c r="E1190">
        <v>20220331</v>
      </c>
      <c r="F1190" t="s">
        <v>3163</v>
      </c>
      <c r="G1190" t="s">
        <v>3164</v>
      </c>
      <c r="H1190" t="s">
        <v>613</v>
      </c>
      <c r="I1190" t="s">
        <v>805</v>
      </c>
      <c r="L1190">
        <v>245</v>
      </c>
      <c r="M1190">
        <v>17885</v>
      </c>
      <c r="N1190">
        <v>-245</v>
      </c>
      <c r="O1190">
        <v>-17885</v>
      </c>
      <c r="Z1190" s="3">
        <f t="shared" si="18"/>
        <v>73</v>
      </c>
    </row>
    <row r="1191" spans="1:26" hidden="1">
      <c r="A1191" t="s">
        <v>706</v>
      </c>
      <c r="B1191" s="6">
        <v>44287</v>
      </c>
      <c r="C1191" s="6">
        <v>44651</v>
      </c>
      <c r="D1191">
        <v>20210401</v>
      </c>
      <c r="E1191">
        <v>20220331</v>
      </c>
      <c r="F1191" t="s">
        <v>3165</v>
      </c>
      <c r="G1191" t="s">
        <v>3166</v>
      </c>
      <c r="H1191" t="s">
        <v>613</v>
      </c>
      <c r="I1191" t="s">
        <v>805</v>
      </c>
      <c r="L1191">
        <v>450</v>
      </c>
      <c r="M1191">
        <v>37710</v>
      </c>
      <c r="N1191">
        <v>-450</v>
      </c>
      <c r="O1191">
        <v>-37710</v>
      </c>
      <c r="Z1191" s="3">
        <f t="shared" si="18"/>
        <v>83.8</v>
      </c>
    </row>
    <row r="1192" spans="1:26" hidden="1">
      <c r="A1192" t="s">
        <v>706</v>
      </c>
      <c r="B1192" s="6">
        <v>44287</v>
      </c>
      <c r="C1192" s="6">
        <v>44651</v>
      </c>
      <c r="D1192">
        <v>20210401</v>
      </c>
      <c r="E1192">
        <v>20220331</v>
      </c>
      <c r="F1192" t="s">
        <v>3167</v>
      </c>
      <c r="G1192" t="s">
        <v>3168</v>
      </c>
      <c r="H1192" t="s">
        <v>613</v>
      </c>
      <c r="I1192" t="s">
        <v>805</v>
      </c>
      <c r="L1192">
        <v>148</v>
      </c>
      <c r="M1192">
        <v>11100</v>
      </c>
      <c r="N1192">
        <v>-148</v>
      </c>
      <c r="O1192">
        <v>-11100</v>
      </c>
      <c r="Z1192" s="3">
        <f t="shared" si="18"/>
        <v>75</v>
      </c>
    </row>
    <row r="1193" spans="1:26" hidden="1">
      <c r="A1193" t="s">
        <v>706</v>
      </c>
      <c r="B1193" s="6">
        <v>44287</v>
      </c>
      <c r="C1193" s="6">
        <v>44651</v>
      </c>
      <c r="D1193">
        <v>20210401</v>
      </c>
      <c r="E1193">
        <v>20220331</v>
      </c>
      <c r="F1193" t="s">
        <v>3169</v>
      </c>
      <c r="G1193" t="s">
        <v>3170</v>
      </c>
      <c r="H1193" t="s">
        <v>613</v>
      </c>
      <c r="I1193" t="s">
        <v>1462</v>
      </c>
      <c r="J1193">
        <v>368.8</v>
      </c>
      <c r="K1193">
        <v>16596</v>
      </c>
      <c r="N1193">
        <v>-368.8</v>
      </c>
      <c r="O1193">
        <v>-16596</v>
      </c>
      <c r="Z1193" s="3">
        <f t="shared" si="18"/>
        <v>45</v>
      </c>
    </row>
    <row r="1194" spans="1:26" hidden="1">
      <c r="A1194" t="s">
        <v>706</v>
      </c>
      <c r="B1194" s="6">
        <v>44287</v>
      </c>
      <c r="C1194" s="6">
        <v>44651</v>
      </c>
      <c r="D1194">
        <v>20210401</v>
      </c>
      <c r="E1194">
        <v>20220331</v>
      </c>
      <c r="F1194" t="s">
        <v>3171</v>
      </c>
      <c r="G1194" t="s">
        <v>3172</v>
      </c>
      <c r="H1194" t="s">
        <v>590</v>
      </c>
      <c r="I1194" t="s">
        <v>805</v>
      </c>
      <c r="L1194">
        <v>27</v>
      </c>
      <c r="M1194">
        <v>254950</v>
      </c>
      <c r="N1194">
        <v>-27</v>
      </c>
      <c r="O1194">
        <v>-254950</v>
      </c>
      <c r="Z1194" s="3">
        <f t="shared" si="18"/>
        <v>9442.5925925925931</v>
      </c>
    </row>
    <row r="1195" spans="1:26" hidden="1">
      <c r="A1195" t="s">
        <v>706</v>
      </c>
      <c r="B1195" s="6">
        <v>44287</v>
      </c>
      <c r="C1195" s="6">
        <v>44651</v>
      </c>
      <c r="D1195">
        <v>20210401</v>
      </c>
      <c r="E1195">
        <v>20220331</v>
      </c>
      <c r="F1195" t="s">
        <v>3173</v>
      </c>
      <c r="G1195" t="s">
        <v>3174</v>
      </c>
      <c r="H1195" t="s">
        <v>613</v>
      </c>
      <c r="I1195" t="s">
        <v>805</v>
      </c>
      <c r="L1195">
        <v>430</v>
      </c>
      <c r="M1195">
        <v>31020</v>
      </c>
      <c r="N1195">
        <v>-430</v>
      </c>
      <c r="O1195">
        <v>-31020</v>
      </c>
      <c r="Z1195" s="3">
        <f t="shared" si="18"/>
        <v>72.139534883720927</v>
      </c>
    </row>
    <row r="1196" spans="1:26" hidden="1">
      <c r="A1196" t="s">
        <v>706</v>
      </c>
      <c r="B1196" s="6">
        <v>44287</v>
      </c>
      <c r="C1196" s="6">
        <v>44651</v>
      </c>
      <c r="D1196">
        <v>20210401</v>
      </c>
      <c r="E1196">
        <v>20220331</v>
      </c>
      <c r="F1196" t="s">
        <v>3175</v>
      </c>
      <c r="G1196" t="s">
        <v>3176</v>
      </c>
      <c r="H1196" t="s">
        <v>613</v>
      </c>
      <c r="I1196" t="s">
        <v>805</v>
      </c>
      <c r="L1196">
        <v>100</v>
      </c>
      <c r="M1196">
        <v>7550</v>
      </c>
      <c r="N1196">
        <v>-100</v>
      </c>
      <c r="O1196">
        <v>-7550</v>
      </c>
      <c r="Z1196" s="3">
        <f t="shared" si="18"/>
        <v>75.5</v>
      </c>
    </row>
    <row r="1197" spans="1:26" hidden="1">
      <c r="A1197" t="s">
        <v>706</v>
      </c>
      <c r="B1197" s="6">
        <v>44287</v>
      </c>
      <c r="C1197" s="6">
        <v>44651</v>
      </c>
      <c r="D1197">
        <v>20210401</v>
      </c>
      <c r="E1197">
        <v>20220331</v>
      </c>
      <c r="F1197" t="s">
        <v>3177</v>
      </c>
      <c r="G1197" t="s">
        <v>3178</v>
      </c>
      <c r="H1197" t="s">
        <v>613</v>
      </c>
      <c r="I1197" t="s">
        <v>805</v>
      </c>
      <c r="L1197">
        <v>208</v>
      </c>
      <c r="M1197">
        <v>14976</v>
      </c>
      <c r="N1197">
        <v>-208</v>
      </c>
      <c r="O1197">
        <v>-14976</v>
      </c>
      <c r="Z1197" s="3">
        <f t="shared" si="18"/>
        <v>72</v>
      </c>
    </row>
    <row r="1198" spans="1:26" hidden="1">
      <c r="A1198" t="s">
        <v>706</v>
      </c>
      <c r="B1198" s="6">
        <v>44287</v>
      </c>
      <c r="C1198" s="6">
        <v>44651</v>
      </c>
      <c r="D1198">
        <v>20210401</v>
      </c>
      <c r="E1198">
        <v>20220331</v>
      </c>
      <c r="F1198" t="s">
        <v>3179</v>
      </c>
      <c r="G1198" t="s">
        <v>3180</v>
      </c>
      <c r="H1198" t="s">
        <v>2073</v>
      </c>
      <c r="I1198" t="s">
        <v>805</v>
      </c>
      <c r="L1198">
        <v>302</v>
      </c>
      <c r="M1198">
        <v>63891.12</v>
      </c>
      <c r="N1198">
        <v>-302</v>
      </c>
      <c r="O1198">
        <v>-63891.12</v>
      </c>
      <c r="Z1198" s="3">
        <f t="shared" si="18"/>
        <v>211.56</v>
      </c>
    </row>
    <row r="1199" spans="1:26" hidden="1">
      <c r="A1199" t="s">
        <v>706</v>
      </c>
      <c r="B1199" s="6">
        <v>44287</v>
      </c>
      <c r="C1199" s="6">
        <v>44651</v>
      </c>
      <c r="D1199">
        <v>20210401</v>
      </c>
      <c r="E1199">
        <v>20220331</v>
      </c>
      <c r="F1199" t="s">
        <v>3181</v>
      </c>
      <c r="G1199" t="s">
        <v>3182</v>
      </c>
      <c r="H1199" t="s">
        <v>613</v>
      </c>
      <c r="I1199" t="s">
        <v>805</v>
      </c>
      <c r="L1199">
        <v>148</v>
      </c>
      <c r="M1199">
        <v>8183</v>
      </c>
      <c r="N1199">
        <v>-148</v>
      </c>
      <c r="O1199">
        <v>-8183</v>
      </c>
      <c r="Z1199" s="3">
        <f t="shared" si="18"/>
        <v>55.29054054054054</v>
      </c>
    </row>
    <row r="1200" spans="1:26" hidden="1">
      <c r="A1200" t="s">
        <v>706</v>
      </c>
      <c r="B1200" s="6">
        <v>44287</v>
      </c>
      <c r="C1200" s="6">
        <v>44651</v>
      </c>
      <c r="D1200">
        <v>20210401</v>
      </c>
      <c r="E1200">
        <v>20220331</v>
      </c>
      <c r="F1200" t="s">
        <v>3183</v>
      </c>
      <c r="G1200" t="s">
        <v>3184</v>
      </c>
      <c r="I1200" t="s">
        <v>805</v>
      </c>
      <c r="J1200">
        <v>5.9</v>
      </c>
      <c r="K1200">
        <v>1475</v>
      </c>
      <c r="N1200">
        <v>-5.9</v>
      </c>
      <c r="O1200">
        <v>-1475</v>
      </c>
      <c r="Z1200" s="3">
        <f t="shared" si="18"/>
        <v>249.99999999999997</v>
      </c>
    </row>
    <row r="1201" spans="1:26" hidden="1">
      <c r="A1201" t="s">
        <v>706</v>
      </c>
      <c r="B1201" s="6">
        <v>44287</v>
      </c>
      <c r="C1201" s="6">
        <v>44651</v>
      </c>
      <c r="D1201">
        <v>20210401</v>
      </c>
      <c r="E1201">
        <v>20220331</v>
      </c>
      <c r="F1201" t="s">
        <v>3185</v>
      </c>
      <c r="G1201" t="s">
        <v>3186</v>
      </c>
      <c r="H1201" t="s">
        <v>613</v>
      </c>
      <c r="I1201" t="s">
        <v>805</v>
      </c>
      <c r="L1201">
        <v>75</v>
      </c>
      <c r="M1201">
        <v>5587.5</v>
      </c>
      <c r="N1201">
        <v>-75</v>
      </c>
      <c r="O1201">
        <v>-5587.5</v>
      </c>
      <c r="Z1201" s="3">
        <f t="shared" si="18"/>
        <v>74.5</v>
      </c>
    </row>
    <row r="1202" spans="1:26" hidden="1">
      <c r="A1202" t="s">
        <v>706</v>
      </c>
      <c r="B1202" s="6">
        <v>44287</v>
      </c>
      <c r="C1202" s="6">
        <v>44651</v>
      </c>
      <c r="D1202">
        <v>20210401</v>
      </c>
      <c r="E1202">
        <v>20220331</v>
      </c>
      <c r="F1202" t="s">
        <v>3187</v>
      </c>
      <c r="G1202" t="s">
        <v>3188</v>
      </c>
      <c r="H1202" t="s">
        <v>590</v>
      </c>
      <c r="I1202" t="s">
        <v>1462</v>
      </c>
      <c r="L1202">
        <v>6</v>
      </c>
      <c r="M1202">
        <v>690</v>
      </c>
      <c r="N1202">
        <v>-6</v>
      </c>
      <c r="O1202">
        <v>-690</v>
      </c>
      <c r="Z1202" s="3">
        <f t="shared" si="18"/>
        <v>115</v>
      </c>
    </row>
    <row r="1203" spans="1:26" hidden="1">
      <c r="A1203" t="s">
        <v>706</v>
      </c>
      <c r="B1203" s="6">
        <v>44287</v>
      </c>
      <c r="C1203" s="6">
        <v>44651</v>
      </c>
      <c r="D1203">
        <v>20210401</v>
      </c>
      <c r="E1203">
        <v>20220331</v>
      </c>
      <c r="F1203" t="s">
        <v>3189</v>
      </c>
      <c r="G1203" t="s">
        <v>3190</v>
      </c>
      <c r="H1203" t="s">
        <v>590</v>
      </c>
      <c r="I1203" t="s">
        <v>1462</v>
      </c>
      <c r="L1203">
        <v>10</v>
      </c>
      <c r="M1203">
        <v>3910</v>
      </c>
      <c r="N1203">
        <v>-10</v>
      </c>
      <c r="O1203">
        <v>-3910</v>
      </c>
      <c r="Z1203" s="3">
        <f t="shared" si="18"/>
        <v>391</v>
      </c>
    </row>
    <row r="1204" spans="1:26" hidden="1">
      <c r="A1204" t="s">
        <v>706</v>
      </c>
      <c r="B1204" s="6">
        <v>44287</v>
      </c>
      <c r="C1204" s="6">
        <v>44651</v>
      </c>
      <c r="D1204">
        <v>20210401</v>
      </c>
      <c r="E1204">
        <v>20220331</v>
      </c>
      <c r="F1204" t="s">
        <v>3191</v>
      </c>
      <c r="G1204" t="s">
        <v>3192</v>
      </c>
      <c r="H1204" t="s">
        <v>613</v>
      </c>
      <c r="I1204" t="s">
        <v>805</v>
      </c>
      <c r="L1204">
        <v>50</v>
      </c>
      <c r="M1204">
        <v>15750</v>
      </c>
      <c r="N1204">
        <v>-50</v>
      </c>
      <c r="O1204">
        <v>-15750</v>
      </c>
      <c r="Z1204" s="3">
        <f t="shared" si="18"/>
        <v>315</v>
      </c>
    </row>
    <row r="1205" spans="1:26" hidden="1">
      <c r="A1205" t="s">
        <v>706</v>
      </c>
      <c r="B1205" s="6">
        <v>44287</v>
      </c>
      <c r="C1205" s="6">
        <v>44651</v>
      </c>
      <c r="D1205">
        <v>20210401</v>
      </c>
      <c r="E1205">
        <v>20220331</v>
      </c>
      <c r="F1205" t="s">
        <v>3193</v>
      </c>
      <c r="G1205" t="s">
        <v>3194</v>
      </c>
      <c r="H1205" t="s">
        <v>1173</v>
      </c>
      <c r="I1205" t="s">
        <v>1462</v>
      </c>
      <c r="K1205">
        <v>11.03</v>
      </c>
      <c r="L1205">
        <v>38</v>
      </c>
      <c r="M1205">
        <v>7068</v>
      </c>
      <c r="N1205">
        <v>-46</v>
      </c>
      <c r="O1205">
        <v>-8408.68</v>
      </c>
      <c r="P1205">
        <v>8</v>
      </c>
      <c r="Q1205">
        <v>1340.68</v>
      </c>
      <c r="Y1205">
        <v>11.03</v>
      </c>
      <c r="Z1205" s="3">
        <f t="shared" si="18"/>
        <v>186</v>
      </c>
    </row>
    <row r="1206" spans="1:26" hidden="1">
      <c r="A1206" t="s">
        <v>706</v>
      </c>
      <c r="B1206" s="6">
        <v>44287</v>
      </c>
      <c r="C1206" s="6">
        <v>44651</v>
      </c>
      <c r="D1206">
        <v>20210401</v>
      </c>
      <c r="E1206">
        <v>20220331</v>
      </c>
      <c r="F1206" t="s">
        <v>3195</v>
      </c>
      <c r="G1206" t="s">
        <v>3196</v>
      </c>
      <c r="H1206" t="s">
        <v>590</v>
      </c>
      <c r="I1206" t="s">
        <v>805</v>
      </c>
      <c r="L1206">
        <v>18</v>
      </c>
      <c r="M1206">
        <v>78624</v>
      </c>
      <c r="N1206">
        <v>-18</v>
      </c>
      <c r="O1206">
        <v>-78624</v>
      </c>
      <c r="Z1206" s="3">
        <f t="shared" si="18"/>
        <v>4368</v>
      </c>
    </row>
    <row r="1207" spans="1:26" hidden="1">
      <c r="A1207" t="s">
        <v>706</v>
      </c>
      <c r="B1207" s="6">
        <v>44287</v>
      </c>
      <c r="C1207" s="6">
        <v>44651</v>
      </c>
      <c r="D1207">
        <v>20210401</v>
      </c>
      <c r="E1207">
        <v>20220331</v>
      </c>
      <c r="F1207" t="s">
        <v>3197</v>
      </c>
      <c r="G1207" t="s">
        <v>3198</v>
      </c>
      <c r="H1207" t="s">
        <v>590</v>
      </c>
      <c r="I1207" t="s">
        <v>805</v>
      </c>
      <c r="J1207">
        <v>6</v>
      </c>
      <c r="K1207">
        <v>3720</v>
      </c>
      <c r="N1207">
        <v>-6</v>
      </c>
      <c r="O1207">
        <v>-3720</v>
      </c>
      <c r="Z1207" s="3">
        <f t="shared" si="18"/>
        <v>620</v>
      </c>
    </row>
    <row r="1208" spans="1:26" hidden="1">
      <c r="A1208" t="s">
        <v>706</v>
      </c>
      <c r="B1208" s="6">
        <v>44287</v>
      </c>
      <c r="C1208" s="6">
        <v>44651</v>
      </c>
      <c r="D1208">
        <v>20210401</v>
      </c>
      <c r="E1208">
        <v>20220331</v>
      </c>
      <c r="F1208" t="s">
        <v>3199</v>
      </c>
      <c r="G1208" t="s">
        <v>3200</v>
      </c>
      <c r="H1208" t="s">
        <v>590</v>
      </c>
      <c r="I1208" t="s">
        <v>805</v>
      </c>
      <c r="L1208">
        <v>1</v>
      </c>
      <c r="M1208">
        <v>480</v>
      </c>
      <c r="N1208">
        <v>-1</v>
      </c>
      <c r="O1208">
        <v>-480</v>
      </c>
      <c r="Z1208" s="3">
        <f t="shared" si="18"/>
        <v>480</v>
      </c>
    </row>
    <row r="1209" spans="1:26" hidden="1">
      <c r="A1209" t="s">
        <v>706</v>
      </c>
      <c r="B1209" s="6">
        <v>44287</v>
      </c>
      <c r="C1209" s="6">
        <v>44651</v>
      </c>
      <c r="D1209">
        <v>20210401</v>
      </c>
      <c r="E1209">
        <v>20220331</v>
      </c>
      <c r="F1209" t="s">
        <v>3201</v>
      </c>
      <c r="G1209" t="s">
        <v>3202</v>
      </c>
      <c r="H1209" t="s">
        <v>590</v>
      </c>
      <c r="I1209" t="s">
        <v>805</v>
      </c>
      <c r="L1209">
        <v>334</v>
      </c>
      <c r="M1209">
        <v>123380</v>
      </c>
      <c r="N1209">
        <v>-334</v>
      </c>
      <c r="O1209">
        <v>-123380</v>
      </c>
      <c r="Z1209" s="3">
        <f t="shared" si="18"/>
        <v>369.40119760479041</v>
      </c>
    </row>
    <row r="1210" spans="1:26" hidden="1">
      <c r="A1210" t="s">
        <v>706</v>
      </c>
      <c r="B1210" s="6">
        <v>44287</v>
      </c>
      <c r="C1210" s="6">
        <v>44651</v>
      </c>
      <c r="D1210">
        <v>20210401</v>
      </c>
      <c r="E1210">
        <v>20220331</v>
      </c>
      <c r="F1210" t="s">
        <v>3203</v>
      </c>
      <c r="G1210" t="s">
        <v>3204</v>
      </c>
      <c r="H1210" t="s">
        <v>590</v>
      </c>
      <c r="I1210" t="s">
        <v>805</v>
      </c>
      <c r="J1210">
        <v>13</v>
      </c>
      <c r="K1210">
        <v>510.17</v>
      </c>
      <c r="L1210">
        <v>4</v>
      </c>
      <c r="M1210">
        <v>160</v>
      </c>
      <c r="N1210">
        <v>-12</v>
      </c>
      <c r="O1210">
        <v>-477.14</v>
      </c>
      <c r="X1210">
        <v>5</v>
      </c>
      <c r="Y1210">
        <v>193.03</v>
      </c>
      <c r="Z1210" s="3">
        <f t="shared" si="18"/>
        <v>39.761666666666663</v>
      </c>
    </row>
    <row r="1211" spans="1:26" hidden="1">
      <c r="A1211" t="s">
        <v>706</v>
      </c>
      <c r="B1211" s="6">
        <v>44287</v>
      </c>
      <c r="C1211" s="6">
        <v>44651</v>
      </c>
      <c r="D1211">
        <v>20210401</v>
      </c>
      <c r="E1211">
        <v>20220331</v>
      </c>
      <c r="F1211" t="s">
        <v>3205</v>
      </c>
      <c r="G1211" t="s">
        <v>3206</v>
      </c>
      <c r="H1211" t="s">
        <v>590</v>
      </c>
      <c r="I1211" t="s">
        <v>805</v>
      </c>
      <c r="J1211">
        <v>11</v>
      </c>
      <c r="K1211">
        <v>44.01</v>
      </c>
      <c r="N1211">
        <v>-11</v>
      </c>
      <c r="O1211">
        <v>-44</v>
      </c>
      <c r="Y1211">
        <v>0.01</v>
      </c>
      <c r="Z1211" s="3">
        <f t="shared" si="18"/>
        <v>4</v>
      </c>
    </row>
    <row r="1212" spans="1:26" hidden="1">
      <c r="A1212" t="s">
        <v>706</v>
      </c>
      <c r="B1212" s="6">
        <v>44287</v>
      </c>
      <c r="C1212" s="6">
        <v>44651</v>
      </c>
      <c r="D1212">
        <v>20210401</v>
      </c>
      <c r="E1212">
        <v>20220331</v>
      </c>
      <c r="F1212" t="s">
        <v>3207</v>
      </c>
      <c r="G1212" t="s">
        <v>3208</v>
      </c>
      <c r="H1212" t="s">
        <v>590</v>
      </c>
      <c r="I1212" t="s">
        <v>805</v>
      </c>
      <c r="L1212">
        <v>8</v>
      </c>
      <c r="M1212">
        <v>1560</v>
      </c>
      <c r="N1212">
        <v>-4</v>
      </c>
      <c r="O1212">
        <v>-780</v>
      </c>
      <c r="X1212">
        <v>4</v>
      </c>
      <c r="Y1212">
        <v>780</v>
      </c>
      <c r="Z1212" s="3">
        <f t="shared" si="18"/>
        <v>195</v>
      </c>
    </row>
    <row r="1213" spans="1:26" hidden="1">
      <c r="A1213" t="s">
        <v>706</v>
      </c>
      <c r="B1213" s="6">
        <v>44287</v>
      </c>
      <c r="C1213" s="6">
        <v>44651</v>
      </c>
      <c r="D1213">
        <v>20210401</v>
      </c>
      <c r="E1213">
        <v>20220331</v>
      </c>
      <c r="F1213" t="s">
        <v>3209</v>
      </c>
      <c r="G1213" t="s">
        <v>3210</v>
      </c>
      <c r="H1213" t="s">
        <v>2073</v>
      </c>
      <c r="I1213" t="s">
        <v>805</v>
      </c>
      <c r="L1213">
        <v>10</v>
      </c>
      <c r="M1213">
        <v>8250</v>
      </c>
      <c r="N1213">
        <v>-10</v>
      </c>
      <c r="O1213">
        <v>-8250</v>
      </c>
      <c r="Z1213" s="3">
        <f t="shared" si="18"/>
        <v>825</v>
      </c>
    </row>
    <row r="1214" spans="1:26" hidden="1">
      <c r="A1214" t="s">
        <v>706</v>
      </c>
      <c r="B1214" s="6">
        <v>44287</v>
      </c>
      <c r="C1214" s="6">
        <v>44651</v>
      </c>
      <c r="D1214">
        <v>20210401</v>
      </c>
      <c r="E1214">
        <v>20220331</v>
      </c>
      <c r="F1214" t="s">
        <v>3211</v>
      </c>
      <c r="G1214" t="s">
        <v>3212</v>
      </c>
      <c r="H1214" t="s">
        <v>590</v>
      </c>
      <c r="I1214" t="s">
        <v>805</v>
      </c>
      <c r="L1214">
        <v>1</v>
      </c>
      <c r="M1214">
        <v>850</v>
      </c>
      <c r="N1214">
        <v>-1</v>
      </c>
      <c r="O1214">
        <v>-850</v>
      </c>
      <c r="Z1214" s="3">
        <f t="shared" si="18"/>
        <v>850</v>
      </c>
    </row>
    <row r="1215" spans="1:26" hidden="1">
      <c r="A1215" t="s">
        <v>706</v>
      </c>
      <c r="B1215" s="6">
        <v>44287</v>
      </c>
      <c r="C1215" s="6">
        <v>44651</v>
      </c>
      <c r="D1215">
        <v>20210401</v>
      </c>
      <c r="E1215">
        <v>20220331</v>
      </c>
      <c r="F1215" t="s">
        <v>3213</v>
      </c>
      <c r="G1215" t="s">
        <v>3214</v>
      </c>
      <c r="H1215" t="s">
        <v>613</v>
      </c>
      <c r="I1215" t="s">
        <v>805</v>
      </c>
      <c r="J1215">
        <v>40</v>
      </c>
      <c r="K1215">
        <v>12199.99</v>
      </c>
      <c r="N1215">
        <v>-40</v>
      </c>
      <c r="O1215">
        <v>-12200</v>
      </c>
      <c r="Y1215">
        <v>-0.01</v>
      </c>
      <c r="Z1215" s="3">
        <f t="shared" si="18"/>
        <v>305</v>
      </c>
    </row>
    <row r="1216" spans="1:26" hidden="1">
      <c r="A1216" t="s">
        <v>706</v>
      </c>
      <c r="B1216" s="6">
        <v>44287</v>
      </c>
      <c r="C1216" s="6">
        <v>44651</v>
      </c>
      <c r="D1216">
        <v>20210401</v>
      </c>
      <c r="E1216">
        <v>20220331</v>
      </c>
      <c r="F1216" t="s">
        <v>3215</v>
      </c>
      <c r="G1216" t="s">
        <v>3216</v>
      </c>
      <c r="H1216" t="s">
        <v>590</v>
      </c>
      <c r="I1216" t="s">
        <v>805</v>
      </c>
      <c r="K1216">
        <v>0.03</v>
      </c>
      <c r="L1216">
        <v>26</v>
      </c>
      <c r="M1216">
        <v>3640</v>
      </c>
      <c r="N1216">
        <v>-24</v>
      </c>
      <c r="O1216">
        <v>-3360</v>
      </c>
      <c r="X1216">
        <v>2</v>
      </c>
      <c r="Y1216">
        <v>280.02999999999997</v>
      </c>
      <c r="Z1216" s="3">
        <f t="shared" si="18"/>
        <v>140</v>
      </c>
    </row>
    <row r="1217" spans="1:26" hidden="1">
      <c r="A1217" t="s">
        <v>706</v>
      </c>
      <c r="B1217" s="6">
        <v>44287</v>
      </c>
      <c r="C1217" s="6">
        <v>44651</v>
      </c>
      <c r="D1217">
        <v>20210401</v>
      </c>
      <c r="E1217">
        <v>20220331</v>
      </c>
      <c r="F1217" t="s">
        <v>3217</v>
      </c>
      <c r="G1217" t="s">
        <v>3218</v>
      </c>
      <c r="H1217" t="s">
        <v>590</v>
      </c>
      <c r="I1217" t="s">
        <v>805</v>
      </c>
      <c r="J1217">
        <v>18</v>
      </c>
      <c r="K1217">
        <v>450.09</v>
      </c>
      <c r="L1217">
        <v>11</v>
      </c>
      <c r="M1217">
        <v>660</v>
      </c>
      <c r="N1217">
        <v>-25</v>
      </c>
      <c r="O1217">
        <v>-870.08</v>
      </c>
      <c r="X1217">
        <v>4</v>
      </c>
      <c r="Y1217">
        <v>240.01</v>
      </c>
      <c r="Z1217" s="3">
        <f t="shared" si="18"/>
        <v>34.803200000000004</v>
      </c>
    </row>
    <row r="1218" spans="1:26" hidden="1">
      <c r="A1218" t="s">
        <v>706</v>
      </c>
      <c r="B1218" s="6">
        <v>44287</v>
      </c>
      <c r="C1218" s="6">
        <v>44651</v>
      </c>
      <c r="D1218">
        <v>20210401</v>
      </c>
      <c r="E1218">
        <v>20220331</v>
      </c>
      <c r="F1218" t="s">
        <v>3219</v>
      </c>
      <c r="G1218" t="s">
        <v>3220</v>
      </c>
      <c r="H1218" t="s">
        <v>613</v>
      </c>
      <c r="I1218" t="s">
        <v>805</v>
      </c>
      <c r="J1218">
        <v>6</v>
      </c>
      <c r="K1218">
        <v>4118.83</v>
      </c>
      <c r="L1218">
        <v>40</v>
      </c>
      <c r="M1218">
        <v>17000</v>
      </c>
      <c r="N1218">
        <v>-46</v>
      </c>
      <c r="O1218">
        <v>-16135.26</v>
      </c>
      <c r="Y1218">
        <v>4983.57</v>
      </c>
      <c r="Z1218" s="3">
        <f t="shared" si="18"/>
        <v>350.76652173913044</v>
      </c>
    </row>
    <row r="1219" spans="1:26" hidden="1">
      <c r="A1219" t="s">
        <v>706</v>
      </c>
      <c r="B1219" s="6">
        <v>44287</v>
      </c>
      <c r="C1219" s="6">
        <v>44651</v>
      </c>
      <c r="D1219">
        <v>20210401</v>
      </c>
      <c r="E1219">
        <v>20220331</v>
      </c>
      <c r="F1219" t="s">
        <v>3221</v>
      </c>
      <c r="G1219" t="s">
        <v>3222</v>
      </c>
      <c r="H1219" t="s">
        <v>613</v>
      </c>
      <c r="I1219" t="s">
        <v>805</v>
      </c>
      <c r="J1219">
        <v>5</v>
      </c>
      <c r="K1219">
        <v>16500</v>
      </c>
      <c r="L1219">
        <v>5</v>
      </c>
      <c r="M1219">
        <v>18000</v>
      </c>
      <c r="N1219">
        <v>-10</v>
      </c>
      <c r="O1219">
        <v>-34500</v>
      </c>
      <c r="Z1219" s="3">
        <f t="shared" ref="Z1219:Z1282" si="19">IFERROR((O1219+Q1219)/(N1219+P1219),Y1219/X1219)</f>
        <v>3450</v>
      </c>
    </row>
    <row r="1220" spans="1:26" hidden="1">
      <c r="A1220" t="s">
        <v>706</v>
      </c>
      <c r="B1220" s="6">
        <v>44287</v>
      </c>
      <c r="C1220" s="6">
        <v>44651</v>
      </c>
      <c r="D1220">
        <v>20210401</v>
      </c>
      <c r="E1220">
        <v>20220331</v>
      </c>
      <c r="F1220" t="s">
        <v>3223</v>
      </c>
      <c r="G1220" t="s">
        <v>3224</v>
      </c>
      <c r="H1220" t="s">
        <v>590</v>
      </c>
      <c r="I1220" t="s">
        <v>805</v>
      </c>
      <c r="J1220">
        <v>10</v>
      </c>
      <c r="K1220">
        <v>250.01</v>
      </c>
      <c r="L1220">
        <v>16</v>
      </c>
      <c r="M1220">
        <v>400</v>
      </c>
      <c r="N1220">
        <v>-26</v>
      </c>
      <c r="O1220">
        <v>-650</v>
      </c>
      <c r="Y1220">
        <v>0.01</v>
      </c>
      <c r="Z1220" s="3">
        <f t="shared" si="19"/>
        <v>25</v>
      </c>
    </row>
    <row r="1221" spans="1:26" hidden="1">
      <c r="A1221" t="s">
        <v>706</v>
      </c>
      <c r="B1221" s="6">
        <v>44287</v>
      </c>
      <c r="C1221" s="6">
        <v>44651</v>
      </c>
      <c r="D1221">
        <v>20210401</v>
      </c>
      <c r="E1221">
        <v>20220331</v>
      </c>
      <c r="F1221" t="s">
        <v>3225</v>
      </c>
      <c r="G1221" t="s">
        <v>3226</v>
      </c>
      <c r="H1221" t="s">
        <v>1173</v>
      </c>
      <c r="I1221" t="s">
        <v>805</v>
      </c>
      <c r="J1221">
        <v>12</v>
      </c>
      <c r="K1221">
        <v>12646.92</v>
      </c>
      <c r="N1221">
        <v>-12</v>
      </c>
      <c r="O1221">
        <v>-12646.92</v>
      </c>
      <c r="Z1221" s="3">
        <f t="shared" si="19"/>
        <v>1053.9100000000001</v>
      </c>
    </row>
    <row r="1222" spans="1:26" hidden="1">
      <c r="A1222" t="s">
        <v>706</v>
      </c>
      <c r="B1222" s="6">
        <v>44287</v>
      </c>
      <c r="C1222" s="6">
        <v>44651</v>
      </c>
      <c r="D1222">
        <v>20210401</v>
      </c>
      <c r="E1222">
        <v>20220331</v>
      </c>
      <c r="F1222" t="s">
        <v>3227</v>
      </c>
      <c r="G1222" t="s">
        <v>3228</v>
      </c>
      <c r="H1222" t="s">
        <v>613</v>
      </c>
      <c r="I1222" t="s">
        <v>805</v>
      </c>
      <c r="L1222">
        <v>198</v>
      </c>
      <c r="M1222">
        <v>121231</v>
      </c>
      <c r="N1222">
        <v>-198</v>
      </c>
      <c r="O1222">
        <v>-121231</v>
      </c>
      <c r="Z1222" s="3">
        <f t="shared" si="19"/>
        <v>612.27777777777783</v>
      </c>
    </row>
    <row r="1223" spans="1:26" hidden="1">
      <c r="A1223" t="s">
        <v>706</v>
      </c>
      <c r="B1223" s="6">
        <v>44287</v>
      </c>
      <c r="C1223" s="6">
        <v>44651</v>
      </c>
      <c r="D1223">
        <v>20210401</v>
      </c>
      <c r="E1223">
        <v>20220331</v>
      </c>
      <c r="F1223" t="s">
        <v>3229</v>
      </c>
      <c r="G1223" t="s">
        <v>3230</v>
      </c>
      <c r="H1223" t="s">
        <v>590</v>
      </c>
      <c r="I1223" t="s">
        <v>805</v>
      </c>
      <c r="L1223">
        <v>1</v>
      </c>
      <c r="M1223">
        <v>1800</v>
      </c>
      <c r="N1223">
        <v>-1</v>
      </c>
      <c r="O1223">
        <v>-1800</v>
      </c>
      <c r="Z1223" s="3">
        <f t="shared" si="19"/>
        <v>1800</v>
      </c>
    </row>
    <row r="1224" spans="1:26" hidden="1">
      <c r="A1224" t="s">
        <v>706</v>
      </c>
      <c r="B1224" s="6">
        <v>44287</v>
      </c>
      <c r="C1224" s="6">
        <v>44651</v>
      </c>
      <c r="D1224">
        <v>20210401</v>
      </c>
      <c r="E1224">
        <v>20220331</v>
      </c>
      <c r="F1224" t="s">
        <v>3231</v>
      </c>
      <c r="G1224" t="s">
        <v>3232</v>
      </c>
      <c r="H1224" t="s">
        <v>613</v>
      </c>
      <c r="I1224" t="s">
        <v>805</v>
      </c>
      <c r="J1224">
        <v>70</v>
      </c>
      <c r="K1224">
        <v>28000</v>
      </c>
      <c r="N1224">
        <v>-70</v>
      </c>
      <c r="O1224">
        <v>-28000</v>
      </c>
      <c r="Z1224" s="3">
        <f t="shared" si="19"/>
        <v>400</v>
      </c>
    </row>
    <row r="1225" spans="1:26" hidden="1">
      <c r="A1225" t="s">
        <v>706</v>
      </c>
      <c r="B1225" s="6">
        <v>44287</v>
      </c>
      <c r="C1225" s="6">
        <v>44651</v>
      </c>
      <c r="D1225">
        <v>20210401</v>
      </c>
      <c r="E1225">
        <v>20220331</v>
      </c>
      <c r="F1225" t="s">
        <v>3233</v>
      </c>
      <c r="G1225" t="s">
        <v>3234</v>
      </c>
      <c r="H1225" t="s">
        <v>3235</v>
      </c>
      <c r="I1225" t="s">
        <v>805</v>
      </c>
      <c r="J1225">
        <v>28</v>
      </c>
      <c r="K1225">
        <v>8077.44</v>
      </c>
      <c r="L1225">
        <v>1022</v>
      </c>
      <c r="M1225">
        <v>340168.09</v>
      </c>
      <c r="N1225">
        <v>-1022</v>
      </c>
      <c r="O1225">
        <v>-337968.11</v>
      </c>
      <c r="X1225">
        <v>28</v>
      </c>
      <c r="Y1225">
        <v>10277.42</v>
      </c>
      <c r="Z1225" s="3">
        <f t="shared" si="19"/>
        <v>330.69286692759295</v>
      </c>
    </row>
    <row r="1226" spans="1:26" hidden="1">
      <c r="A1226" t="s">
        <v>706</v>
      </c>
      <c r="B1226" s="6">
        <v>44287</v>
      </c>
      <c r="C1226" s="6">
        <v>44651</v>
      </c>
      <c r="D1226">
        <v>20210401</v>
      </c>
      <c r="E1226">
        <v>20220331</v>
      </c>
      <c r="F1226" t="s">
        <v>3236</v>
      </c>
      <c r="G1226" t="s">
        <v>3237</v>
      </c>
      <c r="H1226" t="s">
        <v>613</v>
      </c>
      <c r="I1226" t="s">
        <v>805</v>
      </c>
      <c r="J1226">
        <v>2</v>
      </c>
      <c r="K1226">
        <v>625.47</v>
      </c>
      <c r="L1226">
        <v>80</v>
      </c>
      <c r="M1226">
        <v>25600</v>
      </c>
      <c r="N1226">
        <v>-82</v>
      </c>
      <c r="O1226">
        <v>-26074.18</v>
      </c>
      <c r="Y1226">
        <v>151.29</v>
      </c>
      <c r="Z1226" s="3">
        <f t="shared" si="19"/>
        <v>317.9778048780488</v>
      </c>
    </row>
    <row r="1227" spans="1:26" hidden="1">
      <c r="A1227" t="s">
        <v>706</v>
      </c>
      <c r="B1227" s="6">
        <v>44287</v>
      </c>
      <c r="C1227" s="6">
        <v>44651</v>
      </c>
      <c r="D1227">
        <v>20210401</v>
      </c>
      <c r="E1227">
        <v>20220331</v>
      </c>
      <c r="F1227" t="s">
        <v>3238</v>
      </c>
      <c r="G1227" t="s">
        <v>3239</v>
      </c>
      <c r="H1227" t="s">
        <v>613</v>
      </c>
      <c r="I1227" t="s">
        <v>805</v>
      </c>
      <c r="J1227">
        <v>7.5</v>
      </c>
      <c r="K1227">
        <v>5316.97</v>
      </c>
      <c r="L1227">
        <v>20</v>
      </c>
      <c r="M1227">
        <v>11900</v>
      </c>
      <c r="N1227">
        <v>-27.5</v>
      </c>
      <c r="O1227">
        <v>-15897.51</v>
      </c>
      <c r="Y1227">
        <v>1319.46</v>
      </c>
      <c r="Z1227" s="3">
        <f t="shared" si="19"/>
        <v>578.09127272727278</v>
      </c>
    </row>
    <row r="1228" spans="1:26" hidden="1">
      <c r="A1228" t="s">
        <v>706</v>
      </c>
      <c r="B1228" s="6">
        <v>44287</v>
      </c>
      <c r="C1228" s="6">
        <v>44651</v>
      </c>
      <c r="D1228">
        <v>20210401</v>
      </c>
      <c r="E1228">
        <v>20220331</v>
      </c>
      <c r="F1228" t="s">
        <v>3240</v>
      </c>
      <c r="G1228" t="s">
        <v>3241</v>
      </c>
      <c r="H1228" t="s">
        <v>613</v>
      </c>
      <c r="I1228" t="s">
        <v>805</v>
      </c>
      <c r="L1228">
        <v>20</v>
      </c>
      <c r="M1228">
        <v>11900</v>
      </c>
      <c r="N1228">
        <v>-20</v>
      </c>
      <c r="O1228">
        <v>-11900</v>
      </c>
      <c r="Z1228" s="3">
        <f t="shared" si="19"/>
        <v>595</v>
      </c>
    </row>
    <row r="1229" spans="1:26" hidden="1">
      <c r="A1229" t="s">
        <v>706</v>
      </c>
      <c r="B1229" s="6">
        <v>44287</v>
      </c>
      <c r="C1229" s="6">
        <v>44651</v>
      </c>
      <c r="D1229">
        <v>20210401</v>
      </c>
      <c r="E1229">
        <v>20220331</v>
      </c>
      <c r="F1229" t="s">
        <v>3242</v>
      </c>
      <c r="G1229" t="s">
        <v>3243</v>
      </c>
      <c r="H1229" t="s">
        <v>613</v>
      </c>
      <c r="I1229" t="s">
        <v>805</v>
      </c>
      <c r="J1229">
        <v>20</v>
      </c>
      <c r="K1229">
        <v>15300</v>
      </c>
      <c r="N1229">
        <v>-20</v>
      </c>
      <c r="O1229">
        <v>-15300</v>
      </c>
      <c r="Z1229" s="3">
        <f t="shared" si="19"/>
        <v>765</v>
      </c>
    </row>
    <row r="1230" spans="1:26" hidden="1">
      <c r="A1230" t="s">
        <v>706</v>
      </c>
      <c r="B1230" s="6">
        <v>44287</v>
      </c>
      <c r="C1230" s="6">
        <v>44651</v>
      </c>
      <c r="D1230">
        <v>20210401</v>
      </c>
      <c r="E1230">
        <v>20220331</v>
      </c>
      <c r="F1230" t="s">
        <v>3244</v>
      </c>
      <c r="G1230" t="s">
        <v>3245</v>
      </c>
      <c r="H1230" t="s">
        <v>590</v>
      </c>
      <c r="I1230" t="s">
        <v>805</v>
      </c>
      <c r="J1230">
        <v>2</v>
      </c>
      <c r="K1230">
        <v>3190.16</v>
      </c>
      <c r="L1230">
        <v>137</v>
      </c>
      <c r="M1230">
        <v>247221.5</v>
      </c>
      <c r="N1230">
        <v>-4</v>
      </c>
      <c r="O1230">
        <v>-7963.58</v>
      </c>
      <c r="R1230">
        <v>-134</v>
      </c>
      <c r="S1230">
        <v>-240468.51</v>
      </c>
      <c r="X1230">
        <v>1</v>
      </c>
      <c r="Y1230">
        <v>1979.57</v>
      </c>
      <c r="Z1230" s="3">
        <f t="shared" si="19"/>
        <v>1990.895</v>
      </c>
    </row>
    <row r="1231" spans="1:26" hidden="1">
      <c r="A1231" t="s">
        <v>706</v>
      </c>
      <c r="B1231" s="6">
        <v>44287</v>
      </c>
      <c r="C1231" s="6">
        <v>44651</v>
      </c>
      <c r="D1231">
        <v>20210401</v>
      </c>
      <c r="E1231">
        <v>20220331</v>
      </c>
      <c r="F1231" t="s">
        <v>3246</v>
      </c>
      <c r="G1231" t="s">
        <v>3247</v>
      </c>
      <c r="H1231" t="s">
        <v>590</v>
      </c>
      <c r="I1231" t="s">
        <v>805</v>
      </c>
      <c r="J1231">
        <v>2</v>
      </c>
      <c r="K1231">
        <v>2200</v>
      </c>
      <c r="L1231">
        <v>18</v>
      </c>
      <c r="M1231">
        <v>13950</v>
      </c>
      <c r="N1231">
        <v>-18</v>
      </c>
      <c r="O1231">
        <v>-14850</v>
      </c>
      <c r="X1231">
        <v>2</v>
      </c>
      <c r="Y1231">
        <v>1300</v>
      </c>
      <c r="Z1231" s="3">
        <f t="shared" si="19"/>
        <v>825</v>
      </c>
    </row>
    <row r="1232" spans="1:26" hidden="1">
      <c r="A1232" t="s">
        <v>706</v>
      </c>
      <c r="B1232" s="6">
        <v>44287</v>
      </c>
      <c r="C1232" s="6">
        <v>44651</v>
      </c>
      <c r="D1232">
        <v>20210401</v>
      </c>
      <c r="E1232">
        <v>20220331</v>
      </c>
      <c r="F1232" t="s">
        <v>3248</v>
      </c>
      <c r="G1232" t="s">
        <v>3249</v>
      </c>
      <c r="H1232" t="s">
        <v>613</v>
      </c>
      <c r="I1232" t="s">
        <v>805</v>
      </c>
      <c r="J1232">
        <v>42</v>
      </c>
      <c r="K1232">
        <v>169373.2</v>
      </c>
      <c r="L1232">
        <v>310</v>
      </c>
      <c r="M1232">
        <v>137750</v>
      </c>
      <c r="N1232">
        <v>-305</v>
      </c>
      <c r="O1232">
        <v>-140235.25</v>
      </c>
      <c r="P1232">
        <v>3</v>
      </c>
      <c r="Q1232">
        <v>1215</v>
      </c>
      <c r="X1232">
        <v>50</v>
      </c>
      <c r="Y1232">
        <v>168102.95</v>
      </c>
      <c r="Z1232" s="3">
        <f t="shared" si="19"/>
        <v>460.33195364238412</v>
      </c>
    </row>
    <row r="1233" spans="1:26" hidden="1">
      <c r="A1233" t="s">
        <v>706</v>
      </c>
      <c r="B1233" s="6">
        <v>44287</v>
      </c>
      <c r="C1233" s="6">
        <v>44651</v>
      </c>
      <c r="D1233">
        <v>20210401</v>
      </c>
      <c r="E1233">
        <v>20220331</v>
      </c>
      <c r="F1233" t="s">
        <v>3250</v>
      </c>
      <c r="G1233" t="s">
        <v>3251</v>
      </c>
      <c r="H1233" t="s">
        <v>3235</v>
      </c>
      <c r="I1233" t="s">
        <v>805</v>
      </c>
      <c r="J1233">
        <v>21</v>
      </c>
      <c r="K1233">
        <v>1897.72</v>
      </c>
      <c r="L1233">
        <v>3640</v>
      </c>
      <c r="M1233">
        <v>899329.13</v>
      </c>
      <c r="N1233">
        <v>-3661</v>
      </c>
      <c r="O1233">
        <v>-901219.13</v>
      </c>
      <c r="Y1233">
        <v>7.72</v>
      </c>
      <c r="Z1233" s="3">
        <f t="shared" si="19"/>
        <v>246.16747609942638</v>
      </c>
    </row>
    <row r="1234" spans="1:26" hidden="1">
      <c r="A1234" t="s">
        <v>706</v>
      </c>
      <c r="B1234" s="6">
        <v>44287</v>
      </c>
      <c r="C1234" s="6">
        <v>44651</v>
      </c>
      <c r="D1234">
        <v>20210401</v>
      </c>
      <c r="E1234">
        <v>20220331</v>
      </c>
      <c r="F1234" t="s">
        <v>3252</v>
      </c>
      <c r="G1234" t="s">
        <v>3253</v>
      </c>
      <c r="H1234" t="s">
        <v>613</v>
      </c>
      <c r="I1234" t="s">
        <v>805</v>
      </c>
      <c r="J1234">
        <v>25</v>
      </c>
      <c r="K1234">
        <v>12375</v>
      </c>
      <c r="N1234">
        <v>-25</v>
      </c>
      <c r="O1234">
        <v>-12375</v>
      </c>
      <c r="Z1234" s="3">
        <f t="shared" si="19"/>
        <v>495</v>
      </c>
    </row>
    <row r="1235" spans="1:26" hidden="1">
      <c r="A1235" t="s">
        <v>706</v>
      </c>
      <c r="B1235" s="6">
        <v>44287</v>
      </c>
      <c r="C1235" s="6">
        <v>44651</v>
      </c>
      <c r="D1235">
        <v>20210401</v>
      </c>
      <c r="E1235">
        <v>20220331</v>
      </c>
      <c r="F1235" t="s">
        <v>3254</v>
      </c>
      <c r="G1235" t="s">
        <v>3255</v>
      </c>
      <c r="H1235" t="s">
        <v>590</v>
      </c>
      <c r="I1235" t="s">
        <v>805</v>
      </c>
      <c r="K1235">
        <v>0.01</v>
      </c>
      <c r="L1235">
        <v>9</v>
      </c>
      <c r="M1235">
        <v>3140</v>
      </c>
      <c r="N1235">
        <v>-9</v>
      </c>
      <c r="O1235">
        <v>-3139.99</v>
      </c>
      <c r="Y1235">
        <v>0.02</v>
      </c>
      <c r="Z1235" s="3">
        <f t="shared" si="19"/>
        <v>348.88777777777773</v>
      </c>
    </row>
    <row r="1236" spans="1:26" hidden="1">
      <c r="A1236" t="s">
        <v>706</v>
      </c>
      <c r="B1236" s="6">
        <v>44287</v>
      </c>
      <c r="C1236" s="6">
        <v>44651</v>
      </c>
      <c r="D1236">
        <v>20210401</v>
      </c>
      <c r="E1236">
        <v>20220331</v>
      </c>
      <c r="F1236" t="s">
        <v>3256</v>
      </c>
      <c r="G1236" t="s">
        <v>3257</v>
      </c>
      <c r="H1236" t="s">
        <v>590</v>
      </c>
      <c r="I1236" t="s">
        <v>1462</v>
      </c>
      <c r="J1236">
        <v>16</v>
      </c>
      <c r="K1236">
        <v>996.92</v>
      </c>
      <c r="N1236">
        <v>-16</v>
      </c>
      <c r="O1236">
        <v>-996.92</v>
      </c>
      <c r="Z1236" s="3">
        <f t="shared" si="19"/>
        <v>62.307499999999997</v>
      </c>
    </row>
    <row r="1237" spans="1:26" hidden="1">
      <c r="A1237" t="s">
        <v>706</v>
      </c>
      <c r="B1237" s="6">
        <v>44287</v>
      </c>
      <c r="C1237" s="6">
        <v>44651</v>
      </c>
      <c r="D1237">
        <v>20210401</v>
      </c>
      <c r="E1237">
        <v>20220331</v>
      </c>
      <c r="F1237" t="s">
        <v>3258</v>
      </c>
      <c r="G1237" t="s">
        <v>3259</v>
      </c>
      <c r="H1237" t="s">
        <v>613</v>
      </c>
      <c r="I1237" t="s">
        <v>1462</v>
      </c>
      <c r="J1237">
        <v>20</v>
      </c>
      <c r="K1237">
        <v>60988.26</v>
      </c>
      <c r="N1237">
        <v>-20</v>
      </c>
      <c r="O1237">
        <v>-60988.27</v>
      </c>
      <c r="Y1237">
        <v>-0.01</v>
      </c>
      <c r="Z1237" s="3">
        <f t="shared" si="19"/>
        <v>3049.4134999999997</v>
      </c>
    </row>
    <row r="1238" spans="1:26" hidden="1">
      <c r="A1238" t="s">
        <v>706</v>
      </c>
      <c r="B1238" s="6">
        <v>44287</v>
      </c>
      <c r="C1238" s="6">
        <v>44651</v>
      </c>
      <c r="D1238">
        <v>20210401</v>
      </c>
      <c r="E1238">
        <v>20220331</v>
      </c>
      <c r="F1238" t="s">
        <v>3260</v>
      </c>
      <c r="G1238" t="s">
        <v>3261</v>
      </c>
      <c r="H1238" t="s">
        <v>2073</v>
      </c>
      <c r="I1238" t="s">
        <v>805</v>
      </c>
      <c r="L1238">
        <v>70</v>
      </c>
      <c r="M1238">
        <v>4950</v>
      </c>
      <c r="N1238">
        <v>-70</v>
      </c>
      <c r="O1238">
        <v>-4907.6400000000003</v>
      </c>
      <c r="Y1238">
        <v>42.36</v>
      </c>
      <c r="Z1238" s="3">
        <f t="shared" si="19"/>
        <v>70.109142857142857</v>
      </c>
    </row>
    <row r="1239" spans="1:26" hidden="1">
      <c r="A1239" t="s">
        <v>706</v>
      </c>
      <c r="B1239" s="6">
        <v>44287</v>
      </c>
      <c r="C1239" s="6">
        <v>44651</v>
      </c>
      <c r="D1239">
        <v>20210401</v>
      </c>
      <c r="E1239">
        <v>20220331</v>
      </c>
      <c r="F1239" t="s">
        <v>3262</v>
      </c>
      <c r="G1239" t="s">
        <v>3263</v>
      </c>
      <c r="H1239" t="s">
        <v>613</v>
      </c>
      <c r="I1239" t="s">
        <v>805</v>
      </c>
      <c r="L1239">
        <v>2</v>
      </c>
      <c r="M1239">
        <v>975</v>
      </c>
      <c r="N1239">
        <v>-2</v>
      </c>
      <c r="O1239">
        <v>-975</v>
      </c>
      <c r="Z1239" s="3">
        <f t="shared" si="19"/>
        <v>487.5</v>
      </c>
    </row>
    <row r="1240" spans="1:26" hidden="1">
      <c r="A1240" t="s">
        <v>706</v>
      </c>
      <c r="B1240" s="6">
        <v>44287</v>
      </c>
      <c r="C1240" s="6">
        <v>44651</v>
      </c>
      <c r="D1240">
        <v>20210401</v>
      </c>
      <c r="E1240">
        <v>20220331</v>
      </c>
      <c r="F1240" t="s">
        <v>3264</v>
      </c>
      <c r="G1240" t="s">
        <v>3265</v>
      </c>
      <c r="H1240" t="s">
        <v>1267</v>
      </c>
      <c r="I1240" t="s">
        <v>805</v>
      </c>
      <c r="L1240">
        <v>200</v>
      </c>
      <c r="M1240">
        <v>9600</v>
      </c>
      <c r="N1240">
        <v>-200</v>
      </c>
      <c r="O1240">
        <v>-9600</v>
      </c>
      <c r="Z1240" s="3">
        <f t="shared" si="19"/>
        <v>48</v>
      </c>
    </row>
    <row r="1241" spans="1:26" hidden="1">
      <c r="A1241" t="s">
        <v>706</v>
      </c>
      <c r="B1241" s="6">
        <v>44287</v>
      </c>
      <c r="C1241" s="6">
        <v>44651</v>
      </c>
      <c r="D1241">
        <v>20210401</v>
      </c>
      <c r="E1241">
        <v>20220331</v>
      </c>
      <c r="F1241" t="s">
        <v>3266</v>
      </c>
      <c r="G1241" t="s">
        <v>3267</v>
      </c>
      <c r="H1241" t="s">
        <v>590</v>
      </c>
      <c r="I1241" t="s">
        <v>805</v>
      </c>
      <c r="J1241">
        <v>5</v>
      </c>
      <c r="K1241">
        <v>694.92</v>
      </c>
      <c r="L1241">
        <v>10</v>
      </c>
      <c r="M1241">
        <v>2400</v>
      </c>
      <c r="N1241">
        <v>-15</v>
      </c>
      <c r="O1241">
        <v>-3094.91</v>
      </c>
      <c r="Y1241">
        <v>0.01</v>
      </c>
      <c r="Z1241" s="3">
        <f t="shared" si="19"/>
        <v>206.32733333333331</v>
      </c>
    </row>
    <row r="1242" spans="1:26" hidden="1">
      <c r="A1242" t="s">
        <v>706</v>
      </c>
      <c r="B1242" s="6">
        <v>44287</v>
      </c>
      <c r="C1242" s="6">
        <v>44651</v>
      </c>
      <c r="D1242">
        <v>20210401</v>
      </c>
      <c r="E1242">
        <v>20220331</v>
      </c>
      <c r="F1242" t="s">
        <v>3268</v>
      </c>
      <c r="G1242" t="s">
        <v>3269</v>
      </c>
      <c r="H1242" t="s">
        <v>613</v>
      </c>
      <c r="I1242" t="s">
        <v>805</v>
      </c>
      <c r="L1242">
        <v>0.10299999999999999</v>
      </c>
      <c r="M1242">
        <v>3708</v>
      </c>
      <c r="N1242">
        <v>-0.10299999999999999</v>
      </c>
      <c r="O1242">
        <v>-3708</v>
      </c>
      <c r="Z1242" s="3">
        <f t="shared" si="19"/>
        <v>36000</v>
      </c>
    </row>
    <row r="1243" spans="1:26" hidden="1">
      <c r="A1243" t="s">
        <v>706</v>
      </c>
      <c r="B1243" s="6">
        <v>44287</v>
      </c>
      <c r="C1243" s="6">
        <v>44651</v>
      </c>
      <c r="D1243">
        <v>20210401</v>
      </c>
      <c r="E1243">
        <v>20220331</v>
      </c>
      <c r="F1243" t="s">
        <v>3270</v>
      </c>
      <c r="G1243" t="s">
        <v>3271</v>
      </c>
      <c r="H1243" t="s">
        <v>590</v>
      </c>
      <c r="I1243" t="s">
        <v>805</v>
      </c>
      <c r="J1243">
        <v>1</v>
      </c>
      <c r="K1243">
        <v>150</v>
      </c>
      <c r="L1243">
        <v>3</v>
      </c>
      <c r="M1243">
        <v>1050</v>
      </c>
      <c r="N1243">
        <v>-1</v>
      </c>
      <c r="O1243">
        <v>-150</v>
      </c>
      <c r="X1243">
        <v>3</v>
      </c>
      <c r="Y1243">
        <v>1050</v>
      </c>
      <c r="Z1243" s="3">
        <f t="shared" si="19"/>
        <v>150</v>
      </c>
    </row>
    <row r="1244" spans="1:26" hidden="1">
      <c r="A1244" t="s">
        <v>706</v>
      </c>
      <c r="B1244" s="6">
        <v>44287</v>
      </c>
      <c r="C1244" s="6">
        <v>44651</v>
      </c>
      <c r="D1244">
        <v>20210401</v>
      </c>
      <c r="E1244">
        <v>20220331</v>
      </c>
      <c r="F1244" t="s">
        <v>3272</v>
      </c>
      <c r="G1244" t="s">
        <v>3273</v>
      </c>
      <c r="H1244" t="s">
        <v>590</v>
      </c>
      <c r="I1244" t="s">
        <v>805</v>
      </c>
      <c r="J1244">
        <v>5</v>
      </c>
      <c r="K1244">
        <v>486</v>
      </c>
      <c r="N1244">
        <v>-5</v>
      </c>
      <c r="O1244">
        <v>-486</v>
      </c>
      <c r="Z1244" s="3">
        <f t="shared" si="19"/>
        <v>97.2</v>
      </c>
    </row>
    <row r="1245" spans="1:26" hidden="1">
      <c r="A1245" t="s">
        <v>706</v>
      </c>
      <c r="B1245" s="6">
        <v>44287</v>
      </c>
      <c r="C1245" s="6">
        <v>44651</v>
      </c>
      <c r="D1245">
        <v>20210401</v>
      </c>
      <c r="E1245">
        <v>20220331</v>
      </c>
      <c r="F1245" t="s">
        <v>3274</v>
      </c>
      <c r="G1245" t="s">
        <v>3275</v>
      </c>
      <c r="H1245" t="s">
        <v>590</v>
      </c>
      <c r="I1245" t="s">
        <v>805</v>
      </c>
      <c r="L1245">
        <v>1</v>
      </c>
      <c r="M1245">
        <v>250</v>
      </c>
      <c r="N1245">
        <v>-1</v>
      </c>
      <c r="O1245">
        <v>-250</v>
      </c>
      <c r="Z1245" s="3">
        <f t="shared" si="19"/>
        <v>250</v>
      </c>
    </row>
    <row r="1246" spans="1:26" hidden="1">
      <c r="A1246" t="s">
        <v>706</v>
      </c>
      <c r="B1246" s="6">
        <v>44287</v>
      </c>
      <c r="C1246" s="6">
        <v>44651</v>
      </c>
      <c r="D1246">
        <v>20210401</v>
      </c>
      <c r="E1246">
        <v>20220331</v>
      </c>
      <c r="F1246" t="s">
        <v>3276</v>
      </c>
      <c r="G1246" t="s">
        <v>3277</v>
      </c>
      <c r="H1246" t="s">
        <v>590</v>
      </c>
      <c r="I1246" t="s">
        <v>1462</v>
      </c>
      <c r="L1246">
        <v>6</v>
      </c>
      <c r="M1246">
        <v>600</v>
      </c>
      <c r="N1246">
        <v>-6</v>
      </c>
      <c r="O1246">
        <v>-600</v>
      </c>
      <c r="Z1246" s="3">
        <f t="shared" si="19"/>
        <v>100</v>
      </c>
    </row>
    <row r="1247" spans="1:26" hidden="1">
      <c r="A1247" t="s">
        <v>706</v>
      </c>
      <c r="B1247" s="6">
        <v>44287</v>
      </c>
      <c r="C1247" s="6">
        <v>44651</v>
      </c>
      <c r="D1247">
        <v>20210401</v>
      </c>
      <c r="E1247">
        <v>20220331</v>
      </c>
      <c r="F1247" t="s">
        <v>3278</v>
      </c>
      <c r="G1247" t="s">
        <v>3279</v>
      </c>
      <c r="H1247" t="s">
        <v>613</v>
      </c>
      <c r="I1247" t="s">
        <v>805</v>
      </c>
      <c r="J1247">
        <v>37.5</v>
      </c>
      <c r="K1247">
        <v>15883.31</v>
      </c>
      <c r="L1247">
        <v>10</v>
      </c>
      <c r="M1247">
        <v>4960</v>
      </c>
      <c r="N1247">
        <v>-47.5</v>
      </c>
      <c r="O1247">
        <v>-20843.32</v>
      </c>
      <c r="Y1247">
        <v>-0.01</v>
      </c>
      <c r="Z1247" s="3">
        <f t="shared" si="19"/>
        <v>438.80673684210524</v>
      </c>
    </row>
    <row r="1248" spans="1:26" hidden="1">
      <c r="A1248" t="s">
        <v>706</v>
      </c>
      <c r="B1248" s="6">
        <v>44287</v>
      </c>
      <c r="C1248" s="6">
        <v>44651</v>
      </c>
      <c r="D1248">
        <v>20210401</v>
      </c>
      <c r="E1248">
        <v>20220331</v>
      </c>
      <c r="F1248" t="s">
        <v>3280</v>
      </c>
      <c r="G1248" t="s">
        <v>3281</v>
      </c>
      <c r="H1248" t="s">
        <v>613</v>
      </c>
      <c r="I1248" t="s">
        <v>805</v>
      </c>
      <c r="J1248">
        <v>5</v>
      </c>
      <c r="K1248">
        <v>1935</v>
      </c>
      <c r="L1248">
        <v>10</v>
      </c>
      <c r="M1248">
        <v>4350</v>
      </c>
      <c r="N1248">
        <v>-13</v>
      </c>
      <c r="O1248">
        <v>-5511</v>
      </c>
      <c r="R1248">
        <v>-2</v>
      </c>
      <c r="S1248">
        <v>-774</v>
      </c>
      <c r="Z1248" s="3">
        <f t="shared" si="19"/>
        <v>423.92307692307691</v>
      </c>
    </row>
    <row r="1249" spans="1:26" hidden="1">
      <c r="A1249" t="s">
        <v>706</v>
      </c>
      <c r="B1249" s="6">
        <v>44287</v>
      </c>
      <c r="C1249" s="6">
        <v>44651</v>
      </c>
      <c r="D1249">
        <v>20210401</v>
      </c>
      <c r="E1249">
        <v>20220331</v>
      </c>
      <c r="F1249" t="s">
        <v>3282</v>
      </c>
      <c r="G1249" t="s">
        <v>3283</v>
      </c>
      <c r="H1249" t="s">
        <v>3284</v>
      </c>
      <c r="I1249" t="s">
        <v>805</v>
      </c>
      <c r="L1249">
        <v>700</v>
      </c>
      <c r="M1249">
        <v>14050</v>
      </c>
      <c r="N1249">
        <v>-700</v>
      </c>
      <c r="O1249">
        <v>-14050</v>
      </c>
      <c r="Z1249" s="3">
        <f t="shared" si="19"/>
        <v>20.071428571428573</v>
      </c>
    </row>
    <row r="1250" spans="1:26" hidden="1">
      <c r="A1250" t="s">
        <v>706</v>
      </c>
      <c r="B1250" s="6">
        <v>44287</v>
      </c>
      <c r="C1250" s="6">
        <v>44651</v>
      </c>
      <c r="D1250">
        <v>20210401</v>
      </c>
      <c r="E1250">
        <v>20220331</v>
      </c>
      <c r="F1250" t="s">
        <v>3285</v>
      </c>
      <c r="G1250" t="s">
        <v>3286</v>
      </c>
      <c r="H1250" t="s">
        <v>613</v>
      </c>
      <c r="I1250" t="s">
        <v>805</v>
      </c>
      <c r="J1250">
        <v>23.5</v>
      </c>
      <c r="K1250">
        <v>31735</v>
      </c>
      <c r="N1250">
        <v>-23.5</v>
      </c>
      <c r="O1250">
        <v>-31735</v>
      </c>
      <c r="Z1250" s="3">
        <f t="shared" si="19"/>
        <v>1350.4255319148936</v>
      </c>
    </row>
    <row r="1251" spans="1:26" hidden="1">
      <c r="A1251" t="s">
        <v>706</v>
      </c>
      <c r="B1251" s="6">
        <v>44287</v>
      </c>
      <c r="C1251" s="6">
        <v>44651</v>
      </c>
      <c r="D1251">
        <v>20210401</v>
      </c>
      <c r="E1251">
        <v>20220331</v>
      </c>
      <c r="F1251" t="s">
        <v>3287</v>
      </c>
      <c r="G1251" t="s">
        <v>3288</v>
      </c>
      <c r="H1251" t="s">
        <v>590</v>
      </c>
      <c r="I1251" t="s">
        <v>805</v>
      </c>
      <c r="L1251">
        <v>4</v>
      </c>
      <c r="M1251">
        <v>34300</v>
      </c>
      <c r="N1251">
        <v>-4</v>
      </c>
      <c r="O1251">
        <v>-34300</v>
      </c>
      <c r="Z1251" s="3">
        <f t="shared" si="19"/>
        <v>8575</v>
      </c>
    </row>
    <row r="1252" spans="1:26" hidden="1">
      <c r="A1252" t="s">
        <v>706</v>
      </c>
      <c r="B1252" s="6">
        <v>44287</v>
      </c>
      <c r="C1252" s="6">
        <v>44651</v>
      </c>
      <c r="D1252">
        <v>20210401</v>
      </c>
      <c r="E1252">
        <v>20220331</v>
      </c>
      <c r="F1252" t="s">
        <v>3289</v>
      </c>
      <c r="G1252" t="s">
        <v>3290</v>
      </c>
      <c r="H1252" t="s">
        <v>1173</v>
      </c>
      <c r="I1252" t="s">
        <v>1462</v>
      </c>
      <c r="L1252">
        <v>1</v>
      </c>
      <c r="M1252">
        <v>1100</v>
      </c>
      <c r="N1252">
        <v>-1</v>
      </c>
      <c r="O1252">
        <v>-1100</v>
      </c>
      <c r="Z1252" s="3">
        <f t="shared" si="19"/>
        <v>1100</v>
      </c>
    </row>
    <row r="1253" spans="1:26" hidden="1">
      <c r="A1253" t="s">
        <v>706</v>
      </c>
      <c r="B1253" s="6">
        <v>44287</v>
      </c>
      <c r="C1253" s="6">
        <v>44651</v>
      </c>
      <c r="D1253">
        <v>20210401</v>
      </c>
      <c r="E1253">
        <v>20220331</v>
      </c>
      <c r="F1253" t="s">
        <v>3291</v>
      </c>
      <c r="G1253" t="s">
        <v>3292</v>
      </c>
      <c r="H1253" t="s">
        <v>590</v>
      </c>
      <c r="I1253" t="s">
        <v>805</v>
      </c>
      <c r="L1253">
        <v>3</v>
      </c>
      <c r="M1253">
        <v>1860</v>
      </c>
      <c r="N1253">
        <v>-3</v>
      </c>
      <c r="O1253">
        <v>-1860</v>
      </c>
      <c r="Z1253" s="3">
        <f t="shared" si="19"/>
        <v>620</v>
      </c>
    </row>
    <row r="1254" spans="1:26" hidden="1">
      <c r="A1254" t="s">
        <v>706</v>
      </c>
      <c r="B1254" s="6">
        <v>44287</v>
      </c>
      <c r="C1254" s="6">
        <v>44651</v>
      </c>
      <c r="D1254">
        <v>20210401</v>
      </c>
      <c r="E1254">
        <v>20220331</v>
      </c>
      <c r="F1254" t="s">
        <v>3293</v>
      </c>
      <c r="G1254" t="s">
        <v>3294</v>
      </c>
      <c r="H1254" t="s">
        <v>613</v>
      </c>
      <c r="I1254" t="s">
        <v>805</v>
      </c>
      <c r="L1254">
        <v>4.9000000000000004</v>
      </c>
      <c r="M1254">
        <v>24990</v>
      </c>
      <c r="N1254">
        <v>-4.9000000000000004</v>
      </c>
      <c r="O1254">
        <v>-24990</v>
      </c>
      <c r="Z1254" s="3">
        <f t="shared" si="19"/>
        <v>5100</v>
      </c>
    </row>
    <row r="1255" spans="1:26" hidden="1">
      <c r="A1255" t="s">
        <v>706</v>
      </c>
      <c r="B1255" s="6">
        <v>44287</v>
      </c>
      <c r="C1255" s="6">
        <v>44651</v>
      </c>
      <c r="D1255">
        <v>20210401</v>
      </c>
      <c r="E1255">
        <v>20220331</v>
      </c>
      <c r="F1255" t="s">
        <v>3295</v>
      </c>
      <c r="G1255" t="s">
        <v>3296</v>
      </c>
      <c r="H1255" t="s">
        <v>590</v>
      </c>
      <c r="I1255" t="s">
        <v>1462</v>
      </c>
      <c r="L1255">
        <v>3</v>
      </c>
      <c r="M1255">
        <v>1500</v>
      </c>
      <c r="X1255">
        <v>3</v>
      </c>
      <c r="Y1255">
        <v>1500</v>
      </c>
      <c r="Z1255" s="3">
        <f t="shared" si="19"/>
        <v>500</v>
      </c>
    </row>
    <row r="1256" spans="1:26" hidden="1">
      <c r="A1256" t="s">
        <v>706</v>
      </c>
      <c r="B1256" s="6">
        <v>44287</v>
      </c>
      <c r="C1256" s="6">
        <v>44651</v>
      </c>
      <c r="D1256">
        <v>20210401</v>
      </c>
      <c r="E1256">
        <v>20220331</v>
      </c>
      <c r="F1256" t="s">
        <v>3297</v>
      </c>
      <c r="G1256" t="s">
        <v>3298</v>
      </c>
      <c r="H1256" t="s">
        <v>590</v>
      </c>
      <c r="I1256" t="s">
        <v>805</v>
      </c>
      <c r="L1256">
        <v>2</v>
      </c>
      <c r="M1256">
        <v>17626.22</v>
      </c>
      <c r="N1256">
        <v>-2</v>
      </c>
      <c r="O1256">
        <v>-17626.22</v>
      </c>
      <c r="Z1256" s="3">
        <f t="shared" si="19"/>
        <v>8813.11</v>
      </c>
    </row>
    <row r="1257" spans="1:26" hidden="1">
      <c r="A1257" t="s">
        <v>706</v>
      </c>
      <c r="B1257" s="6">
        <v>44287</v>
      </c>
      <c r="C1257" s="6">
        <v>44651</v>
      </c>
      <c r="D1257">
        <v>20210401</v>
      </c>
      <c r="E1257">
        <v>20220331</v>
      </c>
      <c r="F1257" t="s">
        <v>3299</v>
      </c>
      <c r="G1257" t="s">
        <v>3300</v>
      </c>
      <c r="H1257" t="s">
        <v>613</v>
      </c>
      <c r="I1257" t="s">
        <v>805</v>
      </c>
      <c r="L1257">
        <v>1</v>
      </c>
      <c r="M1257">
        <v>1085</v>
      </c>
      <c r="N1257">
        <v>-1</v>
      </c>
      <c r="O1257">
        <v>-1085</v>
      </c>
      <c r="Z1257" s="3">
        <f t="shared" si="19"/>
        <v>1085</v>
      </c>
    </row>
    <row r="1258" spans="1:26" hidden="1">
      <c r="A1258" t="s">
        <v>706</v>
      </c>
      <c r="B1258" s="6">
        <v>44287</v>
      </c>
      <c r="C1258" s="6">
        <v>44651</v>
      </c>
      <c r="D1258">
        <v>20210401</v>
      </c>
      <c r="E1258">
        <v>20220331</v>
      </c>
      <c r="F1258" t="s">
        <v>3301</v>
      </c>
      <c r="G1258" t="s">
        <v>3302</v>
      </c>
      <c r="H1258" t="s">
        <v>2073</v>
      </c>
      <c r="I1258" t="s">
        <v>1462</v>
      </c>
      <c r="L1258">
        <v>10</v>
      </c>
      <c r="M1258">
        <v>700</v>
      </c>
      <c r="N1258">
        <v>-10</v>
      </c>
      <c r="O1258">
        <v>-700</v>
      </c>
      <c r="Z1258" s="3">
        <f t="shared" si="19"/>
        <v>70</v>
      </c>
    </row>
    <row r="1259" spans="1:26" hidden="1">
      <c r="A1259" t="s">
        <v>706</v>
      </c>
      <c r="B1259" s="6">
        <v>44287</v>
      </c>
      <c r="C1259" s="6">
        <v>44651</v>
      </c>
      <c r="D1259">
        <v>20210401</v>
      </c>
      <c r="E1259">
        <v>20220331</v>
      </c>
      <c r="F1259" t="s">
        <v>3303</v>
      </c>
      <c r="G1259" t="s">
        <v>3304</v>
      </c>
      <c r="H1259" t="s">
        <v>613</v>
      </c>
      <c r="I1259" t="s">
        <v>805</v>
      </c>
      <c r="J1259">
        <v>20</v>
      </c>
      <c r="K1259">
        <v>10760</v>
      </c>
      <c r="L1259">
        <v>10</v>
      </c>
      <c r="M1259">
        <v>6800</v>
      </c>
      <c r="N1259">
        <v>-30</v>
      </c>
      <c r="O1259">
        <v>-17560</v>
      </c>
      <c r="Z1259" s="3">
        <f t="shared" si="19"/>
        <v>585.33333333333337</v>
      </c>
    </row>
    <row r="1260" spans="1:26" hidden="1">
      <c r="A1260" t="s">
        <v>706</v>
      </c>
      <c r="B1260" s="6">
        <v>44287</v>
      </c>
      <c r="C1260" s="6">
        <v>44651</v>
      </c>
      <c r="D1260">
        <v>20210401</v>
      </c>
      <c r="E1260">
        <v>20220331</v>
      </c>
      <c r="F1260" t="s">
        <v>3305</v>
      </c>
      <c r="G1260" t="s">
        <v>3306</v>
      </c>
      <c r="H1260" t="s">
        <v>613</v>
      </c>
      <c r="I1260" t="s">
        <v>805</v>
      </c>
      <c r="J1260">
        <v>30</v>
      </c>
      <c r="K1260">
        <v>21209.89</v>
      </c>
      <c r="L1260">
        <v>120</v>
      </c>
      <c r="M1260">
        <v>102514</v>
      </c>
      <c r="N1260">
        <v>-150</v>
      </c>
      <c r="O1260">
        <v>-123723.9</v>
      </c>
      <c r="Y1260">
        <v>-0.01</v>
      </c>
      <c r="Z1260" s="3">
        <f t="shared" si="19"/>
        <v>824.82599999999991</v>
      </c>
    </row>
    <row r="1261" spans="1:26" hidden="1">
      <c r="A1261" t="s">
        <v>706</v>
      </c>
      <c r="B1261" s="6">
        <v>44287</v>
      </c>
      <c r="C1261" s="6">
        <v>44651</v>
      </c>
      <c r="D1261">
        <v>20210401</v>
      </c>
      <c r="E1261">
        <v>20220331</v>
      </c>
      <c r="F1261" t="s">
        <v>3307</v>
      </c>
      <c r="G1261" t="s">
        <v>3308</v>
      </c>
      <c r="H1261" t="s">
        <v>590</v>
      </c>
      <c r="I1261" t="s">
        <v>805</v>
      </c>
      <c r="J1261">
        <v>382</v>
      </c>
      <c r="K1261">
        <v>4333.08</v>
      </c>
      <c r="N1261">
        <v>-382</v>
      </c>
      <c r="O1261">
        <v>-4333.0600000000004</v>
      </c>
      <c r="Y1261">
        <v>0.02</v>
      </c>
      <c r="Z1261" s="3">
        <f t="shared" si="19"/>
        <v>11.343089005235603</v>
      </c>
    </row>
    <row r="1262" spans="1:26" hidden="1">
      <c r="A1262" t="s">
        <v>706</v>
      </c>
      <c r="B1262" s="6">
        <v>44287</v>
      </c>
      <c r="C1262" s="6">
        <v>44651</v>
      </c>
      <c r="D1262">
        <v>20210401</v>
      </c>
      <c r="E1262">
        <v>20220331</v>
      </c>
      <c r="F1262" t="s">
        <v>3309</v>
      </c>
      <c r="G1262" t="s">
        <v>3310</v>
      </c>
      <c r="H1262" t="s">
        <v>590</v>
      </c>
      <c r="I1262" t="s">
        <v>1462</v>
      </c>
      <c r="L1262">
        <v>1</v>
      </c>
      <c r="M1262">
        <v>2500</v>
      </c>
      <c r="N1262">
        <v>-1</v>
      </c>
      <c r="O1262">
        <v>-2500</v>
      </c>
      <c r="Z1262" s="3">
        <f t="shared" si="19"/>
        <v>2500</v>
      </c>
    </row>
    <row r="1263" spans="1:26" hidden="1">
      <c r="A1263" t="s">
        <v>706</v>
      </c>
      <c r="B1263" s="6">
        <v>44287</v>
      </c>
      <c r="C1263" s="6">
        <v>44651</v>
      </c>
      <c r="D1263">
        <v>20210401</v>
      </c>
      <c r="E1263">
        <v>20220331</v>
      </c>
      <c r="F1263" t="s">
        <v>3311</v>
      </c>
      <c r="G1263" t="s">
        <v>3312</v>
      </c>
      <c r="H1263" t="s">
        <v>590</v>
      </c>
      <c r="I1263" t="s">
        <v>1462</v>
      </c>
      <c r="L1263">
        <v>8</v>
      </c>
      <c r="M1263">
        <v>50730</v>
      </c>
      <c r="N1263">
        <v>-8</v>
      </c>
      <c r="O1263">
        <v>-50730</v>
      </c>
      <c r="Z1263" s="3">
        <f t="shared" si="19"/>
        <v>6341.25</v>
      </c>
    </row>
    <row r="1264" spans="1:26" hidden="1">
      <c r="A1264" t="s">
        <v>706</v>
      </c>
      <c r="B1264" s="6">
        <v>44287</v>
      </c>
      <c r="C1264" s="6">
        <v>44651</v>
      </c>
      <c r="D1264">
        <v>20210401</v>
      </c>
      <c r="E1264">
        <v>20220331</v>
      </c>
      <c r="F1264" t="s">
        <v>3313</v>
      </c>
      <c r="G1264" t="s">
        <v>3314</v>
      </c>
      <c r="H1264" t="s">
        <v>590</v>
      </c>
      <c r="I1264" t="s">
        <v>1462</v>
      </c>
      <c r="L1264">
        <v>2</v>
      </c>
      <c r="M1264">
        <v>11900</v>
      </c>
      <c r="N1264">
        <v>-2</v>
      </c>
      <c r="O1264">
        <v>-11900</v>
      </c>
      <c r="Z1264" s="3">
        <f t="shared" si="19"/>
        <v>5950</v>
      </c>
    </row>
    <row r="1265" spans="1:26" hidden="1">
      <c r="A1265" t="s">
        <v>706</v>
      </c>
      <c r="B1265" s="6">
        <v>44287</v>
      </c>
      <c r="C1265" s="6">
        <v>44651</v>
      </c>
      <c r="D1265">
        <v>20210401</v>
      </c>
      <c r="E1265">
        <v>20220331</v>
      </c>
      <c r="F1265" t="s">
        <v>3315</v>
      </c>
      <c r="G1265" t="s">
        <v>3316</v>
      </c>
      <c r="H1265" t="s">
        <v>590</v>
      </c>
      <c r="I1265" t="s">
        <v>1462</v>
      </c>
      <c r="L1265">
        <v>1</v>
      </c>
      <c r="M1265">
        <v>7633</v>
      </c>
      <c r="N1265">
        <v>-1</v>
      </c>
      <c r="O1265">
        <v>-7633</v>
      </c>
      <c r="Z1265" s="3">
        <f t="shared" si="19"/>
        <v>7633</v>
      </c>
    </row>
    <row r="1266" spans="1:26" hidden="1">
      <c r="A1266" t="s">
        <v>706</v>
      </c>
      <c r="B1266" s="6">
        <v>44287</v>
      </c>
      <c r="C1266" s="6">
        <v>44651</v>
      </c>
      <c r="D1266">
        <v>20210401</v>
      </c>
      <c r="E1266">
        <v>20220331</v>
      </c>
      <c r="F1266" t="s">
        <v>3317</v>
      </c>
      <c r="G1266" t="s">
        <v>3318</v>
      </c>
      <c r="H1266" t="s">
        <v>3319</v>
      </c>
      <c r="I1266" t="s">
        <v>805</v>
      </c>
      <c r="L1266">
        <v>61</v>
      </c>
      <c r="M1266">
        <v>27611.040000000001</v>
      </c>
      <c r="N1266">
        <v>-61</v>
      </c>
      <c r="O1266">
        <v>-27611.040000000001</v>
      </c>
      <c r="Z1266" s="3">
        <f t="shared" si="19"/>
        <v>452.64</v>
      </c>
    </row>
    <row r="1267" spans="1:26" hidden="1">
      <c r="A1267" t="s">
        <v>706</v>
      </c>
      <c r="B1267" s="6">
        <v>44287</v>
      </c>
      <c r="C1267" s="6">
        <v>44651</v>
      </c>
      <c r="D1267">
        <v>20210401</v>
      </c>
      <c r="E1267">
        <v>20220331</v>
      </c>
      <c r="F1267" t="s">
        <v>3320</v>
      </c>
      <c r="G1267" t="s">
        <v>3321</v>
      </c>
      <c r="H1267" t="s">
        <v>590</v>
      </c>
      <c r="I1267" t="s">
        <v>1462</v>
      </c>
      <c r="L1267">
        <v>41</v>
      </c>
      <c r="M1267">
        <v>7449</v>
      </c>
      <c r="N1267">
        <v>-41</v>
      </c>
      <c r="O1267">
        <v>-7449</v>
      </c>
      <c r="Z1267" s="3">
        <f t="shared" si="19"/>
        <v>181.6829268292683</v>
      </c>
    </row>
    <row r="1268" spans="1:26" hidden="1">
      <c r="A1268" t="s">
        <v>706</v>
      </c>
      <c r="B1268" s="6">
        <v>44287</v>
      </c>
      <c r="C1268" s="6">
        <v>44651</v>
      </c>
      <c r="D1268">
        <v>20210401</v>
      </c>
      <c r="E1268">
        <v>20220331</v>
      </c>
      <c r="F1268" t="s">
        <v>3322</v>
      </c>
      <c r="G1268" t="s">
        <v>3323</v>
      </c>
      <c r="H1268" t="s">
        <v>590</v>
      </c>
      <c r="I1268" t="s">
        <v>1462</v>
      </c>
      <c r="L1268">
        <v>2</v>
      </c>
      <c r="M1268">
        <v>100</v>
      </c>
      <c r="N1268">
        <v>-2</v>
      </c>
      <c r="O1268">
        <v>-100</v>
      </c>
      <c r="Z1268" s="3">
        <f t="shared" si="19"/>
        <v>50</v>
      </c>
    </row>
    <row r="1269" spans="1:26" hidden="1">
      <c r="A1269" t="s">
        <v>706</v>
      </c>
      <c r="B1269" s="6">
        <v>44287</v>
      </c>
      <c r="C1269" s="6">
        <v>44651</v>
      </c>
      <c r="D1269">
        <v>20210401</v>
      </c>
      <c r="E1269">
        <v>20220331</v>
      </c>
      <c r="F1269" t="s">
        <v>3324</v>
      </c>
      <c r="G1269" t="s">
        <v>3325</v>
      </c>
      <c r="H1269" t="s">
        <v>590</v>
      </c>
      <c r="I1269" t="s">
        <v>1462</v>
      </c>
      <c r="L1269">
        <v>30</v>
      </c>
      <c r="M1269">
        <v>880</v>
      </c>
      <c r="N1269">
        <v>-30</v>
      </c>
      <c r="O1269">
        <v>-880</v>
      </c>
      <c r="Z1269" s="3">
        <f t="shared" si="19"/>
        <v>29.333333333333332</v>
      </c>
    </row>
    <row r="1270" spans="1:26" hidden="1">
      <c r="A1270" t="s">
        <v>706</v>
      </c>
      <c r="B1270" s="6">
        <v>44287</v>
      </c>
      <c r="C1270" s="6">
        <v>44651</v>
      </c>
      <c r="D1270">
        <v>20210401</v>
      </c>
      <c r="E1270">
        <v>20220331</v>
      </c>
      <c r="F1270" t="s">
        <v>3326</v>
      </c>
      <c r="G1270" t="s">
        <v>3327</v>
      </c>
      <c r="H1270" t="s">
        <v>590</v>
      </c>
      <c r="I1270" t="s">
        <v>1462</v>
      </c>
      <c r="L1270">
        <v>30</v>
      </c>
      <c r="M1270">
        <v>540</v>
      </c>
      <c r="N1270">
        <v>-30</v>
      </c>
      <c r="O1270">
        <v>-540</v>
      </c>
      <c r="Z1270" s="3">
        <f t="shared" si="19"/>
        <v>18</v>
      </c>
    </row>
    <row r="1271" spans="1:26" hidden="1">
      <c r="A1271" t="s">
        <v>706</v>
      </c>
      <c r="B1271" s="6">
        <v>44287</v>
      </c>
      <c r="C1271" s="6">
        <v>44651</v>
      </c>
      <c r="D1271">
        <v>20210401</v>
      </c>
      <c r="E1271">
        <v>20220331</v>
      </c>
      <c r="F1271" t="s">
        <v>3328</v>
      </c>
      <c r="G1271" t="s">
        <v>3329</v>
      </c>
      <c r="H1271" t="s">
        <v>590</v>
      </c>
      <c r="I1271" t="s">
        <v>1462</v>
      </c>
      <c r="L1271">
        <v>12</v>
      </c>
      <c r="M1271">
        <v>114</v>
      </c>
      <c r="N1271">
        <v>-12</v>
      </c>
      <c r="O1271">
        <v>-114</v>
      </c>
      <c r="Z1271" s="3">
        <f t="shared" si="19"/>
        <v>9.5</v>
      </c>
    </row>
    <row r="1272" spans="1:26" hidden="1">
      <c r="A1272" t="s">
        <v>706</v>
      </c>
      <c r="B1272" s="6">
        <v>44287</v>
      </c>
      <c r="C1272" s="6">
        <v>44651</v>
      </c>
      <c r="D1272">
        <v>20210401</v>
      </c>
      <c r="E1272">
        <v>20220331</v>
      </c>
      <c r="F1272" t="s">
        <v>3330</v>
      </c>
      <c r="G1272" t="s">
        <v>3331</v>
      </c>
      <c r="H1272" t="s">
        <v>590</v>
      </c>
      <c r="I1272" t="s">
        <v>805</v>
      </c>
      <c r="L1272">
        <v>10</v>
      </c>
      <c r="M1272">
        <v>1470</v>
      </c>
      <c r="N1272">
        <v>-10</v>
      </c>
      <c r="O1272">
        <v>-1470</v>
      </c>
      <c r="Z1272" s="3">
        <f t="shared" si="19"/>
        <v>147</v>
      </c>
    </row>
    <row r="1273" spans="1:26" hidden="1">
      <c r="A1273" t="s">
        <v>706</v>
      </c>
      <c r="B1273" s="6">
        <v>44287</v>
      </c>
      <c r="C1273" s="6">
        <v>44651</v>
      </c>
      <c r="D1273">
        <v>20210401</v>
      </c>
      <c r="E1273">
        <v>20220331</v>
      </c>
      <c r="F1273" t="s">
        <v>3332</v>
      </c>
      <c r="G1273" t="s">
        <v>3333</v>
      </c>
      <c r="H1273" t="s">
        <v>590</v>
      </c>
      <c r="I1273" t="s">
        <v>1462</v>
      </c>
      <c r="L1273">
        <v>18</v>
      </c>
      <c r="M1273">
        <v>396</v>
      </c>
      <c r="N1273">
        <v>-18</v>
      </c>
      <c r="O1273">
        <v>-396</v>
      </c>
      <c r="Z1273" s="3">
        <f t="shared" si="19"/>
        <v>22</v>
      </c>
    </row>
    <row r="1274" spans="1:26" hidden="1">
      <c r="A1274" t="s">
        <v>706</v>
      </c>
      <c r="B1274" s="6">
        <v>44287</v>
      </c>
      <c r="C1274" s="6">
        <v>44651</v>
      </c>
      <c r="D1274">
        <v>20210401</v>
      </c>
      <c r="E1274">
        <v>20220331</v>
      </c>
      <c r="F1274" t="s">
        <v>3334</v>
      </c>
      <c r="G1274" t="s">
        <v>3335</v>
      </c>
      <c r="H1274" t="s">
        <v>590</v>
      </c>
      <c r="I1274" t="s">
        <v>1462</v>
      </c>
      <c r="L1274">
        <v>32</v>
      </c>
      <c r="M1274">
        <v>756</v>
      </c>
      <c r="N1274">
        <v>-37</v>
      </c>
      <c r="O1274">
        <v>-886</v>
      </c>
      <c r="P1274">
        <v>5</v>
      </c>
      <c r="Q1274">
        <v>130</v>
      </c>
      <c r="Z1274" s="3">
        <f t="shared" si="19"/>
        <v>23.625</v>
      </c>
    </row>
    <row r="1275" spans="1:26" hidden="1">
      <c r="A1275" t="s">
        <v>706</v>
      </c>
      <c r="B1275" s="6">
        <v>44287</v>
      </c>
      <c r="C1275" s="6">
        <v>44651</v>
      </c>
      <c r="D1275">
        <v>20210401</v>
      </c>
      <c r="E1275">
        <v>20220331</v>
      </c>
      <c r="F1275" t="s">
        <v>3336</v>
      </c>
      <c r="G1275" t="s">
        <v>3337</v>
      </c>
      <c r="H1275" t="s">
        <v>590</v>
      </c>
      <c r="I1275" t="s">
        <v>1462</v>
      </c>
      <c r="L1275">
        <v>40</v>
      </c>
      <c r="M1275">
        <v>2520</v>
      </c>
      <c r="N1275">
        <v>-40</v>
      </c>
      <c r="O1275">
        <v>-2520</v>
      </c>
      <c r="Z1275" s="3">
        <f t="shared" si="19"/>
        <v>63</v>
      </c>
    </row>
    <row r="1276" spans="1:26" hidden="1">
      <c r="A1276" t="s">
        <v>706</v>
      </c>
      <c r="B1276" s="6">
        <v>44287</v>
      </c>
      <c r="C1276" s="6">
        <v>44651</v>
      </c>
      <c r="D1276">
        <v>20210401</v>
      </c>
      <c r="E1276">
        <v>20220331</v>
      </c>
      <c r="F1276" t="s">
        <v>3338</v>
      </c>
      <c r="G1276" t="s">
        <v>3339</v>
      </c>
      <c r="H1276" t="s">
        <v>590</v>
      </c>
      <c r="I1276" t="s">
        <v>1462</v>
      </c>
      <c r="L1276">
        <v>20</v>
      </c>
      <c r="M1276">
        <v>380</v>
      </c>
      <c r="N1276">
        <v>-38</v>
      </c>
      <c r="O1276">
        <v>-668</v>
      </c>
      <c r="P1276">
        <v>18</v>
      </c>
      <c r="Q1276">
        <v>288</v>
      </c>
      <c r="Z1276" s="3">
        <f t="shared" si="19"/>
        <v>19</v>
      </c>
    </row>
    <row r="1277" spans="1:26" hidden="1">
      <c r="A1277" t="s">
        <v>706</v>
      </c>
      <c r="B1277" s="6">
        <v>44287</v>
      </c>
      <c r="C1277" s="6">
        <v>44651</v>
      </c>
      <c r="D1277">
        <v>20210401</v>
      </c>
      <c r="E1277">
        <v>20220331</v>
      </c>
      <c r="F1277" t="s">
        <v>3340</v>
      </c>
      <c r="G1277" t="s">
        <v>3341</v>
      </c>
      <c r="H1277" t="s">
        <v>590</v>
      </c>
      <c r="I1277" t="s">
        <v>1462</v>
      </c>
      <c r="L1277">
        <v>10</v>
      </c>
      <c r="M1277">
        <v>950</v>
      </c>
      <c r="N1277">
        <v>-10</v>
      </c>
      <c r="O1277">
        <v>-950</v>
      </c>
      <c r="Z1277" s="3">
        <f t="shared" si="19"/>
        <v>95</v>
      </c>
    </row>
    <row r="1278" spans="1:26" hidden="1">
      <c r="A1278" t="s">
        <v>706</v>
      </c>
      <c r="B1278" s="6">
        <v>44287</v>
      </c>
      <c r="C1278" s="6">
        <v>44651</v>
      </c>
      <c r="D1278">
        <v>20210401</v>
      </c>
      <c r="E1278">
        <v>20220331</v>
      </c>
      <c r="F1278" t="s">
        <v>3342</v>
      </c>
      <c r="G1278" t="s">
        <v>3343</v>
      </c>
      <c r="H1278" t="s">
        <v>590</v>
      </c>
      <c r="I1278" t="s">
        <v>1462</v>
      </c>
      <c r="L1278">
        <v>30</v>
      </c>
      <c r="M1278">
        <v>5100</v>
      </c>
      <c r="N1278">
        <v>-30</v>
      </c>
      <c r="O1278">
        <v>-5100</v>
      </c>
      <c r="Z1278" s="3">
        <f t="shared" si="19"/>
        <v>170</v>
      </c>
    </row>
    <row r="1279" spans="1:26" hidden="1">
      <c r="A1279" t="s">
        <v>706</v>
      </c>
      <c r="B1279" s="6">
        <v>44287</v>
      </c>
      <c r="C1279" s="6">
        <v>44651</v>
      </c>
      <c r="D1279">
        <v>20210401</v>
      </c>
      <c r="E1279">
        <v>20220331</v>
      </c>
      <c r="F1279" t="s">
        <v>3344</v>
      </c>
      <c r="G1279" t="s">
        <v>3345</v>
      </c>
      <c r="H1279" t="s">
        <v>590</v>
      </c>
      <c r="I1279" t="s">
        <v>1462</v>
      </c>
      <c r="L1279">
        <v>4</v>
      </c>
      <c r="M1279">
        <v>780</v>
      </c>
      <c r="N1279">
        <v>-4</v>
      </c>
      <c r="O1279">
        <v>-780</v>
      </c>
      <c r="Z1279" s="3">
        <f t="shared" si="19"/>
        <v>195</v>
      </c>
    </row>
    <row r="1280" spans="1:26" hidden="1">
      <c r="A1280" t="s">
        <v>706</v>
      </c>
      <c r="B1280" s="6">
        <v>44287</v>
      </c>
      <c r="C1280" s="6">
        <v>44651</v>
      </c>
      <c r="D1280">
        <v>20210401</v>
      </c>
      <c r="E1280">
        <v>20220331</v>
      </c>
      <c r="F1280" t="s">
        <v>3346</v>
      </c>
      <c r="G1280" t="s">
        <v>3347</v>
      </c>
      <c r="H1280" t="s">
        <v>590</v>
      </c>
      <c r="I1280" t="s">
        <v>1462</v>
      </c>
      <c r="L1280">
        <v>3</v>
      </c>
      <c r="M1280">
        <v>375</v>
      </c>
      <c r="N1280">
        <v>-3</v>
      </c>
      <c r="O1280">
        <v>-375</v>
      </c>
      <c r="Z1280" s="3">
        <f t="shared" si="19"/>
        <v>125</v>
      </c>
    </row>
    <row r="1281" spans="1:26" hidden="1">
      <c r="A1281" t="s">
        <v>706</v>
      </c>
      <c r="B1281" s="6">
        <v>44287</v>
      </c>
      <c r="C1281" s="6">
        <v>44651</v>
      </c>
      <c r="D1281">
        <v>20210401</v>
      </c>
      <c r="E1281">
        <v>20220331</v>
      </c>
      <c r="F1281" t="s">
        <v>3348</v>
      </c>
      <c r="G1281" t="s">
        <v>3349</v>
      </c>
      <c r="H1281" t="s">
        <v>590</v>
      </c>
      <c r="I1281" t="s">
        <v>1462</v>
      </c>
      <c r="L1281">
        <v>12</v>
      </c>
      <c r="M1281">
        <v>324</v>
      </c>
      <c r="N1281">
        <v>-12</v>
      </c>
      <c r="O1281">
        <v>-324</v>
      </c>
      <c r="Z1281" s="3">
        <f t="shared" si="19"/>
        <v>27</v>
      </c>
    </row>
    <row r="1282" spans="1:26" hidden="1">
      <c r="A1282" t="s">
        <v>706</v>
      </c>
      <c r="B1282" s="6">
        <v>44287</v>
      </c>
      <c r="C1282" s="6">
        <v>44651</v>
      </c>
      <c r="D1282">
        <v>20210401</v>
      </c>
      <c r="E1282">
        <v>20220331</v>
      </c>
      <c r="F1282" t="s">
        <v>3350</v>
      </c>
      <c r="G1282" t="s">
        <v>3351</v>
      </c>
      <c r="H1282" t="s">
        <v>590</v>
      </c>
      <c r="I1282" t="s">
        <v>1462</v>
      </c>
      <c r="L1282">
        <v>44</v>
      </c>
      <c r="M1282">
        <v>1176</v>
      </c>
      <c r="N1282">
        <v>-44</v>
      </c>
      <c r="O1282">
        <v>-1176</v>
      </c>
      <c r="Z1282" s="3">
        <f t="shared" si="19"/>
        <v>26.727272727272727</v>
      </c>
    </row>
    <row r="1283" spans="1:26" hidden="1">
      <c r="A1283" t="s">
        <v>706</v>
      </c>
      <c r="B1283" s="6">
        <v>44287</v>
      </c>
      <c r="C1283" s="6">
        <v>44651</v>
      </c>
      <c r="D1283">
        <v>20210401</v>
      </c>
      <c r="E1283">
        <v>20220331</v>
      </c>
      <c r="F1283" t="s">
        <v>3352</v>
      </c>
      <c r="G1283" t="s">
        <v>3353</v>
      </c>
      <c r="H1283" t="s">
        <v>590</v>
      </c>
      <c r="I1283" t="s">
        <v>1462</v>
      </c>
      <c r="L1283">
        <v>12</v>
      </c>
      <c r="M1283">
        <v>126</v>
      </c>
      <c r="N1283">
        <v>-12</v>
      </c>
      <c r="O1283">
        <v>-126</v>
      </c>
      <c r="Z1283" s="3">
        <f t="shared" ref="Z1283:Z1346" si="20">IFERROR((O1283+Q1283)/(N1283+P1283),Y1283/X1283)</f>
        <v>10.5</v>
      </c>
    </row>
    <row r="1284" spans="1:26" hidden="1">
      <c r="A1284" t="s">
        <v>706</v>
      </c>
      <c r="B1284" s="6">
        <v>44287</v>
      </c>
      <c r="C1284" s="6">
        <v>44651</v>
      </c>
      <c r="D1284">
        <v>20210401</v>
      </c>
      <c r="E1284">
        <v>20220331</v>
      </c>
      <c r="F1284" t="s">
        <v>3354</v>
      </c>
      <c r="G1284" t="s">
        <v>3355</v>
      </c>
      <c r="H1284" t="s">
        <v>590</v>
      </c>
      <c r="I1284" t="s">
        <v>1462</v>
      </c>
      <c r="L1284">
        <v>20</v>
      </c>
      <c r="M1284">
        <v>700</v>
      </c>
      <c r="N1284">
        <v>-20</v>
      </c>
      <c r="O1284">
        <v>-700</v>
      </c>
      <c r="Z1284" s="3">
        <f t="shared" si="20"/>
        <v>35</v>
      </c>
    </row>
    <row r="1285" spans="1:26" hidden="1">
      <c r="A1285" t="s">
        <v>706</v>
      </c>
      <c r="B1285" s="6">
        <v>44287</v>
      </c>
      <c r="C1285" s="6">
        <v>44651</v>
      </c>
      <c r="D1285">
        <v>20210401</v>
      </c>
      <c r="E1285">
        <v>20220331</v>
      </c>
      <c r="F1285" t="s">
        <v>3356</v>
      </c>
      <c r="G1285" t="s">
        <v>3357</v>
      </c>
      <c r="H1285" t="s">
        <v>590</v>
      </c>
      <c r="I1285" t="s">
        <v>1462</v>
      </c>
      <c r="L1285">
        <v>10</v>
      </c>
      <c r="M1285">
        <v>550</v>
      </c>
      <c r="N1285">
        <v>-10</v>
      </c>
      <c r="O1285">
        <v>-550</v>
      </c>
      <c r="Z1285" s="3">
        <f t="shared" si="20"/>
        <v>55</v>
      </c>
    </row>
    <row r="1286" spans="1:26" hidden="1">
      <c r="A1286" t="s">
        <v>706</v>
      </c>
      <c r="B1286" s="6">
        <v>44287</v>
      </c>
      <c r="C1286" s="6">
        <v>44651</v>
      </c>
      <c r="D1286">
        <v>20210401</v>
      </c>
      <c r="E1286">
        <v>20220331</v>
      </c>
      <c r="F1286" t="s">
        <v>3358</v>
      </c>
      <c r="G1286" t="s">
        <v>3359</v>
      </c>
      <c r="H1286" t="s">
        <v>590</v>
      </c>
      <c r="I1286" t="s">
        <v>1462</v>
      </c>
      <c r="L1286">
        <v>20</v>
      </c>
      <c r="M1286">
        <v>16060</v>
      </c>
      <c r="N1286">
        <v>-20</v>
      </c>
      <c r="O1286">
        <v>-16060</v>
      </c>
      <c r="Z1286" s="3">
        <f t="shared" si="20"/>
        <v>803</v>
      </c>
    </row>
    <row r="1287" spans="1:26" hidden="1">
      <c r="A1287" t="s">
        <v>706</v>
      </c>
      <c r="B1287" s="6">
        <v>44287</v>
      </c>
      <c r="C1287" s="6">
        <v>44651</v>
      </c>
      <c r="D1287">
        <v>20210401</v>
      </c>
      <c r="E1287">
        <v>20220331</v>
      </c>
      <c r="F1287" t="s">
        <v>3360</v>
      </c>
      <c r="G1287" t="s">
        <v>3361</v>
      </c>
      <c r="H1287" t="s">
        <v>590</v>
      </c>
      <c r="I1287" t="s">
        <v>1462</v>
      </c>
      <c r="L1287">
        <v>5</v>
      </c>
      <c r="M1287">
        <v>75</v>
      </c>
      <c r="N1287">
        <v>-5</v>
      </c>
      <c r="O1287">
        <v>-75</v>
      </c>
      <c r="Z1287" s="3">
        <f t="shared" si="20"/>
        <v>15</v>
      </c>
    </row>
    <row r="1288" spans="1:26" hidden="1">
      <c r="A1288" t="s">
        <v>706</v>
      </c>
      <c r="B1288" s="6">
        <v>44287</v>
      </c>
      <c r="C1288" s="6">
        <v>44651</v>
      </c>
      <c r="D1288">
        <v>20210401</v>
      </c>
      <c r="E1288">
        <v>20220331</v>
      </c>
      <c r="F1288" t="s">
        <v>3362</v>
      </c>
      <c r="G1288" t="s">
        <v>3363</v>
      </c>
      <c r="H1288" t="s">
        <v>590</v>
      </c>
      <c r="I1288" t="s">
        <v>1462</v>
      </c>
      <c r="L1288">
        <v>2</v>
      </c>
      <c r="M1288">
        <v>1050</v>
      </c>
      <c r="N1288">
        <v>-2</v>
      </c>
      <c r="O1288">
        <v>-1050</v>
      </c>
      <c r="Z1288" s="3">
        <f t="shared" si="20"/>
        <v>525</v>
      </c>
    </row>
    <row r="1289" spans="1:26" hidden="1">
      <c r="A1289" t="s">
        <v>706</v>
      </c>
      <c r="B1289" s="6">
        <v>44287</v>
      </c>
      <c r="C1289" s="6">
        <v>44651</v>
      </c>
      <c r="D1289">
        <v>20210401</v>
      </c>
      <c r="E1289">
        <v>20220331</v>
      </c>
      <c r="F1289" t="s">
        <v>3364</v>
      </c>
      <c r="G1289" t="s">
        <v>3365</v>
      </c>
      <c r="H1289" t="s">
        <v>3319</v>
      </c>
      <c r="I1289" t="s">
        <v>1462</v>
      </c>
      <c r="L1289">
        <v>120</v>
      </c>
      <c r="M1289">
        <v>9000</v>
      </c>
      <c r="N1289">
        <v>-120</v>
      </c>
      <c r="O1289">
        <v>-9000</v>
      </c>
      <c r="Z1289" s="3">
        <f t="shared" si="20"/>
        <v>75</v>
      </c>
    </row>
    <row r="1290" spans="1:26" hidden="1">
      <c r="A1290" t="s">
        <v>706</v>
      </c>
      <c r="B1290" s="6">
        <v>44287</v>
      </c>
      <c r="C1290" s="6">
        <v>44651</v>
      </c>
      <c r="D1290">
        <v>20210401</v>
      </c>
      <c r="E1290">
        <v>20220331</v>
      </c>
      <c r="F1290" t="s">
        <v>3366</v>
      </c>
      <c r="G1290" t="s">
        <v>3367</v>
      </c>
      <c r="H1290" t="s">
        <v>3319</v>
      </c>
      <c r="I1290" t="s">
        <v>1462</v>
      </c>
      <c r="L1290">
        <v>200</v>
      </c>
      <c r="M1290">
        <v>29182</v>
      </c>
      <c r="N1290">
        <v>-200</v>
      </c>
      <c r="O1290">
        <v>-29182</v>
      </c>
      <c r="Z1290" s="3">
        <f t="shared" si="20"/>
        <v>145.91</v>
      </c>
    </row>
    <row r="1291" spans="1:26" hidden="1">
      <c r="A1291" t="s">
        <v>706</v>
      </c>
      <c r="B1291" s="6">
        <v>44287</v>
      </c>
      <c r="C1291" s="6">
        <v>44651</v>
      </c>
      <c r="D1291">
        <v>20210401</v>
      </c>
      <c r="E1291">
        <v>20220331</v>
      </c>
      <c r="F1291" t="s">
        <v>3368</v>
      </c>
      <c r="G1291" t="s">
        <v>3369</v>
      </c>
      <c r="H1291" t="s">
        <v>590</v>
      </c>
      <c r="I1291" t="s">
        <v>1462</v>
      </c>
      <c r="L1291">
        <v>20</v>
      </c>
      <c r="M1291">
        <v>1700</v>
      </c>
      <c r="N1291">
        <v>-20</v>
      </c>
      <c r="O1291">
        <v>-1700</v>
      </c>
      <c r="Z1291" s="3">
        <f t="shared" si="20"/>
        <v>85</v>
      </c>
    </row>
    <row r="1292" spans="1:26" hidden="1">
      <c r="A1292" t="s">
        <v>706</v>
      </c>
      <c r="B1292" s="6">
        <v>44287</v>
      </c>
      <c r="C1292" s="6">
        <v>44651</v>
      </c>
      <c r="D1292">
        <v>20210401</v>
      </c>
      <c r="E1292">
        <v>20220331</v>
      </c>
      <c r="F1292" t="s">
        <v>3370</v>
      </c>
      <c r="G1292" t="s">
        <v>3371</v>
      </c>
      <c r="H1292" t="s">
        <v>590</v>
      </c>
      <c r="I1292" t="s">
        <v>1462</v>
      </c>
      <c r="L1292">
        <v>10</v>
      </c>
      <c r="M1292">
        <v>1200</v>
      </c>
      <c r="N1292">
        <v>-10</v>
      </c>
      <c r="O1292">
        <v>-1200</v>
      </c>
      <c r="Z1292" s="3">
        <f t="shared" si="20"/>
        <v>120</v>
      </c>
    </row>
    <row r="1293" spans="1:26" hidden="1">
      <c r="A1293" t="s">
        <v>706</v>
      </c>
      <c r="B1293" s="6">
        <v>44287</v>
      </c>
      <c r="C1293" s="6">
        <v>44651</v>
      </c>
      <c r="D1293">
        <v>20210401</v>
      </c>
      <c r="E1293">
        <v>20220331</v>
      </c>
      <c r="F1293" t="s">
        <v>3372</v>
      </c>
      <c r="G1293" t="s">
        <v>3373</v>
      </c>
      <c r="H1293" t="s">
        <v>590</v>
      </c>
      <c r="I1293" t="s">
        <v>1462</v>
      </c>
      <c r="L1293">
        <v>56</v>
      </c>
      <c r="M1293">
        <v>4640</v>
      </c>
      <c r="N1293">
        <v>-56</v>
      </c>
      <c r="O1293">
        <v>-4640</v>
      </c>
      <c r="Z1293" s="3">
        <f t="shared" si="20"/>
        <v>82.857142857142861</v>
      </c>
    </row>
    <row r="1294" spans="1:26" hidden="1">
      <c r="A1294" t="s">
        <v>706</v>
      </c>
      <c r="B1294" s="6">
        <v>44287</v>
      </c>
      <c r="C1294" s="6">
        <v>44651</v>
      </c>
      <c r="D1294">
        <v>20210401</v>
      </c>
      <c r="E1294">
        <v>20220331</v>
      </c>
      <c r="F1294" t="s">
        <v>3374</v>
      </c>
      <c r="G1294" t="s">
        <v>3375</v>
      </c>
      <c r="H1294" t="s">
        <v>590</v>
      </c>
      <c r="I1294" t="s">
        <v>1462</v>
      </c>
      <c r="L1294">
        <v>20</v>
      </c>
      <c r="M1294">
        <v>1560</v>
      </c>
      <c r="N1294">
        <v>-20</v>
      </c>
      <c r="O1294">
        <v>-1560</v>
      </c>
      <c r="Z1294" s="3">
        <f t="shared" si="20"/>
        <v>78</v>
      </c>
    </row>
    <row r="1295" spans="1:26" hidden="1">
      <c r="A1295" t="s">
        <v>706</v>
      </c>
      <c r="B1295" s="6">
        <v>44287</v>
      </c>
      <c r="C1295" s="6">
        <v>44651</v>
      </c>
      <c r="D1295">
        <v>20210401</v>
      </c>
      <c r="E1295">
        <v>20220331</v>
      </c>
      <c r="F1295" t="s">
        <v>3376</v>
      </c>
      <c r="G1295" t="s">
        <v>3377</v>
      </c>
      <c r="H1295" t="s">
        <v>590</v>
      </c>
      <c r="I1295" t="s">
        <v>1462</v>
      </c>
      <c r="K1295">
        <v>34.340000000000003</v>
      </c>
      <c r="L1295">
        <v>12</v>
      </c>
      <c r="M1295">
        <v>192</v>
      </c>
      <c r="N1295">
        <v>-12</v>
      </c>
      <c r="O1295">
        <v>-192</v>
      </c>
      <c r="Y1295">
        <v>34.340000000000003</v>
      </c>
      <c r="Z1295" s="3">
        <f t="shared" si="20"/>
        <v>16</v>
      </c>
    </row>
    <row r="1296" spans="1:26" hidden="1">
      <c r="A1296" t="s">
        <v>706</v>
      </c>
      <c r="B1296" s="6">
        <v>44287</v>
      </c>
      <c r="C1296" s="6">
        <v>44651</v>
      </c>
      <c r="D1296">
        <v>20210401</v>
      </c>
      <c r="E1296">
        <v>20220331</v>
      </c>
      <c r="F1296" t="s">
        <v>3378</v>
      </c>
      <c r="G1296" t="s">
        <v>3379</v>
      </c>
      <c r="H1296" t="s">
        <v>590</v>
      </c>
      <c r="I1296" t="s">
        <v>1462</v>
      </c>
      <c r="L1296">
        <v>2</v>
      </c>
      <c r="M1296">
        <v>210</v>
      </c>
      <c r="N1296">
        <v>-2</v>
      </c>
      <c r="O1296">
        <v>-210</v>
      </c>
      <c r="Z1296" s="3">
        <f t="shared" si="20"/>
        <v>105</v>
      </c>
    </row>
    <row r="1297" spans="1:26" hidden="1">
      <c r="A1297" t="s">
        <v>706</v>
      </c>
      <c r="B1297" s="6">
        <v>44287</v>
      </c>
      <c r="C1297" s="6">
        <v>44651</v>
      </c>
      <c r="D1297">
        <v>20210401</v>
      </c>
      <c r="E1297">
        <v>20220331</v>
      </c>
      <c r="F1297" t="s">
        <v>3380</v>
      </c>
      <c r="G1297" t="s">
        <v>3381</v>
      </c>
      <c r="H1297" t="s">
        <v>590</v>
      </c>
      <c r="I1297" t="s">
        <v>1462</v>
      </c>
      <c r="N1297">
        <v>-12</v>
      </c>
      <c r="O1297">
        <v>-255.8</v>
      </c>
      <c r="P1297">
        <v>12</v>
      </c>
      <c r="Q1297">
        <v>255.8</v>
      </c>
      <c r="Z1297" s="3" t="e">
        <f t="shared" si="20"/>
        <v>#DIV/0!</v>
      </c>
    </row>
    <row r="1298" spans="1:26" hidden="1">
      <c r="A1298" t="s">
        <v>706</v>
      </c>
      <c r="B1298" s="6">
        <v>44287</v>
      </c>
      <c r="C1298" s="6">
        <v>44651</v>
      </c>
      <c r="D1298">
        <v>20210401</v>
      </c>
      <c r="E1298">
        <v>20220331</v>
      </c>
      <c r="F1298" t="s">
        <v>3382</v>
      </c>
      <c r="G1298" t="s">
        <v>3383</v>
      </c>
      <c r="H1298" t="s">
        <v>590</v>
      </c>
      <c r="I1298" t="s">
        <v>1462</v>
      </c>
      <c r="L1298">
        <v>3</v>
      </c>
      <c r="M1298">
        <v>360</v>
      </c>
      <c r="N1298">
        <v>-3</v>
      </c>
      <c r="O1298">
        <v>-360</v>
      </c>
      <c r="Z1298" s="3">
        <f t="shared" si="20"/>
        <v>120</v>
      </c>
    </row>
    <row r="1299" spans="1:26" hidden="1">
      <c r="A1299" t="s">
        <v>706</v>
      </c>
      <c r="B1299" s="6">
        <v>44287</v>
      </c>
      <c r="C1299" s="6">
        <v>44651</v>
      </c>
      <c r="D1299">
        <v>20210401</v>
      </c>
      <c r="E1299">
        <v>20220331</v>
      </c>
      <c r="F1299" t="s">
        <v>3384</v>
      </c>
      <c r="G1299" t="s">
        <v>3385</v>
      </c>
      <c r="H1299" t="s">
        <v>590</v>
      </c>
      <c r="I1299" t="s">
        <v>1462</v>
      </c>
      <c r="L1299">
        <v>2</v>
      </c>
      <c r="M1299">
        <v>300</v>
      </c>
      <c r="N1299">
        <v>-2</v>
      </c>
      <c r="O1299">
        <v>-300</v>
      </c>
      <c r="Z1299" s="3">
        <f t="shared" si="20"/>
        <v>150</v>
      </c>
    </row>
    <row r="1300" spans="1:26" hidden="1">
      <c r="A1300" t="s">
        <v>706</v>
      </c>
      <c r="B1300" s="6">
        <v>44287</v>
      </c>
      <c r="C1300" s="6">
        <v>44651</v>
      </c>
      <c r="D1300">
        <v>20210401</v>
      </c>
      <c r="E1300">
        <v>20220331</v>
      </c>
      <c r="F1300" t="s">
        <v>3386</v>
      </c>
      <c r="G1300" t="s">
        <v>3387</v>
      </c>
      <c r="H1300" t="s">
        <v>590</v>
      </c>
      <c r="I1300" t="s">
        <v>1462</v>
      </c>
      <c r="L1300">
        <v>6</v>
      </c>
      <c r="M1300">
        <v>450</v>
      </c>
      <c r="N1300">
        <v>-6</v>
      </c>
      <c r="O1300">
        <v>-450</v>
      </c>
      <c r="Z1300" s="3">
        <f t="shared" si="20"/>
        <v>75</v>
      </c>
    </row>
    <row r="1301" spans="1:26" hidden="1">
      <c r="A1301" t="s">
        <v>706</v>
      </c>
      <c r="B1301" s="6">
        <v>44287</v>
      </c>
      <c r="C1301" s="6">
        <v>44651</v>
      </c>
      <c r="D1301">
        <v>20210401</v>
      </c>
      <c r="E1301">
        <v>20220331</v>
      </c>
      <c r="F1301" t="s">
        <v>3388</v>
      </c>
      <c r="G1301" t="s">
        <v>3389</v>
      </c>
      <c r="H1301" t="s">
        <v>590</v>
      </c>
      <c r="I1301" t="s">
        <v>1462</v>
      </c>
      <c r="L1301">
        <v>8</v>
      </c>
      <c r="M1301">
        <v>336</v>
      </c>
      <c r="N1301">
        <v>-8</v>
      </c>
      <c r="O1301">
        <v>-336</v>
      </c>
      <c r="Z1301" s="3">
        <f t="shared" si="20"/>
        <v>42</v>
      </c>
    </row>
    <row r="1302" spans="1:26" hidden="1">
      <c r="A1302" t="s">
        <v>706</v>
      </c>
      <c r="B1302" s="6">
        <v>44287</v>
      </c>
      <c r="C1302" s="6">
        <v>44651</v>
      </c>
      <c r="D1302">
        <v>20210401</v>
      </c>
      <c r="E1302">
        <v>20220331</v>
      </c>
      <c r="F1302" t="s">
        <v>3390</v>
      </c>
      <c r="G1302" t="s">
        <v>3391</v>
      </c>
      <c r="H1302" t="s">
        <v>590</v>
      </c>
      <c r="I1302" t="s">
        <v>1462</v>
      </c>
      <c r="L1302">
        <v>6</v>
      </c>
      <c r="M1302">
        <v>840</v>
      </c>
      <c r="N1302">
        <v>-6</v>
      </c>
      <c r="O1302">
        <v>-840</v>
      </c>
      <c r="Z1302" s="3">
        <f t="shared" si="20"/>
        <v>140</v>
      </c>
    </row>
    <row r="1303" spans="1:26" hidden="1">
      <c r="A1303" t="s">
        <v>706</v>
      </c>
      <c r="B1303" s="6">
        <v>44287</v>
      </c>
      <c r="C1303" s="6">
        <v>44651</v>
      </c>
      <c r="D1303">
        <v>20210401</v>
      </c>
      <c r="E1303">
        <v>20220331</v>
      </c>
      <c r="F1303" t="s">
        <v>3392</v>
      </c>
      <c r="G1303" t="s">
        <v>3393</v>
      </c>
      <c r="H1303" t="s">
        <v>590</v>
      </c>
      <c r="I1303" t="s">
        <v>1462</v>
      </c>
      <c r="L1303">
        <v>4</v>
      </c>
      <c r="M1303">
        <v>800</v>
      </c>
      <c r="N1303">
        <v>-5</v>
      </c>
      <c r="O1303">
        <v>-1080</v>
      </c>
      <c r="P1303">
        <v>1</v>
      </c>
      <c r="Q1303">
        <v>280</v>
      </c>
      <c r="Z1303" s="3">
        <f t="shared" si="20"/>
        <v>200</v>
      </c>
    </row>
    <row r="1304" spans="1:26" hidden="1">
      <c r="A1304" t="s">
        <v>706</v>
      </c>
      <c r="B1304" s="6">
        <v>44287</v>
      </c>
      <c r="C1304" s="6">
        <v>44651</v>
      </c>
      <c r="D1304">
        <v>20210401</v>
      </c>
      <c r="E1304">
        <v>20220331</v>
      </c>
      <c r="F1304" t="s">
        <v>3394</v>
      </c>
      <c r="G1304" t="s">
        <v>3395</v>
      </c>
      <c r="H1304" t="s">
        <v>590</v>
      </c>
      <c r="I1304" t="s">
        <v>1462</v>
      </c>
      <c r="N1304">
        <v>-4</v>
      </c>
      <c r="O1304">
        <v>-960</v>
      </c>
      <c r="P1304">
        <v>4</v>
      </c>
      <c r="Q1304">
        <v>960</v>
      </c>
      <c r="Z1304" s="3" t="e">
        <f t="shared" si="20"/>
        <v>#DIV/0!</v>
      </c>
    </row>
    <row r="1305" spans="1:26" hidden="1">
      <c r="A1305" t="s">
        <v>706</v>
      </c>
      <c r="B1305" s="6">
        <v>44287</v>
      </c>
      <c r="C1305" s="6">
        <v>44651</v>
      </c>
      <c r="D1305">
        <v>20210401</v>
      </c>
      <c r="E1305">
        <v>20220331</v>
      </c>
      <c r="F1305" t="s">
        <v>3396</v>
      </c>
      <c r="G1305" t="s">
        <v>3397</v>
      </c>
      <c r="H1305" t="s">
        <v>590</v>
      </c>
      <c r="I1305" t="s">
        <v>1462</v>
      </c>
      <c r="L1305">
        <v>6</v>
      </c>
      <c r="M1305">
        <v>570</v>
      </c>
      <c r="N1305">
        <v>-6</v>
      </c>
      <c r="O1305">
        <v>-570</v>
      </c>
      <c r="Z1305" s="3">
        <f t="shared" si="20"/>
        <v>95</v>
      </c>
    </row>
    <row r="1306" spans="1:26" hidden="1">
      <c r="A1306" t="s">
        <v>706</v>
      </c>
      <c r="B1306" s="6">
        <v>44287</v>
      </c>
      <c r="C1306" s="6">
        <v>44651</v>
      </c>
      <c r="D1306">
        <v>20210401</v>
      </c>
      <c r="E1306">
        <v>20220331</v>
      </c>
      <c r="F1306" t="s">
        <v>3398</v>
      </c>
      <c r="G1306" t="s">
        <v>3399</v>
      </c>
      <c r="H1306" t="s">
        <v>590</v>
      </c>
      <c r="I1306" t="s">
        <v>1462</v>
      </c>
      <c r="L1306">
        <v>1</v>
      </c>
      <c r="M1306">
        <v>12100</v>
      </c>
      <c r="N1306">
        <v>-1</v>
      </c>
      <c r="O1306">
        <v>-12100</v>
      </c>
      <c r="Z1306" s="3">
        <f t="shared" si="20"/>
        <v>12100</v>
      </c>
    </row>
    <row r="1307" spans="1:26" hidden="1">
      <c r="A1307" t="s">
        <v>706</v>
      </c>
      <c r="B1307" s="6">
        <v>44287</v>
      </c>
      <c r="C1307" s="6">
        <v>44651</v>
      </c>
      <c r="D1307">
        <v>20210401</v>
      </c>
      <c r="E1307">
        <v>20220331</v>
      </c>
      <c r="F1307" t="s">
        <v>3400</v>
      </c>
      <c r="G1307" t="s">
        <v>3401</v>
      </c>
      <c r="H1307" t="s">
        <v>613</v>
      </c>
      <c r="I1307" t="s">
        <v>1462</v>
      </c>
      <c r="L1307">
        <v>25</v>
      </c>
      <c r="M1307">
        <v>1650</v>
      </c>
      <c r="N1307">
        <v>-25</v>
      </c>
      <c r="O1307">
        <v>-1650</v>
      </c>
      <c r="Z1307" s="3">
        <f t="shared" si="20"/>
        <v>66</v>
      </c>
    </row>
    <row r="1308" spans="1:26" hidden="1">
      <c r="A1308" t="s">
        <v>706</v>
      </c>
      <c r="B1308" s="6">
        <v>44287</v>
      </c>
      <c r="C1308" s="6">
        <v>44651</v>
      </c>
      <c r="D1308">
        <v>20210401</v>
      </c>
      <c r="E1308">
        <v>20220331</v>
      </c>
      <c r="F1308" t="s">
        <v>3402</v>
      </c>
      <c r="G1308" t="s">
        <v>3403</v>
      </c>
      <c r="H1308" t="s">
        <v>1267</v>
      </c>
      <c r="I1308" t="s">
        <v>1462</v>
      </c>
      <c r="L1308">
        <v>40</v>
      </c>
      <c r="M1308">
        <v>5200</v>
      </c>
      <c r="N1308">
        <v>-40</v>
      </c>
      <c r="O1308">
        <v>-5200</v>
      </c>
      <c r="Z1308" s="3">
        <f t="shared" si="20"/>
        <v>130</v>
      </c>
    </row>
    <row r="1309" spans="1:26" hidden="1">
      <c r="A1309" t="s">
        <v>706</v>
      </c>
      <c r="B1309" s="6">
        <v>44287</v>
      </c>
      <c r="C1309" s="6">
        <v>44651</v>
      </c>
      <c r="D1309">
        <v>20210401</v>
      </c>
      <c r="E1309">
        <v>20220331</v>
      </c>
      <c r="F1309" t="s">
        <v>3404</v>
      </c>
      <c r="G1309" t="s">
        <v>3405</v>
      </c>
      <c r="H1309" t="s">
        <v>1267</v>
      </c>
      <c r="I1309" t="s">
        <v>1462</v>
      </c>
      <c r="L1309">
        <v>80</v>
      </c>
      <c r="M1309">
        <v>13200</v>
      </c>
      <c r="N1309">
        <v>-80</v>
      </c>
      <c r="O1309">
        <v>-13200</v>
      </c>
      <c r="Z1309" s="3">
        <f t="shared" si="20"/>
        <v>165</v>
      </c>
    </row>
    <row r="1310" spans="1:26" hidden="1">
      <c r="A1310" t="s">
        <v>706</v>
      </c>
      <c r="B1310" s="6">
        <v>44287</v>
      </c>
      <c r="C1310" s="6">
        <v>44651</v>
      </c>
      <c r="D1310">
        <v>20210401</v>
      </c>
      <c r="E1310">
        <v>20220331</v>
      </c>
      <c r="F1310" t="s">
        <v>3406</v>
      </c>
      <c r="G1310" t="s">
        <v>3407</v>
      </c>
      <c r="H1310" t="s">
        <v>1267</v>
      </c>
      <c r="I1310" t="s">
        <v>1462</v>
      </c>
      <c r="L1310">
        <v>20</v>
      </c>
      <c r="M1310">
        <v>3600</v>
      </c>
      <c r="N1310">
        <v>-20</v>
      </c>
      <c r="O1310">
        <v>-3600</v>
      </c>
      <c r="Z1310" s="3">
        <f t="shared" si="20"/>
        <v>180</v>
      </c>
    </row>
    <row r="1311" spans="1:26" hidden="1">
      <c r="A1311" t="s">
        <v>706</v>
      </c>
      <c r="B1311" s="6">
        <v>44287</v>
      </c>
      <c r="C1311" s="6">
        <v>44651</v>
      </c>
      <c r="D1311">
        <v>20210401</v>
      </c>
      <c r="E1311">
        <v>20220331</v>
      </c>
      <c r="F1311" t="s">
        <v>3408</v>
      </c>
      <c r="G1311" t="s">
        <v>3409</v>
      </c>
      <c r="H1311" t="s">
        <v>1267</v>
      </c>
      <c r="I1311" t="s">
        <v>1462</v>
      </c>
      <c r="L1311">
        <v>2100</v>
      </c>
      <c r="M1311">
        <v>225540</v>
      </c>
      <c r="N1311">
        <v>-2100</v>
      </c>
      <c r="O1311">
        <v>-225540</v>
      </c>
      <c r="Z1311" s="3">
        <f t="shared" si="20"/>
        <v>107.4</v>
      </c>
    </row>
    <row r="1312" spans="1:26" hidden="1">
      <c r="A1312" t="s">
        <v>706</v>
      </c>
      <c r="B1312" s="6">
        <v>44287</v>
      </c>
      <c r="C1312" s="6">
        <v>44651</v>
      </c>
      <c r="D1312">
        <v>20210401</v>
      </c>
      <c r="E1312">
        <v>20220331</v>
      </c>
      <c r="F1312" t="s">
        <v>3410</v>
      </c>
      <c r="G1312" t="s">
        <v>3411</v>
      </c>
      <c r="H1312" t="s">
        <v>1267</v>
      </c>
      <c r="I1312" t="s">
        <v>805</v>
      </c>
      <c r="L1312">
        <v>20</v>
      </c>
      <c r="M1312">
        <v>10640</v>
      </c>
      <c r="N1312">
        <v>-20</v>
      </c>
      <c r="O1312">
        <v>-10640</v>
      </c>
      <c r="Z1312" s="3">
        <f t="shared" si="20"/>
        <v>532</v>
      </c>
    </row>
    <row r="1313" spans="1:26" hidden="1">
      <c r="A1313" t="s">
        <v>706</v>
      </c>
      <c r="B1313" s="6">
        <v>44287</v>
      </c>
      <c r="C1313" s="6">
        <v>44651</v>
      </c>
      <c r="D1313">
        <v>20210401</v>
      </c>
      <c r="E1313">
        <v>20220331</v>
      </c>
      <c r="F1313" t="s">
        <v>3412</v>
      </c>
      <c r="G1313" t="s">
        <v>3413</v>
      </c>
      <c r="H1313" t="s">
        <v>1267</v>
      </c>
      <c r="I1313" t="s">
        <v>1462</v>
      </c>
      <c r="L1313">
        <v>680</v>
      </c>
      <c r="M1313">
        <v>173400</v>
      </c>
      <c r="N1313">
        <v>-680</v>
      </c>
      <c r="O1313">
        <v>-173400</v>
      </c>
      <c r="Z1313" s="3">
        <f t="shared" si="20"/>
        <v>255</v>
      </c>
    </row>
    <row r="1314" spans="1:26" hidden="1">
      <c r="A1314" t="s">
        <v>706</v>
      </c>
      <c r="B1314" s="6">
        <v>44287</v>
      </c>
      <c r="C1314" s="6">
        <v>44651</v>
      </c>
      <c r="D1314">
        <v>20210401</v>
      </c>
      <c r="E1314">
        <v>20220331</v>
      </c>
      <c r="F1314" t="s">
        <v>3414</v>
      </c>
      <c r="G1314" t="s">
        <v>3415</v>
      </c>
      <c r="H1314" t="s">
        <v>1267</v>
      </c>
      <c r="I1314" t="s">
        <v>805</v>
      </c>
      <c r="L1314">
        <v>1995</v>
      </c>
      <c r="M1314">
        <v>624435</v>
      </c>
      <c r="N1314">
        <v>-1995</v>
      </c>
      <c r="O1314">
        <v>-624435</v>
      </c>
      <c r="Z1314" s="3">
        <f t="shared" si="20"/>
        <v>313</v>
      </c>
    </row>
    <row r="1315" spans="1:26" hidden="1">
      <c r="A1315" t="s">
        <v>706</v>
      </c>
      <c r="B1315" s="6">
        <v>44287</v>
      </c>
      <c r="C1315" s="6">
        <v>44651</v>
      </c>
      <c r="D1315">
        <v>20210401</v>
      </c>
      <c r="E1315">
        <v>20220331</v>
      </c>
      <c r="F1315" t="s">
        <v>3416</v>
      </c>
      <c r="G1315" t="s">
        <v>3417</v>
      </c>
      <c r="H1315" t="s">
        <v>1267</v>
      </c>
      <c r="I1315" t="s">
        <v>805</v>
      </c>
      <c r="K1315">
        <v>0.04</v>
      </c>
      <c r="L1315">
        <v>2520</v>
      </c>
      <c r="M1315">
        <v>271950</v>
      </c>
      <c r="N1315">
        <v>-2520</v>
      </c>
      <c r="O1315">
        <v>-271950</v>
      </c>
      <c r="Y1315">
        <v>0.04</v>
      </c>
      <c r="Z1315" s="3">
        <f t="shared" si="20"/>
        <v>107.91666666666667</v>
      </c>
    </row>
    <row r="1316" spans="1:26" hidden="1">
      <c r="A1316" t="s">
        <v>706</v>
      </c>
      <c r="B1316" s="6">
        <v>44287</v>
      </c>
      <c r="C1316" s="6">
        <v>44651</v>
      </c>
      <c r="D1316">
        <v>20210401</v>
      </c>
      <c r="E1316">
        <v>20220331</v>
      </c>
      <c r="F1316" t="s">
        <v>3418</v>
      </c>
      <c r="G1316" t="s">
        <v>3419</v>
      </c>
      <c r="H1316" t="s">
        <v>1267</v>
      </c>
      <c r="I1316" t="s">
        <v>805</v>
      </c>
      <c r="J1316">
        <v>140</v>
      </c>
      <c r="K1316">
        <v>15400</v>
      </c>
      <c r="L1316">
        <v>720</v>
      </c>
      <c r="M1316">
        <v>87100</v>
      </c>
      <c r="N1316">
        <v>-860</v>
      </c>
      <c r="O1316">
        <v>-102500.01</v>
      </c>
      <c r="Y1316">
        <v>-0.01</v>
      </c>
      <c r="Z1316" s="3">
        <f t="shared" si="20"/>
        <v>119.18605813953488</v>
      </c>
    </row>
    <row r="1317" spans="1:26" hidden="1">
      <c r="A1317" t="s">
        <v>706</v>
      </c>
      <c r="B1317" s="6">
        <v>44287</v>
      </c>
      <c r="C1317" s="6">
        <v>44651</v>
      </c>
      <c r="D1317">
        <v>20210401</v>
      </c>
      <c r="E1317">
        <v>20220331</v>
      </c>
      <c r="F1317" t="s">
        <v>3420</v>
      </c>
      <c r="G1317" t="s">
        <v>3421</v>
      </c>
      <c r="H1317" t="s">
        <v>1267</v>
      </c>
      <c r="I1317" t="s">
        <v>1462</v>
      </c>
      <c r="J1317">
        <v>20</v>
      </c>
      <c r="K1317">
        <v>2100</v>
      </c>
      <c r="N1317">
        <v>-20</v>
      </c>
      <c r="O1317">
        <v>-2100</v>
      </c>
      <c r="Z1317" s="3">
        <f t="shared" si="20"/>
        <v>105</v>
      </c>
    </row>
    <row r="1318" spans="1:26" hidden="1">
      <c r="A1318" t="s">
        <v>706</v>
      </c>
      <c r="B1318" s="6">
        <v>44287</v>
      </c>
      <c r="C1318" s="6">
        <v>44651</v>
      </c>
      <c r="D1318">
        <v>20210401</v>
      </c>
      <c r="E1318">
        <v>20220331</v>
      </c>
      <c r="F1318" t="s">
        <v>3422</v>
      </c>
      <c r="G1318" t="s">
        <v>3423</v>
      </c>
      <c r="H1318" t="s">
        <v>1267</v>
      </c>
      <c r="I1318" t="s">
        <v>805</v>
      </c>
      <c r="L1318">
        <v>60</v>
      </c>
      <c r="M1318">
        <v>10500</v>
      </c>
      <c r="N1318">
        <v>-60</v>
      </c>
      <c r="O1318">
        <v>-10500</v>
      </c>
      <c r="Z1318" s="3">
        <f t="shared" si="20"/>
        <v>175</v>
      </c>
    </row>
    <row r="1319" spans="1:26" hidden="1">
      <c r="A1319" t="s">
        <v>706</v>
      </c>
      <c r="B1319" s="6">
        <v>44287</v>
      </c>
      <c r="C1319" s="6">
        <v>44651</v>
      </c>
      <c r="D1319">
        <v>20210401</v>
      </c>
      <c r="E1319">
        <v>20220331</v>
      </c>
      <c r="F1319" t="s">
        <v>3424</v>
      </c>
      <c r="G1319" t="s">
        <v>3425</v>
      </c>
      <c r="H1319" t="s">
        <v>1267</v>
      </c>
      <c r="I1319" t="s">
        <v>805</v>
      </c>
      <c r="L1319">
        <v>260</v>
      </c>
      <c r="M1319">
        <v>68800</v>
      </c>
      <c r="N1319">
        <v>-260</v>
      </c>
      <c r="O1319">
        <v>-68800</v>
      </c>
      <c r="Z1319" s="3">
        <f t="shared" si="20"/>
        <v>264.61538461538464</v>
      </c>
    </row>
    <row r="1320" spans="1:26" hidden="1">
      <c r="A1320" t="s">
        <v>706</v>
      </c>
      <c r="B1320" s="6">
        <v>44287</v>
      </c>
      <c r="C1320" s="6">
        <v>44651</v>
      </c>
      <c r="D1320">
        <v>20210401</v>
      </c>
      <c r="E1320">
        <v>20220331</v>
      </c>
      <c r="F1320" t="s">
        <v>3426</v>
      </c>
      <c r="G1320" t="s">
        <v>3427</v>
      </c>
      <c r="H1320" t="s">
        <v>1267</v>
      </c>
      <c r="I1320" t="s">
        <v>1462</v>
      </c>
      <c r="L1320">
        <v>40</v>
      </c>
      <c r="M1320">
        <v>7200</v>
      </c>
      <c r="N1320">
        <v>-40</v>
      </c>
      <c r="O1320">
        <v>-7200</v>
      </c>
      <c r="Z1320" s="3">
        <f t="shared" si="20"/>
        <v>180</v>
      </c>
    </row>
    <row r="1321" spans="1:26" hidden="1">
      <c r="A1321" t="s">
        <v>706</v>
      </c>
      <c r="B1321" s="6">
        <v>44287</v>
      </c>
      <c r="C1321" s="6">
        <v>44651</v>
      </c>
      <c r="D1321">
        <v>20210401</v>
      </c>
      <c r="E1321">
        <v>20220331</v>
      </c>
      <c r="F1321" t="s">
        <v>3428</v>
      </c>
      <c r="G1321" t="s">
        <v>3429</v>
      </c>
      <c r="H1321" t="s">
        <v>1267</v>
      </c>
      <c r="I1321" t="s">
        <v>805</v>
      </c>
      <c r="L1321">
        <v>15</v>
      </c>
      <c r="M1321">
        <v>5550</v>
      </c>
      <c r="N1321">
        <v>-15</v>
      </c>
      <c r="O1321">
        <v>-5550</v>
      </c>
      <c r="Z1321" s="3">
        <f t="shared" si="20"/>
        <v>370</v>
      </c>
    </row>
    <row r="1322" spans="1:26" hidden="1">
      <c r="A1322" t="s">
        <v>706</v>
      </c>
      <c r="B1322" s="6">
        <v>44287</v>
      </c>
      <c r="C1322" s="6">
        <v>44651</v>
      </c>
      <c r="D1322">
        <v>20210401</v>
      </c>
      <c r="E1322">
        <v>20220331</v>
      </c>
      <c r="F1322" t="s">
        <v>3430</v>
      </c>
      <c r="G1322" t="s">
        <v>3431</v>
      </c>
      <c r="H1322" t="s">
        <v>590</v>
      </c>
      <c r="I1322" t="s">
        <v>1462</v>
      </c>
      <c r="K1322">
        <v>0.01</v>
      </c>
      <c r="L1322">
        <v>6</v>
      </c>
      <c r="M1322">
        <v>951.6</v>
      </c>
      <c r="N1322">
        <v>-9</v>
      </c>
      <c r="O1322">
        <v>-1232.4000000000001</v>
      </c>
      <c r="P1322">
        <v>3</v>
      </c>
      <c r="Q1322">
        <v>280.8</v>
      </c>
      <c r="Y1322">
        <v>0.01</v>
      </c>
      <c r="Z1322" s="3">
        <f t="shared" si="20"/>
        <v>158.60000000000002</v>
      </c>
    </row>
    <row r="1323" spans="1:26" hidden="1">
      <c r="A1323" t="s">
        <v>706</v>
      </c>
      <c r="B1323" s="6">
        <v>44287</v>
      </c>
      <c r="C1323" s="6">
        <v>44651</v>
      </c>
      <c r="D1323">
        <v>20210401</v>
      </c>
      <c r="E1323">
        <v>20220331</v>
      </c>
      <c r="F1323" t="s">
        <v>3432</v>
      </c>
      <c r="G1323" t="s">
        <v>3433</v>
      </c>
      <c r="H1323" t="s">
        <v>590</v>
      </c>
      <c r="I1323" t="s">
        <v>1462</v>
      </c>
      <c r="L1323">
        <v>24</v>
      </c>
      <c r="M1323">
        <v>7709.75</v>
      </c>
      <c r="N1323">
        <v>-24</v>
      </c>
      <c r="O1323">
        <v>-7709.76</v>
      </c>
      <c r="Y1323">
        <v>-0.01</v>
      </c>
      <c r="Z1323" s="3">
        <f t="shared" si="20"/>
        <v>321.24</v>
      </c>
    </row>
    <row r="1324" spans="1:26" hidden="1">
      <c r="A1324" t="s">
        <v>706</v>
      </c>
      <c r="B1324" s="6">
        <v>44287</v>
      </c>
      <c r="C1324" s="6">
        <v>44651</v>
      </c>
      <c r="D1324">
        <v>20210401</v>
      </c>
      <c r="E1324">
        <v>20220331</v>
      </c>
      <c r="F1324" t="s">
        <v>3434</v>
      </c>
      <c r="G1324" t="s">
        <v>3435</v>
      </c>
      <c r="H1324" t="s">
        <v>590</v>
      </c>
      <c r="I1324" t="s">
        <v>1462</v>
      </c>
      <c r="K1324">
        <v>0.03</v>
      </c>
      <c r="L1324">
        <v>36</v>
      </c>
      <c r="M1324">
        <v>13933.1</v>
      </c>
      <c r="N1324">
        <v>-40</v>
      </c>
      <c r="O1324">
        <v>-14962.7</v>
      </c>
      <c r="P1324">
        <v>4</v>
      </c>
      <c r="Q1324">
        <v>1029.5999999999999</v>
      </c>
      <c r="Y1324">
        <v>0.03</v>
      </c>
      <c r="Z1324" s="3">
        <f t="shared" si="20"/>
        <v>387.03055555555557</v>
      </c>
    </row>
    <row r="1325" spans="1:26" hidden="1">
      <c r="A1325" t="s">
        <v>706</v>
      </c>
      <c r="B1325" s="6">
        <v>44287</v>
      </c>
      <c r="C1325" s="6">
        <v>44651</v>
      </c>
      <c r="D1325">
        <v>20210401</v>
      </c>
      <c r="E1325">
        <v>20220331</v>
      </c>
      <c r="F1325" t="s">
        <v>3436</v>
      </c>
      <c r="G1325" t="s">
        <v>3437</v>
      </c>
      <c r="H1325" t="s">
        <v>590</v>
      </c>
      <c r="I1325" t="s">
        <v>1462</v>
      </c>
      <c r="L1325">
        <v>5</v>
      </c>
      <c r="M1325">
        <v>2531.75</v>
      </c>
      <c r="N1325">
        <v>-5</v>
      </c>
      <c r="O1325">
        <v>-2531.75</v>
      </c>
      <c r="Z1325" s="3">
        <f t="shared" si="20"/>
        <v>506.35</v>
      </c>
    </row>
    <row r="1326" spans="1:26" hidden="1">
      <c r="A1326" t="s">
        <v>706</v>
      </c>
      <c r="B1326" s="6">
        <v>44287</v>
      </c>
      <c r="C1326" s="6">
        <v>44651</v>
      </c>
      <c r="D1326">
        <v>20210401</v>
      </c>
      <c r="E1326">
        <v>20220331</v>
      </c>
      <c r="F1326" t="s">
        <v>3438</v>
      </c>
      <c r="G1326" t="s">
        <v>3439</v>
      </c>
      <c r="H1326" t="s">
        <v>590</v>
      </c>
      <c r="I1326" t="s">
        <v>1462</v>
      </c>
      <c r="L1326">
        <v>2</v>
      </c>
      <c r="M1326">
        <v>5543.8</v>
      </c>
      <c r="N1326">
        <v>-2</v>
      </c>
      <c r="O1326">
        <v>-5543.8</v>
      </c>
      <c r="Z1326" s="3">
        <f t="shared" si="20"/>
        <v>2771.9</v>
      </c>
    </row>
    <row r="1327" spans="1:26" hidden="1">
      <c r="A1327" t="s">
        <v>706</v>
      </c>
      <c r="B1327" s="6">
        <v>44287</v>
      </c>
      <c r="C1327" s="6">
        <v>44651</v>
      </c>
      <c r="D1327">
        <v>20210401</v>
      </c>
      <c r="E1327">
        <v>20220331</v>
      </c>
      <c r="F1327" t="s">
        <v>3440</v>
      </c>
      <c r="G1327" t="s">
        <v>3441</v>
      </c>
      <c r="H1327" t="s">
        <v>590</v>
      </c>
      <c r="I1327" t="s">
        <v>1462</v>
      </c>
      <c r="L1327">
        <v>10</v>
      </c>
      <c r="M1327">
        <v>1424.5</v>
      </c>
      <c r="N1327">
        <v>-10</v>
      </c>
      <c r="O1327">
        <v>-1424.5</v>
      </c>
      <c r="Z1327" s="3">
        <f t="shared" si="20"/>
        <v>142.44999999999999</v>
      </c>
    </row>
    <row r="1328" spans="1:26" hidden="1">
      <c r="A1328" t="s">
        <v>706</v>
      </c>
      <c r="B1328" s="6">
        <v>44287</v>
      </c>
      <c r="C1328" s="6">
        <v>44651</v>
      </c>
      <c r="D1328">
        <v>20210401</v>
      </c>
      <c r="E1328">
        <v>20220331</v>
      </c>
      <c r="F1328" t="s">
        <v>3442</v>
      </c>
      <c r="G1328" t="s">
        <v>3443</v>
      </c>
      <c r="H1328" t="s">
        <v>590</v>
      </c>
      <c r="I1328" t="s">
        <v>1462</v>
      </c>
      <c r="L1328">
        <v>1</v>
      </c>
      <c r="M1328">
        <v>585</v>
      </c>
      <c r="N1328">
        <v>-2</v>
      </c>
      <c r="O1328">
        <v>-1170</v>
      </c>
      <c r="X1328">
        <v>-1</v>
      </c>
      <c r="Y1328">
        <v>-585</v>
      </c>
      <c r="Z1328" s="3">
        <f t="shared" si="20"/>
        <v>585</v>
      </c>
    </row>
    <row r="1329" spans="1:26" hidden="1">
      <c r="A1329" t="s">
        <v>706</v>
      </c>
      <c r="B1329" s="6">
        <v>44287</v>
      </c>
      <c r="C1329" s="6">
        <v>44651</v>
      </c>
      <c r="D1329">
        <v>20210401</v>
      </c>
      <c r="E1329">
        <v>20220331</v>
      </c>
      <c r="F1329" t="s">
        <v>3444</v>
      </c>
      <c r="G1329" t="s">
        <v>3445</v>
      </c>
      <c r="H1329" t="s">
        <v>590</v>
      </c>
      <c r="I1329" t="s">
        <v>1462</v>
      </c>
      <c r="L1329">
        <v>220</v>
      </c>
      <c r="M1329">
        <v>13603.1</v>
      </c>
      <c r="N1329">
        <v>-222</v>
      </c>
      <c r="O1329">
        <v>-13074.1</v>
      </c>
      <c r="P1329">
        <v>42</v>
      </c>
      <c r="Q1329">
        <v>1869</v>
      </c>
      <c r="X1329">
        <v>40</v>
      </c>
      <c r="Y1329">
        <v>2398</v>
      </c>
      <c r="Z1329" s="3">
        <f t="shared" si="20"/>
        <v>62.250555555555557</v>
      </c>
    </row>
    <row r="1330" spans="1:26" hidden="1">
      <c r="A1330" t="s">
        <v>706</v>
      </c>
      <c r="B1330" s="6">
        <v>44287</v>
      </c>
      <c r="C1330" s="6">
        <v>44651</v>
      </c>
      <c r="D1330">
        <v>20210401</v>
      </c>
      <c r="E1330">
        <v>20220331</v>
      </c>
      <c r="F1330" t="s">
        <v>3446</v>
      </c>
      <c r="G1330" t="s">
        <v>3447</v>
      </c>
      <c r="H1330" t="s">
        <v>590</v>
      </c>
      <c r="I1330" t="s">
        <v>1462</v>
      </c>
      <c r="K1330">
        <v>0.1</v>
      </c>
      <c r="L1330">
        <v>630</v>
      </c>
      <c r="M1330">
        <v>14770</v>
      </c>
      <c r="N1330">
        <v>-651</v>
      </c>
      <c r="O1330">
        <v>-15358</v>
      </c>
      <c r="P1330">
        <v>21</v>
      </c>
      <c r="Q1330">
        <v>588</v>
      </c>
      <c r="Y1330">
        <v>0.1</v>
      </c>
      <c r="Z1330" s="3">
        <f t="shared" si="20"/>
        <v>23.444444444444443</v>
      </c>
    </row>
    <row r="1331" spans="1:26" hidden="1">
      <c r="A1331" t="s">
        <v>706</v>
      </c>
      <c r="B1331" s="6">
        <v>44287</v>
      </c>
      <c r="C1331" s="6">
        <v>44651</v>
      </c>
      <c r="D1331">
        <v>20210401</v>
      </c>
      <c r="E1331">
        <v>20220331</v>
      </c>
      <c r="F1331" t="s">
        <v>3448</v>
      </c>
      <c r="G1331" t="s">
        <v>3449</v>
      </c>
      <c r="H1331" t="s">
        <v>590</v>
      </c>
      <c r="I1331" t="s">
        <v>1462</v>
      </c>
      <c r="L1331">
        <v>6</v>
      </c>
      <c r="M1331">
        <v>6346.8</v>
      </c>
      <c r="N1331">
        <v>-6</v>
      </c>
      <c r="O1331">
        <v>-6346.8</v>
      </c>
      <c r="Z1331" s="3">
        <f t="shared" si="20"/>
        <v>1057.8</v>
      </c>
    </row>
    <row r="1332" spans="1:26" hidden="1">
      <c r="A1332" t="s">
        <v>706</v>
      </c>
      <c r="B1332" s="6">
        <v>44287</v>
      </c>
      <c r="C1332" s="6">
        <v>44651</v>
      </c>
      <c r="D1332">
        <v>20210401</v>
      </c>
      <c r="E1332">
        <v>20220331</v>
      </c>
      <c r="F1332" t="s">
        <v>3450</v>
      </c>
      <c r="G1332" t="s">
        <v>3451</v>
      </c>
      <c r="H1332" t="s">
        <v>590</v>
      </c>
      <c r="I1332" t="s">
        <v>1462</v>
      </c>
      <c r="L1332">
        <v>6</v>
      </c>
      <c r="M1332">
        <v>3281</v>
      </c>
      <c r="N1332">
        <v>-6</v>
      </c>
      <c r="O1332">
        <v>-3281</v>
      </c>
      <c r="Z1332" s="3">
        <f t="shared" si="20"/>
        <v>546.83333333333337</v>
      </c>
    </row>
    <row r="1333" spans="1:26" hidden="1">
      <c r="A1333" t="s">
        <v>706</v>
      </c>
      <c r="B1333" s="6">
        <v>44287</v>
      </c>
      <c r="C1333" s="6">
        <v>44651</v>
      </c>
      <c r="D1333">
        <v>20210401</v>
      </c>
      <c r="E1333">
        <v>20220331</v>
      </c>
      <c r="F1333" t="s">
        <v>3452</v>
      </c>
      <c r="G1333" t="s">
        <v>3453</v>
      </c>
      <c r="H1333" t="s">
        <v>590</v>
      </c>
      <c r="I1333" t="s">
        <v>1462</v>
      </c>
      <c r="L1333">
        <v>5</v>
      </c>
      <c r="M1333">
        <v>3757.2</v>
      </c>
      <c r="N1333">
        <v>-5</v>
      </c>
      <c r="O1333">
        <v>-3757.2</v>
      </c>
      <c r="Z1333" s="3">
        <f t="shared" si="20"/>
        <v>751.43999999999994</v>
      </c>
    </row>
    <row r="1334" spans="1:26" hidden="1">
      <c r="A1334" t="s">
        <v>706</v>
      </c>
      <c r="B1334" s="6">
        <v>44287</v>
      </c>
      <c r="C1334" s="6">
        <v>44651</v>
      </c>
      <c r="D1334">
        <v>20210401</v>
      </c>
      <c r="E1334">
        <v>20220331</v>
      </c>
      <c r="F1334" t="s">
        <v>3454</v>
      </c>
      <c r="G1334" t="s">
        <v>3455</v>
      </c>
      <c r="H1334" t="s">
        <v>590</v>
      </c>
      <c r="I1334" t="s">
        <v>1462</v>
      </c>
      <c r="L1334">
        <v>50</v>
      </c>
      <c r="M1334">
        <v>11318.2</v>
      </c>
      <c r="N1334">
        <v>-50</v>
      </c>
      <c r="O1334">
        <v>-11377.2</v>
      </c>
      <c r="Y1334">
        <v>-59</v>
      </c>
      <c r="Z1334" s="3">
        <f t="shared" si="20"/>
        <v>227.54400000000001</v>
      </c>
    </row>
    <row r="1335" spans="1:26" hidden="1">
      <c r="A1335" t="s">
        <v>706</v>
      </c>
      <c r="B1335" s="6">
        <v>44287</v>
      </c>
      <c r="C1335" s="6">
        <v>44651</v>
      </c>
      <c r="D1335">
        <v>20210401</v>
      </c>
      <c r="E1335">
        <v>20220331</v>
      </c>
      <c r="F1335" t="s">
        <v>3456</v>
      </c>
      <c r="G1335" t="s">
        <v>3457</v>
      </c>
      <c r="H1335" t="s">
        <v>590</v>
      </c>
      <c r="I1335" t="s">
        <v>1462</v>
      </c>
      <c r="L1335">
        <v>3</v>
      </c>
      <c r="M1335">
        <v>1125</v>
      </c>
      <c r="N1335">
        <v>-3</v>
      </c>
      <c r="O1335">
        <v>-1125</v>
      </c>
      <c r="Z1335" s="3">
        <f t="shared" si="20"/>
        <v>375</v>
      </c>
    </row>
    <row r="1336" spans="1:26" hidden="1">
      <c r="A1336" t="s">
        <v>706</v>
      </c>
      <c r="B1336" s="6">
        <v>44287</v>
      </c>
      <c r="C1336" s="6">
        <v>44651</v>
      </c>
      <c r="D1336">
        <v>20210401</v>
      </c>
      <c r="E1336">
        <v>20220331</v>
      </c>
      <c r="F1336" t="s">
        <v>3458</v>
      </c>
      <c r="G1336" t="s">
        <v>3459</v>
      </c>
      <c r="H1336" t="s">
        <v>590</v>
      </c>
      <c r="I1336" t="s">
        <v>1462</v>
      </c>
      <c r="L1336">
        <v>50</v>
      </c>
      <c r="M1336">
        <v>4151.5</v>
      </c>
      <c r="N1336">
        <v>-56</v>
      </c>
      <c r="O1336">
        <v>-3725.04</v>
      </c>
      <c r="P1336">
        <v>6</v>
      </c>
      <c r="Q1336">
        <v>368.16</v>
      </c>
      <c r="Y1336">
        <v>794.62</v>
      </c>
      <c r="Z1336" s="3">
        <f t="shared" si="20"/>
        <v>67.137600000000006</v>
      </c>
    </row>
    <row r="1337" spans="1:26" hidden="1">
      <c r="A1337" t="s">
        <v>706</v>
      </c>
      <c r="B1337" s="6">
        <v>44287</v>
      </c>
      <c r="C1337" s="6">
        <v>44651</v>
      </c>
      <c r="D1337">
        <v>20210401</v>
      </c>
      <c r="E1337">
        <v>20220331</v>
      </c>
      <c r="F1337" t="s">
        <v>3460</v>
      </c>
      <c r="G1337" t="s">
        <v>3461</v>
      </c>
      <c r="H1337" t="s">
        <v>590</v>
      </c>
      <c r="I1337" t="s">
        <v>1462</v>
      </c>
      <c r="K1337">
        <v>0.02</v>
      </c>
      <c r="L1337">
        <v>45</v>
      </c>
      <c r="M1337">
        <v>5570.5</v>
      </c>
      <c r="N1337">
        <v>-50</v>
      </c>
      <c r="O1337">
        <v>-5970.9</v>
      </c>
      <c r="P1337">
        <v>5</v>
      </c>
      <c r="Q1337">
        <v>400.4</v>
      </c>
      <c r="Y1337">
        <v>0.02</v>
      </c>
      <c r="Z1337" s="3">
        <f t="shared" si="20"/>
        <v>123.78888888888889</v>
      </c>
    </row>
    <row r="1338" spans="1:26" hidden="1">
      <c r="A1338" t="s">
        <v>706</v>
      </c>
      <c r="B1338" s="6">
        <v>44287</v>
      </c>
      <c r="C1338" s="6">
        <v>44651</v>
      </c>
      <c r="D1338">
        <v>20210401</v>
      </c>
      <c r="E1338">
        <v>20220331</v>
      </c>
      <c r="F1338" t="s">
        <v>3462</v>
      </c>
      <c r="G1338" t="s">
        <v>3463</v>
      </c>
      <c r="H1338" t="s">
        <v>590</v>
      </c>
      <c r="I1338" t="s">
        <v>1462</v>
      </c>
      <c r="L1338">
        <v>5</v>
      </c>
      <c r="M1338">
        <v>3024</v>
      </c>
      <c r="N1338">
        <v>-5</v>
      </c>
      <c r="O1338">
        <v>-3024</v>
      </c>
      <c r="Z1338" s="3">
        <f t="shared" si="20"/>
        <v>604.79999999999995</v>
      </c>
    </row>
    <row r="1339" spans="1:26" hidden="1">
      <c r="A1339" t="s">
        <v>706</v>
      </c>
      <c r="B1339" s="6">
        <v>44287</v>
      </c>
      <c r="C1339" s="6">
        <v>44651</v>
      </c>
      <c r="D1339">
        <v>20210401</v>
      </c>
      <c r="E1339">
        <v>20220331</v>
      </c>
      <c r="F1339" t="s">
        <v>3464</v>
      </c>
      <c r="G1339" t="s">
        <v>3465</v>
      </c>
      <c r="H1339" t="s">
        <v>590</v>
      </c>
      <c r="I1339" t="s">
        <v>1462</v>
      </c>
      <c r="K1339">
        <v>0.06</v>
      </c>
      <c r="L1339">
        <v>8</v>
      </c>
      <c r="M1339">
        <v>2787.52</v>
      </c>
      <c r="N1339">
        <v>-14</v>
      </c>
      <c r="O1339">
        <v>-4082.32</v>
      </c>
      <c r="P1339">
        <v>6</v>
      </c>
      <c r="Q1339">
        <v>1294.8</v>
      </c>
      <c r="Y1339">
        <v>0.06</v>
      </c>
      <c r="Z1339" s="3">
        <f t="shared" si="20"/>
        <v>348.44000000000005</v>
      </c>
    </row>
    <row r="1340" spans="1:26" hidden="1">
      <c r="A1340" t="s">
        <v>706</v>
      </c>
      <c r="B1340" s="6">
        <v>44287</v>
      </c>
      <c r="C1340" s="6">
        <v>44651</v>
      </c>
      <c r="D1340">
        <v>20210401</v>
      </c>
      <c r="E1340">
        <v>20220331</v>
      </c>
      <c r="F1340" t="s">
        <v>3466</v>
      </c>
      <c r="G1340" t="s">
        <v>3467</v>
      </c>
      <c r="H1340" t="s">
        <v>590</v>
      </c>
      <c r="I1340" t="s">
        <v>1462</v>
      </c>
      <c r="K1340">
        <v>0.01</v>
      </c>
      <c r="L1340">
        <v>162</v>
      </c>
      <c r="M1340">
        <v>27417.4</v>
      </c>
      <c r="N1340">
        <v>-180</v>
      </c>
      <c r="O1340">
        <v>-29439.16</v>
      </c>
      <c r="P1340">
        <v>18</v>
      </c>
      <c r="Q1340">
        <v>2021.76</v>
      </c>
      <c r="Y1340">
        <v>0.01</v>
      </c>
      <c r="Z1340" s="3">
        <f t="shared" si="20"/>
        <v>169.24320987654323</v>
      </c>
    </row>
    <row r="1341" spans="1:26" hidden="1">
      <c r="A1341" t="s">
        <v>706</v>
      </c>
      <c r="B1341" s="6">
        <v>44287</v>
      </c>
      <c r="C1341" s="6">
        <v>44651</v>
      </c>
      <c r="D1341">
        <v>20210401</v>
      </c>
      <c r="E1341">
        <v>20220331</v>
      </c>
      <c r="F1341" t="s">
        <v>3468</v>
      </c>
      <c r="G1341" t="s">
        <v>3469</v>
      </c>
      <c r="H1341" t="s">
        <v>590</v>
      </c>
      <c r="I1341" t="s">
        <v>1462</v>
      </c>
      <c r="K1341">
        <v>0.01</v>
      </c>
      <c r="L1341">
        <v>6</v>
      </c>
      <c r="M1341">
        <v>4055.7</v>
      </c>
      <c r="N1341">
        <v>-11</v>
      </c>
      <c r="O1341">
        <v>-6952.1</v>
      </c>
      <c r="P1341">
        <v>5</v>
      </c>
      <c r="Q1341">
        <v>2896.4</v>
      </c>
      <c r="Y1341">
        <v>0.01</v>
      </c>
      <c r="Z1341" s="3">
        <f t="shared" si="20"/>
        <v>675.95</v>
      </c>
    </row>
    <row r="1342" spans="1:26" hidden="1">
      <c r="A1342" t="s">
        <v>706</v>
      </c>
      <c r="B1342" s="6">
        <v>44287</v>
      </c>
      <c r="C1342" s="6">
        <v>44651</v>
      </c>
      <c r="D1342">
        <v>20210401</v>
      </c>
      <c r="E1342">
        <v>20220331</v>
      </c>
      <c r="F1342" t="s">
        <v>3470</v>
      </c>
      <c r="G1342" t="s">
        <v>3471</v>
      </c>
      <c r="H1342" t="s">
        <v>590</v>
      </c>
      <c r="I1342" t="s">
        <v>1462</v>
      </c>
      <c r="L1342">
        <v>45</v>
      </c>
      <c r="M1342">
        <v>4227</v>
      </c>
      <c r="N1342">
        <v>-57</v>
      </c>
      <c r="O1342">
        <v>-4738.75</v>
      </c>
      <c r="P1342">
        <v>12</v>
      </c>
      <c r="Q1342">
        <v>773.76</v>
      </c>
      <c r="Y1342">
        <v>262.01</v>
      </c>
      <c r="Z1342" s="3">
        <f t="shared" si="20"/>
        <v>88.11088888888888</v>
      </c>
    </row>
    <row r="1343" spans="1:26" hidden="1">
      <c r="A1343" t="s">
        <v>706</v>
      </c>
      <c r="B1343" s="6">
        <v>44287</v>
      </c>
      <c r="C1343" s="6">
        <v>44651</v>
      </c>
      <c r="D1343">
        <v>20210401</v>
      </c>
      <c r="E1343">
        <v>20220331</v>
      </c>
      <c r="F1343" t="s">
        <v>3472</v>
      </c>
      <c r="G1343" t="s">
        <v>3473</v>
      </c>
      <c r="H1343" t="s">
        <v>590</v>
      </c>
      <c r="I1343" t="s">
        <v>1462</v>
      </c>
      <c r="L1343">
        <v>9</v>
      </c>
      <c r="M1343">
        <v>9448.4</v>
      </c>
      <c r="N1343">
        <v>-13</v>
      </c>
      <c r="O1343">
        <v>-11408.4</v>
      </c>
      <c r="P1343">
        <v>4</v>
      </c>
      <c r="Q1343">
        <v>1960</v>
      </c>
      <c r="Z1343" s="3">
        <f t="shared" si="20"/>
        <v>1049.8222222222221</v>
      </c>
    </row>
    <row r="1344" spans="1:26" hidden="1">
      <c r="A1344" t="s">
        <v>706</v>
      </c>
      <c r="B1344" s="6">
        <v>44287</v>
      </c>
      <c r="C1344" s="6">
        <v>44651</v>
      </c>
      <c r="D1344">
        <v>20210401</v>
      </c>
      <c r="E1344">
        <v>20220331</v>
      </c>
      <c r="F1344" t="s">
        <v>3474</v>
      </c>
      <c r="G1344" t="s">
        <v>3475</v>
      </c>
      <c r="H1344" t="s">
        <v>590</v>
      </c>
      <c r="I1344" t="s">
        <v>1462</v>
      </c>
      <c r="L1344">
        <v>5</v>
      </c>
      <c r="M1344">
        <v>1988.25</v>
      </c>
      <c r="N1344">
        <v>-5</v>
      </c>
      <c r="O1344">
        <v>-1988.25</v>
      </c>
      <c r="Z1344" s="3">
        <f t="shared" si="20"/>
        <v>397.65</v>
      </c>
    </row>
    <row r="1345" spans="1:26" hidden="1">
      <c r="A1345" t="s">
        <v>706</v>
      </c>
      <c r="B1345" s="6">
        <v>44287</v>
      </c>
      <c r="C1345" s="6">
        <v>44651</v>
      </c>
      <c r="D1345">
        <v>20210401</v>
      </c>
      <c r="E1345">
        <v>20220331</v>
      </c>
      <c r="F1345" t="s">
        <v>3476</v>
      </c>
      <c r="G1345" t="s">
        <v>3477</v>
      </c>
      <c r="H1345" t="s">
        <v>590</v>
      </c>
      <c r="I1345" t="s">
        <v>805</v>
      </c>
      <c r="K1345">
        <v>0.01</v>
      </c>
      <c r="L1345">
        <v>3</v>
      </c>
      <c r="M1345">
        <v>6250</v>
      </c>
      <c r="N1345">
        <v>-4</v>
      </c>
      <c r="O1345">
        <v>-8100</v>
      </c>
      <c r="P1345">
        <v>1</v>
      </c>
      <c r="Q1345">
        <v>1850</v>
      </c>
      <c r="Y1345">
        <v>0.01</v>
      </c>
      <c r="Z1345" s="3">
        <f t="shared" si="20"/>
        <v>2083.3333333333335</v>
      </c>
    </row>
    <row r="1346" spans="1:26" hidden="1">
      <c r="A1346" t="s">
        <v>706</v>
      </c>
      <c r="B1346" s="6">
        <v>44287</v>
      </c>
      <c r="C1346" s="6">
        <v>44651</v>
      </c>
      <c r="D1346">
        <v>20210401</v>
      </c>
      <c r="E1346">
        <v>20220331</v>
      </c>
      <c r="F1346" t="s">
        <v>3478</v>
      </c>
      <c r="G1346" t="s">
        <v>3479</v>
      </c>
      <c r="H1346" t="s">
        <v>590</v>
      </c>
      <c r="I1346" t="s">
        <v>805</v>
      </c>
      <c r="K1346">
        <v>0.01</v>
      </c>
      <c r="L1346">
        <v>1</v>
      </c>
      <c r="M1346">
        <v>6507.8</v>
      </c>
      <c r="N1346">
        <v>-2</v>
      </c>
      <c r="O1346">
        <v>-12302.8</v>
      </c>
      <c r="P1346">
        <v>1</v>
      </c>
      <c r="Q1346">
        <v>5795</v>
      </c>
      <c r="Y1346">
        <v>0.01</v>
      </c>
      <c r="Z1346" s="3">
        <f t="shared" si="20"/>
        <v>6507.7999999999993</v>
      </c>
    </row>
    <row r="1347" spans="1:26" hidden="1">
      <c r="A1347" t="s">
        <v>706</v>
      </c>
      <c r="B1347" s="6">
        <v>44287</v>
      </c>
      <c r="C1347" s="6">
        <v>44651</v>
      </c>
      <c r="D1347">
        <v>20210401</v>
      </c>
      <c r="E1347">
        <v>20220331</v>
      </c>
      <c r="F1347" t="s">
        <v>3480</v>
      </c>
      <c r="G1347" t="s">
        <v>3481</v>
      </c>
      <c r="H1347" t="s">
        <v>590</v>
      </c>
      <c r="I1347" t="s">
        <v>1462</v>
      </c>
      <c r="L1347">
        <v>13</v>
      </c>
      <c r="M1347">
        <v>19984.25</v>
      </c>
      <c r="N1347">
        <v>-13</v>
      </c>
      <c r="O1347">
        <v>-19984.25</v>
      </c>
      <c r="Z1347" s="3">
        <f t="shared" ref="Z1347:Z1410" si="21">IFERROR((O1347+Q1347)/(N1347+P1347),Y1347/X1347)</f>
        <v>1537.25</v>
      </c>
    </row>
    <row r="1348" spans="1:26" hidden="1">
      <c r="A1348" t="s">
        <v>706</v>
      </c>
      <c r="B1348" s="6">
        <v>44287</v>
      </c>
      <c r="C1348" s="6">
        <v>44651</v>
      </c>
      <c r="D1348">
        <v>20210401</v>
      </c>
      <c r="E1348">
        <v>20220331</v>
      </c>
      <c r="F1348" t="s">
        <v>3482</v>
      </c>
      <c r="G1348" t="s">
        <v>3483</v>
      </c>
      <c r="H1348" t="s">
        <v>590</v>
      </c>
      <c r="I1348" t="s">
        <v>1462</v>
      </c>
      <c r="N1348">
        <v>-2</v>
      </c>
      <c r="O1348">
        <v>-568.88</v>
      </c>
      <c r="P1348">
        <v>2</v>
      </c>
      <c r="Q1348">
        <v>568.88</v>
      </c>
      <c r="Z1348" s="3" t="e">
        <f t="shared" si="21"/>
        <v>#DIV/0!</v>
      </c>
    </row>
    <row r="1349" spans="1:26" hidden="1">
      <c r="A1349" t="s">
        <v>706</v>
      </c>
      <c r="B1349" s="6">
        <v>44287</v>
      </c>
      <c r="C1349" s="6">
        <v>44651</v>
      </c>
      <c r="D1349">
        <v>20210401</v>
      </c>
      <c r="E1349">
        <v>20220331</v>
      </c>
      <c r="F1349" t="s">
        <v>3484</v>
      </c>
      <c r="G1349" t="s">
        <v>3485</v>
      </c>
      <c r="H1349" t="s">
        <v>590</v>
      </c>
      <c r="I1349" t="s">
        <v>1462</v>
      </c>
      <c r="L1349">
        <v>4</v>
      </c>
      <c r="M1349">
        <v>1733.6</v>
      </c>
      <c r="N1349">
        <v>-9</v>
      </c>
      <c r="O1349">
        <v>-3623.8</v>
      </c>
      <c r="P1349">
        <v>5</v>
      </c>
      <c r="Q1349">
        <v>1890.2</v>
      </c>
      <c r="Z1349" s="3">
        <f t="shared" si="21"/>
        <v>433.40000000000003</v>
      </c>
    </row>
    <row r="1350" spans="1:26" hidden="1">
      <c r="A1350" t="s">
        <v>706</v>
      </c>
      <c r="B1350" s="6">
        <v>44287</v>
      </c>
      <c r="C1350" s="6">
        <v>44651</v>
      </c>
      <c r="D1350">
        <v>20210401</v>
      </c>
      <c r="E1350">
        <v>20220331</v>
      </c>
      <c r="F1350" t="s">
        <v>3486</v>
      </c>
      <c r="G1350" t="s">
        <v>3487</v>
      </c>
      <c r="H1350" t="s">
        <v>590</v>
      </c>
      <c r="I1350" t="s">
        <v>1462</v>
      </c>
      <c r="L1350">
        <v>3</v>
      </c>
      <c r="M1350">
        <v>3810</v>
      </c>
      <c r="N1350">
        <v>-3</v>
      </c>
      <c r="O1350">
        <v>-3810</v>
      </c>
      <c r="Z1350" s="3">
        <f t="shared" si="21"/>
        <v>1270</v>
      </c>
    </row>
    <row r="1351" spans="1:26" hidden="1">
      <c r="A1351" t="s">
        <v>706</v>
      </c>
      <c r="B1351" s="6">
        <v>44287</v>
      </c>
      <c r="C1351" s="6">
        <v>44651</v>
      </c>
      <c r="D1351">
        <v>20210401</v>
      </c>
      <c r="E1351">
        <v>20220331</v>
      </c>
      <c r="F1351" t="s">
        <v>3488</v>
      </c>
      <c r="G1351" t="s">
        <v>3489</v>
      </c>
      <c r="H1351" t="s">
        <v>590</v>
      </c>
      <c r="I1351" t="s">
        <v>1462</v>
      </c>
      <c r="L1351">
        <v>3</v>
      </c>
      <c r="M1351">
        <v>3150</v>
      </c>
      <c r="N1351">
        <v>-3</v>
      </c>
      <c r="O1351">
        <v>-3150</v>
      </c>
      <c r="Z1351" s="3">
        <f t="shared" si="21"/>
        <v>1050</v>
      </c>
    </row>
    <row r="1352" spans="1:26" hidden="1">
      <c r="A1352" t="s">
        <v>706</v>
      </c>
      <c r="B1352" s="6">
        <v>44287</v>
      </c>
      <c r="C1352" s="6">
        <v>44651</v>
      </c>
      <c r="D1352">
        <v>20210401</v>
      </c>
      <c r="E1352">
        <v>20220331</v>
      </c>
      <c r="F1352" t="s">
        <v>3490</v>
      </c>
      <c r="G1352" t="s">
        <v>3491</v>
      </c>
      <c r="H1352" t="s">
        <v>590</v>
      </c>
      <c r="I1352" t="s">
        <v>805</v>
      </c>
      <c r="L1352">
        <v>39</v>
      </c>
      <c r="M1352">
        <v>4207.3999999999996</v>
      </c>
      <c r="N1352">
        <v>-45</v>
      </c>
      <c r="O1352">
        <v>-4675.3999999999996</v>
      </c>
      <c r="P1352">
        <v>6</v>
      </c>
      <c r="Q1352">
        <v>468</v>
      </c>
      <c r="Z1352" s="3">
        <f t="shared" si="21"/>
        <v>107.88205128205128</v>
      </c>
    </row>
    <row r="1353" spans="1:26" hidden="1">
      <c r="A1353" t="s">
        <v>706</v>
      </c>
      <c r="B1353" s="6">
        <v>44287</v>
      </c>
      <c r="C1353" s="6">
        <v>44651</v>
      </c>
      <c r="D1353">
        <v>20210401</v>
      </c>
      <c r="E1353">
        <v>20220331</v>
      </c>
      <c r="F1353" t="s">
        <v>3492</v>
      </c>
      <c r="G1353" t="s">
        <v>3493</v>
      </c>
      <c r="H1353" t="s">
        <v>590</v>
      </c>
      <c r="I1353" t="s">
        <v>1462</v>
      </c>
      <c r="L1353">
        <v>6</v>
      </c>
      <c r="M1353">
        <v>7710</v>
      </c>
      <c r="N1353">
        <v>-8</v>
      </c>
      <c r="O1353">
        <v>-10715.12</v>
      </c>
      <c r="P1353">
        <v>2</v>
      </c>
      <c r="Q1353">
        <v>3005.12</v>
      </c>
      <c r="Z1353" s="3">
        <f t="shared" si="21"/>
        <v>1285.0000000000002</v>
      </c>
    </row>
    <row r="1354" spans="1:26" hidden="1">
      <c r="A1354" t="s">
        <v>706</v>
      </c>
      <c r="B1354" s="6">
        <v>44287</v>
      </c>
      <c r="C1354" s="6">
        <v>44651</v>
      </c>
      <c r="D1354">
        <v>20210401</v>
      </c>
      <c r="E1354">
        <v>20220331</v>
      </c>
      <c r="F1354" t="s">
        <v>3494</v>
      </c>
      <c r="G1354" t="s">
        <v>3495</v>
      </c>
      <c r="H1354" t="s">
        <v>590</v>
      </c>
      <c r="I1354" t="s">
        <v>1462</v>
      </c>
      <c r="L1354">
        <v>2</v>
      </c>
      <c r="M1354">
        <v>5877.3</v>
      </c>
      <c r="N1354">
        <v>-2</v>
      </c>
      <c r="O1354">
        <v>-5877.3</v>
      </c>
      <c r="Z1354" s="3">
        <f t="shared" si="21"/>
        <v>2938.65</v>
      </c>
    </row>
    <row r="1355" spans="1:26" hidden="1">
      <c r="A1355" t="s">
        <v>706</v>
      </c>
      <c r="B1355" s="6">
        <v>44287</v>
      </c>
      <c r="C1355" s="6">
        <v>44651</v>
      </c>
      <c r="D1355">
        <v>20210401</v>
      </c>
      <c r="E1355">
        <v>20220331</v>
      </c>
      <c r="F1355" t="s">
        <v>3496</v>
      </c>
      <c r="G1355" t="s">
        <v>3497</v>
      </c>
      <c r="H1355" t="s">
        <v>590</v>
      </c>
      <c r="I1355" t="s">
        <v>1462</v>
      </c>
      <c r="L1355">
        <v>1</v>
      </c>
      <c r="M1355">
        <v>3558.1</v>
      </c>
      <c r="N1355">
        <v>-1</v>
      </c>
      <c r="O1355">
        <v>-3558.1</v>
      </c>
      <c r="Z1355" s="3">
        <f t="shared" si="21"/>
        <v>3558.1</v>
      </c>
    </row>
    <row r="1356" spans="1:26" hidden="1">
      <c r="A1356" t="s">
        <v>706</v>
      </c>
      <c r="B1356" s="6">
        <v>44287</v>
      </c>
      <c r="C1356" s="6">
        <v>44651</v>
      </c>
      <c r="D1356">
        <v>20210401</v>
      </c>
      <c r="E1356">
        <v>20220331</v>
      </c>
      <c r="F1356" t="s">
        <v>3498</v>
      </c>
      <c r="G1356" t="s">
        <v>3499</v>
      </c>
      <c r="H1356" t="s">
        <v>590</v>
      </c>
      <c r="I1356" t="s">
        <v>1462</v>
      </c>
      <c r="K1356">
        <v>0.05</v>
      </c>
      <c r="L1356">
        <v>4</v>
      </c>
      <c r="M1356">
        <v>2289.6</v>
      </c>
      <c r="N1356">
        <v>-8</v>
      </c>
      <c r="O1356">
        <v>-4249.6000000000004</v>
      </c>
      <c r="P1356">
        <v>4</v>
      </c>
      <c r="Q1356">
        <v>1960</v>
      </c>
      <c r="Y1356">
        <v>0.05</v>
      </c>
      <c r="Z1356" s="3">
        <f t="shared" si="21"/>
        <v>572.40000000000009</v>
      </c>
    </row>
    <row r="1357" spans="1:26" hidden="1">
      <c r="A1357" t="s">
        <v>706</v>
      </c>
      <c r="B1357" s="6">
        <v>44287</v>
      </c>
      <c r="C1357" s="6">
        <v>44651</v>
      </c>
      <c r="D1357">
        <v>20210401</v>
      </c>
      <c r="E1357">
        <v>20220331</v>
      </c>
      <c r="F1357" t="s">
        <v>3500</v>
      </c>
      <c r="G1357" t="s">
        <v>3501</v>
      </c>
      <c r="H1357" t="s">
        <v>590</v>
      </c>
      <c r="I1357" t="s">
        <v>1462</v>
      </c>
      <c r="K1357">
        <v>0.01</v>
      </c>
      <c r="Y1357">
        <v>0.01</v>
      </c>
      <c r="Z1357" s="3" t="e">
        <f t="shared" si="21"/>
        <v>#DIV/0!</v>
      </c>
    </row>
    <row r="1358" spans="1:26" hidden="1">
      <c r="A1358" t="s">
        <v>706</v>
      </c>
      <c r="B1358" s="6">
        <v>44287</v>
      </c>
      <c r="C1358" s="6">
        <v>44651</v>
      </c>
      <c r="D1358">
        <v>20210401</v>
      </c>
      <c r="E1358">
        <v>20220331</v>
      </c>
      <c r="F1358" t="s">
        <v>3502</v>
      </c>
      <c r="G1358" t="s">
        <v>3503</v>
      </c>
      <c r="H1358" t="s">
        <v>590</v>
      </c>
      <c r="I1358" t="s">
        <v>1462</v>
      </c>
      <c r="N1358">
        <v>-6</v>
      </c>
      <c r="O1358">
        <v>-1319.76</v>
      </c>
      <c r="P1358">
        <v>6</v>
      </c>
      <c r="Q1358">
        <v>1319.76</v>
      </c>
      <c r="Z1358" s="3" t="e">
        <f t="shared" si="21"/>
        <v>#DIV/0!</v>
      </c>
    </row>
    <row r="1359" spans="1:26" hidden="1">
      <c r="A1359" t="s">
        <v>706</v>
      </c>
      <c r="B1359" s="6">
        <v>44287</v>
      </c>
      <c r="C1359" s="6">
        <v>44651</v>
      </c>
      <c r="D1359">
        <v>20210401</v>
      </c>
      <c r="E1359">
        <v>20220331</v>
      </c>
      <c r="F1359" t="s">
        <v>3504</v>
      </c>
      <c r="G1359" t="s">
        <v>3505</v>
      </c>
      <c r="H1359" t="s">
        <v>590</v>
      </c>
      <c r="I1359" t="s">
        <v>1462</v>
      </c>
      <c r="N1359">
        <v>-2</v>
      </c>
      <c r="O1359">
        <v>-3351.6</v>
      </c>
      <c r="P1359">
        <v>2</v>
      </c>
      <c r="Q1359">
        <v>3351.6</v>
      </c>
      <c r="Z1359" s="3" t="e">
        <f t="shared" si="21"/>
        <v>#DIV/0!</v>
      </c>
    </row>
    <row r="1360" spans="1:26" hidden="1">
      <c r="A1360" t="s">
        <v>706</v>
      </c>
      <c r="B1360" s="6">
        <v>44287</v>
      </c>
      <c r="C1360" s="6">
        <v>44651</v>
      </c>
      <c r="D1360">
        <v>20210401</v>
      </c>
      <c r="E1360">
        <v>20220331</v>
      </c>
      <c r="F1360" t="s">
        <v>3506</v>
      </c>
      <c r="G1360" t="s">
        <v>3507</v>
      </c>
      <c r="H1360" t="s">
        <v>590</v>
      </c>
      <c r="I1360" t="s">
        <v>805</v>
      </c>
      <c r="L1360">
        <v>2</v>
      </c>
      <c r="M1360">
        <v>56</v>
      </c>
      <c r="N1360">
        <v>-2</v>
      </c>
      <c r="O1360">
        <v>-56</v>
      </c>
      <c r="Z1360" s="3">
        <f t="shared" si="21"/>
        <v>28</v>
      </c>
    </row>
    <row r="1361" spans="1:26" hidden="1">
      <c r="A1361" t="s">
        <v>706</v>
      </c>
      <c r="B1361" s="6">
        <v>44287</v>
      </c>
      <c r="C1361" s="6">
        <v>44651</v>
      </c>
      <c r="D1361">
        <v>20210401</v>
      </c>
      <c r="E1361">
        <v>20220331</v>
      </c>
      <c r="F1361" t="s">
        <v>3508</v>
      </c>
      <c r="G1361" t="s">
        <v>3509</v>
      </c>
      <c r="H1361" t="s">
        <v>590</v>
      </c>
      <c r="I1361" t="s">
        <v>1462</v>
      </c>
      <c r="L1361">
        <v>22</v>
      </c>
      <c r="M1361">
        <v>33011.25</v>
      </c>
      <c r="N1361">
        <v>-21</v>
      </c>
      <c r="O1361">
        <v>-31909</v>
      </c>
      <c r="P1361">
        <v>4</v>
      </c>
      <c r="Q1361">
        <v>6144</v>
      </c>
      <c r="X1361">
        <v>5</v>
      </c>
      <c r="Y1361">
        <v>7246.25</v>
      </c>
      <c r="Z1361" s="3">
        <f t="shared" si="21"/>
        <v>1515.5882352941176</v>
      </c>
    </row>
    <row r="1362" spans="1:26" hidden="1">
      <c r="A1362" t="s">
        <v>706</v>
      </c>
      <c r="B1362" s="6">
        <v>44287</v>
      </c>
      <c r="C1362" s="6">
        <v>44651</v>
      </c>
      <c r="D1362">
        <v>20210401</v>
      </c>
      <c r="E1362">
        <v>20220331</v>
      </c>
      <c r="F1362" t="s">
        <v>3510</v>
      </c>
      <c r="G1362" t="s">
        <v>3511</v>
      </c>
      <c r="H1362" t="s">
        <v>590</v>
      </c>
      <c r="I1362" t="s">
        <v>1462</v>
      </c>
      <c r="K1362">
        <v>0.01</v>
      </c>
      <c r="L1362">
        <v>5</v>
      </c>
      <c r="M1362">
        <v>695.75</v>
      </c>
      <c r="N1362">
        <v>-5</v>
      </c>
      <c r="O1362">
        <v>-695.75</v>
      </c>
      <c r="Y1362">
        <v>0.01</v>
      </c>
      <c r="Z1362" s="3">
        <f t="shared" si="21"/>
        <v>139.15</v>
      </c>
    </row>
    <row r="1363" spans="1:26" hidden="1">
      <c r="A1363" t="s">
        <v>706</v>
      </c>
      <c r="B1363" s="6">
        <v>44287</v>
      </c>
      <c r="C1363" s="6">
        <v>44651</v>
      </c>
      <c r="D1363">
        <v>20210401</v>
      </c>
      <c r="E1363">
        <v>20220331</v>
      </c>
      <c r="F1363" t="s">
        <v>3512</v>
      </c>
      <c r="G1363" t="s">
        <v>3513</v>
      </c>
      <c r="H1363" t="s">
        <v>590</v>
      </c>
      <c r="I1363" t="s">
        <v>1462</v>
      </c>
      <c r="L1363">
        <v>2</v>
      </c>
      <c r="M1363">
        <v>56</v>
      </c>
      <c r="N1363">
        <v>-2</v>
      </c>
      <c r="O1363">
        <v>-56</v>
      </c>
      <c r="Z1363" s="3">
        <f t="shared" si="21"/>
        <v>28</v>
      </c>
    </row>
    <row r="1364" spans="1:26" hidden="1">
      <c r="A1364" t="s">
        <v>706</v>
      </c>
      <c r="B1364" s="6">
        <v>44287</v>
      </c>
      <c r="C1364" s="6">
        <v>44651</v>
      </c>
      <c r="D1364">
        <v>20210401</v>
      </c>
      <c r="E1364">
        <v>20220331</v>
      </c>
      <c r="F1364" t="s">
        <v>3514</v>
      </c>
      <c r="G1364" t="s">
        <v>3515</v>
      </c>
      <c r="H1364" t="s">
        <v>590</v>
      </c>
      <c r="I1364" t="s">
        <v>1462</v>
      </c>
      <c r="L1364">
        <v>2</v>
      </c>
      <c r="M1364">
        <v>1800.7</v>
      </c>
      <c r="N1364">
        <v>-2</v>
      </c>
      <c r="O1364">
        <v>-1800.7</v>
      </c>
      <c r="Z1364" s="3">
        <f t="shared" si="21"/>
        <v>900.35</v>
      </c>
    </row>
    <row r="1365" spans="1:26" hidden="1">
      <c r="A1365" t="s">
        <v>706</v>
      </c>
      <c r="B1365" s="6">
        <v>44287</v>
      </c>
      <c r="C1365" s="6">
        <v>44651</v>
      </c>
      <c r="D1365">
        <v>20210401</v>
      </c>
      <c r="E1365">
        <v>20220331</v>
      </c>
      <c r="F1365" t="s">
        <v>3516</v>
      </c>
      <c r="G1365" t="s">
        <v>3517</v>
      </c>
      <c r="H1365" t="s">
        <v>590</v>
      </c>
      <c r="I1365" t="s">
        <v>1462</v>
      </c>
      <c r="L1365">
        <v>2</v>
      </c>
      <c r="M1365">
        <v>13389.8</v>
      </c>
      <c r="N1365">
        <v>-2</v>
      </c>
      <c r="O1365">
        <v>-13389.8</v>
      </c>
      <c r="Z1365" s="3">
        <f t="shared" si="21"/>
        <v>6694.9</v>
      </c>
    </row>
    <row r="1366" spans="1:26" hidden="1">
      <c r="A1366" t="s">
        <v>706</v>
      </c>
      <c r="B1366" s="6">
        <v>44287</v>
      </c>
      <c r="C1366" s="6">
        <v>44651</v>
      </c>
      <c r="D1366">
        <v>20210401</v>
      </c>
      <c r="E1366">
        <v>20220331</v>
      </c>
      <c r="F1366" t="s">
        <v>3518</v>
      </c>
      <c r="G1366" t="s">
        <v>3519</v>
      </c>
      <c r="H1366" t="s">
        <v>590</v>
      </c>
      <c r="I1366" t="s">
        <v>1462</v>
      </c>
      <c r="L1366">
        <v>4</v>
      </c>
      <c r="M1366">
        <v>5769.4</v>
      </c>
      <c r="N1366">
        <v>-4</v>
      </c>
      <c r="O1366">
        <v>-5769.4</v>
      </c>
      <c r="Z1366" s="3">
        <f t="shared" si="21"/>
        <v>1442.35</v>
      </c>
    </row>
    <row r="1367" spans="1:26" hidden="1">
      <c r="A1367" t="s">
        <v>706</v>
      </c>
      <c r="B1367" s="6">
        <v>44287</v>
      </c>
      <c r="C1367" s="6">
        <v>44651</v>
      </c>
      <c r="D1367">
        <v>20210401</v>
      </c>
      <c r="E1367">
        <v>20220331</v>
      </c>
      <c r="F1367" t="s">
        <v>3520</v>
      </c>
      <c r="G1367" t="s">
        <v>3521</v>
      </c>
      <c r="H1367" t="s">
        <v>590</v>
      </c>
      <c r="I1367" t="s">
        <v>1462</v>
      </c>
      <c r="L1367">
        <v>1</v>
      </c>
      <c r="M1367">
        <v>4797.6499999999996</v>
      </c>
      <c r="N1367">
        <v>-1</v>
      </c>
      <c r="O1367">
        <v>-4797.6499999999996</v>
      </c>
      <c r="Z1367" s="3">
        <f t="shared" si="21"/>
        <v>4797.6499999999996</v>
      </c>
    </row>
    <row r="1368" spans="1:26" hidden="1">
      <c r="A1368" t="s">
        <v>706</v>
      </c>
      <c r="B1368" s="6">
        <v>44287</v>
      </c>
      <c r="C1368" s="6">
        <v>44651</v>
      </c>
      <c r="D1368">
        <v>20210401</v>
      </c>
      <c r="E1368">
        <v>20220331</v>
      </c>
      <c r="F1368" t="s">
        <v>3522</v>
      </c>
      <c r="G1368" t="s">
        <v>3523</v>
      </c>
      <c r="H1368" t="s">
        <v>590</v>
      </c>
      <c r="I1368" t="s">
        <v>1462</v>
      </c>
      <c r="L1368">
        <v>2</v>
      </c>
      <c r="M1368">
        <v>8411</v>
      </c>
      <c r="N1368">
        <v>-2</v>
      </c>
      <c r="O1368">
        <v>-8411</v>
      </c>
      <c r="Z1368" s="3">
        <f t="shared" si="21"/>
        <v>4205.5</v>
      </c>
    </row>
    <row r="1369" spans="1:26" hidden="1">
      <c r="A1369" t="s">
        <v>706</v>
      </c>
      <c r="B1369" s="6">
        <v>44287</v>
      </c>
      <c r="C1369" s="6">
        <v>44651</v>
      </c>
      <c r="D1369">
        <v>20210401</v>
      </c>
      <c r="E1369">
        <v>20220331</v>
      </c>
      <c r="F1369" t="s">
        <v>3524</v>
      </c>
      <c r="G1369" t="s">
        <v>3525</v>
      </c>
      <c r="H1369" t="s">
        <v>590</v>
      </c>
      <c r="I1369" t="s">
        <v>1462</v>
      </c>
      <c r="L1369">
        <v>6</v>
      </c>
      <c r="M1369">
        <v>750</v>
      </c>
      <c r="N1369">
        <v>-6</v>
      </c>
      <c r="O1369">
        <v>-750</v>
      </c>
      <c r="Z1369" s="3">
        <f t="shared" si="21"/>
        <v>125</v>
      </c>
    </row>
    <row r="1370" spans="1:26" hidden="1">
      <c r="A1370" t="s">
        <v>706</v>
      </c>
      <c r="B1370" s="6">
        <v>44287</v>
      </c>
      <c r="C1370" s="6">
        <v>44651</v>
      </c>
      <c r="D1370">
        <v>20210401</v>
      </c>
      <c r="E1370">
        <v>20220331</v>
      </c>
      <c r="F1370" t="s">
        <v>3526</v>
      </c>
      <c r="G1370" t="s">
        <v>3527</v>
      </c>
      <c r="H1370" t="s">
        <v>590</v>
      </c>
      <c r="I1370" t="s">
        <v>1462</v>
      </c>
      <c r="L1370">
        <v>4</v>
      </c>
      <c r="M1370">
        <v>616</v>
      </c>
      <c r="N1370">
        <v>-4</v>
      </c>
      <c r="O1370">
        <v>-616</v>
      </c>
      <c r="Z1370" s="3">
        <f t="shared" si="21"/>
        <v>154</v>
      </c>
    </row>
    <row r="1371" spans="1:26" hidden="1">
      <c r="A1371" t="s">
        <v>706</v>
      </c>
      <c r="B1371" s="6">
        <v>44287</v>
      </c>
      <c r="C1371" s="6">
        <v>44651</v>
      </c>
      <c r="D1371">
        <v>20210401</v>
      </c>
      <c r="E1371">
        <v>20220331</v>
      </c>
      <c r="F1371" t="s">
        <v>3528</v>
      </c>
      <c r="G1371" t="s">
        <v>3529</v>
      </c>
      <c r="H1371" t="s">
        <v>590</v>
      </c>
      <c r="I1371" t="s">
        <v>1462</v>
      </c>
      <c r="K1371">
        <v>0.01</v>
      </c>
      <c r="Y1371">
        <v>0.01</v>
      </c>
      <c r="Z1371" s="3" t="e">
        <f t="shared" si="21"/>
        <v>#DIV/0!</v>
      </c>
    </row>
    <row r="1372" spans="1:26" hidden="1">
      <c r="A1372" t="s">
        <v>706</v>
      </c>
      <c r="B1372" s="6">
        <v>44287</v>
      </c>
      <c r="C1372" s="6">
        <v>44651</v>
      </c>
      <c r="D1372">
        <v>20210401</v>
      </c>
      <c r="E1372">
        <v>20220331</v>
      </c>
      <c r="F1372" t="s">
        <v>3530</v>
      </c>
      <c r="G1372" t="s">
        <v>3531</v>
      </c>
      <c r="H1372" t="s">
        <v>590</v>
      </c>
      <c r="I1372" t="s">
        <v>1462</v>
      </c>
      <c r="L1372">
        <v>6</v>
      </c>
      <c r="M1372">
        <v>648</v>
      </c>
      <c r="N1372">
        <v>-6</v>
      </c>
      <c r="O1372">
        <v>-648</v>
      </c>
      <c r="Z1372" s="3">
        <f t="shared" si="21"/>
        <v>108</v>
      </c>
    </row>
    <row r="1373" spans="1:26" hidden="1">
      <c r="A1373" t="s">
        <v>706</v>
      </c>
      <c r="B1373" s="6">
        <v>44287</v>
      </c>
      <c r="C1373" s="6">
        <v>44651</v>
      </c>
      <c r="D1373">
        <v>20210401</v>
      </c>
      <c r="E1373">
        <v>20220331</v>
      </c>
      <c r="F1373" t="s">
        <v>3532</v>
      </c>
      <c r="G1373" t="s">
        <v>3533</v>
      </c>
      <c r="H1373" t="s">
        <v>590</v>
      </c>
      <c r="I1373" t="s">
        <v>1462</v>
      </c>
      <c r="L1373">
        <v>17</v>
      </c>
      <c r="M1373">
        <v>1822</v>
      </c>
      <c r="N1373">
        <v>-21</v>
      </c>
      <c r="O1373">
        <v>-2254</v>
      </c>
      <c r="P1373">
        <v>4</v>
      </c>
      <c r="Q1373">
        <v>432</v>
      </c>
      <c r="Z1373" s="3">
        <f t="shared" si="21"/>
        <v>107.17647058823529</v>
      </c>
    </row>
    <row r="1374" spans="1:26" hidden="1">
      <c r="A1374" t="s">
        <v>706</v>
      </c>
      <c r="B1374" s="6">
        <v>44287</v>
      </c>
      <c r="C1374" s="6">
        <v>44651</v>
      </c>
      <c r="D1374">
        <v>20210401</v>
      </c>
      <c r="E1374">
        <v>20220331</v>
      </c>
      <c r="F1374" t="s">
        <v>3534</v>
      </c>
      <c r="G1374" t="s">
        <v>3535</v>
      </c>
      <c r="H1374" t="s">
        <v>590</v>
      </c>
      <c r="I1374" t="s">
        <v>1462</v>
      </c>
      <c r="L1374">
        <v>4</v>
      </c>
      <c r="M1374">
        <v>652</v>
      </c>
      <c r="N1374">
        <v>-10</v>
      </c>
      <c r="O1374">
        <v>-1668.4</v>
      </c>
      <c r="P1374">
        <v>6</v>
      </c>
      <c r="Q1374">
        <v>1016.4</v>
      </c>
      <c r="Z1374" s="3">
        <f t="shared" si="21"/>
        <v>163.00000000000003</v>
      </c>
    </row>
    <row r="1375" spans="1:26" hidden="1">
      <c r="A1375" t="s">
        <v>706</v>
      </c>
      <c r="B1375" s="6">
        <v>44287</v>
      </c>
      <c r="C1375" s="6">
        <v>44651</v>
      </c>
      <c r="D1375">
        <v>20210401</v>
      </c>
      <c r="E1375">
        <v>20220331</v>
      </c>
      <c r="F1375" t="s">
        <v>3536</v>
      </c>
      <c r="G1375" t="s">
        <v>3537</v>
      </c>
      <c r="H1375" t="s">
        <v>590</v>
      </c>
      <c r="I1375" t="s">
        <v>1462</v>
      </c>
      <c r="L1375">
        <v>6</v>
      </c>
      <c r="M1375">
        <v>960</v>
      </c>
      <c r="N1375">
        <v>-6</v>
      </c>
      <c r="O1375">
        <v>-960</v>
      </c>
      <c r="Z1375" s="3">
        <f t="shared" si="21"/>
        <v>160</v>
      </c>
    </row>
    <row r="1376" spans="1:26" hidden="1">
      <c r="A1376" t="s">
        <v>706</v>
      </c>
      <c r="B1376" s="6">
        <v>44287</v>
      </c>
      <c r="C1376" s="6">
        <v>44651</v>
      </c>
      <c r="D1376">
        <v>20210401</v>
      </c>
      <c r="E1376">
        <v>20220331</v>
      </c>
      <c r="F1376" t="s">
        <v>3538</v>
      </c>
      <c r="G1376" t="s">
        <v>3539</v>
      </c>
      <c r="I1376" t="s">
        <v>1462</v>
      </c>
      <c r="L1376">
        <v>18</v>
      </c>
      <c r="M1376">
        <v>6210</v>
      </c>
      <c r="N1376">
        <v>-18</v>
      </c>
      <c r="O1376">
        <v>-6210</v>
      </c>
      <c r="Z1376" s="3">
        <f t="shared" si="21"/>
        <v>345</v>
      </c>
    </row>
    <row r="1377" spans="1:26" hidden="1">
      <c r="A1377" t="s">
        <v>706</v>
      </c>
      <c r="B1377" s="6">
        <v>44287</v>
      </c>
      <c r="C1377" s="6">
        <v>44651</v>
      </c>
      <c r="D1377">
        <v>20210401</v>
      </c>
      <c r="E1377">
        <v>20220331</v>
      </c>
      <c r="F1377" t="s">
        <v>3540</v>
      </c>
      <c r="G1377" t="s">
        <v>3541</v>
      </c>
      <c r="H1377" t="s">
        <v>590</v>
      </c>
      <c r="I1377" t="s">
        <v>1462</v>
      </c>
      <c r="K1377">
        <v>0.02</v>
      </c>
      <c r="L1377">
        <v>51</v>
      </c>
      <c r="M1377">
        <v>10345</v>
      </c>
      <c r="N1377">
        <v>-61</v>
      </c>
      <c r="O1377">
        <v>-12395</v>
      </c>
      <c r="P1377">
        <v>10</v>
      </c>
      <c r="Q1377">
        <v>2050</v>
      </c>
      <c r="Y1377">
        <v>0.02</v>
      </c>
      <c r="Z1377" s="3">
        <f t="shared" si="21"/>
        <v>202.84313725490196</v>
      </c>
    </row>
    <row r="1378" spans="1:26" hidden="1">
      <c r="A1378" t="s">
        <v>706</v>
      </c>
      <c r="B1378" s="6">
        <v>44287</v>
      </c>
      <c r="C1378" s="6">
        <v>44651</v>
      </c>
      <c r="D1378">
        <v>20210401</v>
      </c>
      <c r="E1378">
        <v>20220331</v>
      </c>
      <c r="F1378" t="s">
        <v>3542</v>
      </c>
      <c r="G1378" t="s">
        <v>3543</v>
      </c>
      <c r="H1378" t="s">
        <v>590</v>
      </c>
      <c r="I1378" t="s">
        <v>1462</v>
      </c>
      <c r="L1378">
        <v>4</v>
      </c>
      <c r="M1378">
        <v>580</v>
      </c>
      <c r="N1378">
        <v>-4</v>
      </c>
      <c r="O1378">
        <v>-580</v>
      </c>
      <c r="Z1378" s="3">
        <f t="shared" si="21"/>
        <v>145</v>
      </c>
    </row>
    <row r="1379" spans="1:26" hidden="1">
      <c r="A1379" t="s">
        <v>706</v>
      </c>
      <c r="B1379" s="6">
        <v>44287</v>
      </c>
      <c r="C1379" s="6">
        <v>44651</v>
      </c>
      <c r="D1379">
        <v>20210401</v>
      </c>
      <c r="E1379">
        <v>20220331</v>
      </c>
      <c r="F1379" t="s">
        <v>3544</v>
      </c>
      <c r="G1379" t="s">
        <v>3545</v>
      </c>
      <c r="H1379" t="s">
        <v>590</v>
      </c>
      <c r="I1379" t="s">
        <v>1462</v>
      </c>
      <c r="K1379">
        <v>0.02</v>
      </c>
      <c r="Y1379">
        <v>0.02</v>
      </c>
      <c r="Z1379" s="3" t="e">
        <f t="shared" si="21"/>
        <v>#DIV/0!</v>
      </c>
    </row>
    <row r="1380" spans="1:26" hidden="1">
      <c r="A1380" t="s">
        <v>706</v>
      </c>
      <c r="B1380" s="6">
        <v>44287</v>
      </c>
      <c r="C1380" s="6">
        <v>44651</v>
      </c>
      <c r="D1380">
        <v>20210401</v>
      </c>
      <c r="E1380">
        <v>20220331</v>
      </c>
      <c r="F1380" t="s">
        <v>3546</v>
      </c>
      <c r="G1380" t="s">
        <v>3547</v>
      </c>
      <c r="H1380" t="s">
        <v>590</v>
      </c>
      <c r="I1380" t="s">
        <v>1462</v>
      </c>
      <c r="K1380">
        <v>0.01</v>
      </c>
      <c r="L1380">
        <v>16</v>
      </c>
      <c r="M1380">
        <v>2441.7199999999998</v>
      </c>
      <c r="N1380">
        <v>-21</v>
      </c>
      <c r="O1380">
        <v>-3157.44</v>
      </c>
      <c r="P1380">
        <v>5</v>
      </c>
      <c r="Q1380">
        <v>715.72</v>
      </c>
      <c r="Y1380">
        <v>0.01</v>
      </c>
      <c r="Z1380" s="3">
        <f t="shared" si="21"/>
        <v>152.60750000000002</v>
      </c>
    </row>
    <row r="1381" spans="1:26" hidden="1">
      <c r="A1381" t="s">
        <v>706</v>
      </c>
      <c r="B1381" s="6">
        <v>44287</v>
      </c>
      <c r="C1381" s="6">
        <v>44651</v>
      </c>
      <c r="D1381">
        <v>20210401</v>
      </c>
      <c r="E1381">
        <v>20220331</v>
      </c>
      <c r="F1381" t="s">
        <v>3548</v>
      </c>
      <c r="G1381" t="s">
        <v>3549</v>
      </c>
      <c r="H1381" t="s">
        <v>590</v>
      </c>
      <c r="I1381" t="s">
        <v>1462</v>
      </c>
      <c r="L1381">
        <v>5</v>
      </c>
      <c r="M1381">
        <v>5000</v>
      </c>
      <c r="N1381">
        <v>-5</v>
      </c>
      <c r="O1381">
        <v>-5000</v>
      </c>
      <c r="Z1381" s="3">
        <f t="shared" si="21"/>
        <v>1000</v>
      </c>
    </row>
    <row r="1382" spans="1:26" hidden="1">
      <c r="A1382" t="s">
        <v>706</v>
      </c>
      <c r="B1382" s="6">
        <v>44287</v>
      </c>
      <c r="C1382" s="6">
        <v>44651</v>
      </c>
      <c r="D1382">
        <v>20210401</v>
      </c>
      <c r="E1382">
        <v>20220331</v>
      </c>
      <c r="F1382" t="s">
        <v>3550</v>
      </c>
      <c r="G1382" t="s">
        <v>3551</v>
      </c>
      <c r="H1382" t="s">
        <v>613</v>
      </c>
      <c r="I1382" t="s">
        <v>1462</v>
      </c>
      <c r="L1382">
        <v>26</v>
      </c>
      <c r="M1382">
        <v>4680</v>
      </c>
      <c r="N1382">
        <v>-26</v>
      </c>
      <c r="O1382">
        <v>-4680</v>
      </c>
      <c r="Z1382" s="3">
        <f t="shared" si="21"/>
        <v>180</v>
      </c>
    </row>
    <row r="1383" spans="1:26" hidden="1">
      <c r="A1383" t="s">
        <v>706</v>
      </c>
      <c r="B1383" s="6">
        <v>44287</v>
      </c>
      <c r="C1383" s="6">
        <v>44651</v>
      </c>
      <c r="D1383">
        <v>20210401</v>
      </c>
      <c r="E1383">
        <v>20220331</v>
      </c>
      <c r="F1383" t="s">
        <v>3552</v>
      </c>
      <c r="G1383" t="s">
        <v>3553</v>
      </c>
      <c r="H1383" t="s">
        <v>1267</v>
      </c>
      <c r="I1383" t="s">
        <v>805</v>
      </c>
      <c r="J1383">
        <v>4</v>
      </c>
      <c r="K1383">
        <v>680</v>
      </c>
      <c r="L1383">
        <v>11</v>
      </c>
      <c r="M1383">
        <v>1930</v>
      </c>
      <c r="N1383">
        <v>-15</v>
      </c>
      <c r="O1383">
        <v>-2610</v>
      </c>
      <c r="Z1383" s="3">
        <f t="shared" si="21"/>
        <v>174</v>
      </c>
    </row>
    <row r="1384" spans="1:26" hidden="1">
      <c r="A1384" t="s">
        <v>706</v>
      </c>
      <c r="B1384" s="6">
        <v>44287</v>
      </c>
      <c r="C1384" s="6">
        <v>44651</v>
      </c>
      <c r="D1384">
        <v>20210401</v>
      </c>
      <c r="E1384">
        <v>20220331</v>
      </c>
      <c r="F1384" t="s">
        <v>3554</v>
      </c>
      <c r="G1384" t="s">
        <v>3555</v>
      </c>
      <c r="H1384" t="s">
        <v>1267</v>
      </c>
      <c r="I1384" t="s">
        <v>805</v>
      </c>
      <c r="J1384">
        <v>1</v>
      </c>
      <c r="K1384">
        <v>225.34</v>
      </c>
      <c r="L1384">
        <v>37</v>
      </c>
      <c r="M1384">
        <v>7768.48</v>
      </c>
      <c r="N1384">
        <v>-38</v>
      </c>
      <c r="O1384">
        <v>-7993.81</v>
      </c>
      <c r="Y1384">
        <v>0.01</v>
      </c>
      <c r="Z1384" s="3">
        <f t="shared" si="21"/>
        <v>210.36342105263159</v>
      </c>
    </row>
    <row r="1385" spans="1:26" hidden="1">
      <c r="A1385" t="s">
        <v>706</v>
      </c>
      <c r="B1385" s="6">
        <v>44287</v>
      </c>
      <c r="C1385" s="6">
        <v>44651</v>
      </c>
      <c r="D1385">
        <v>20210401</v>
      </c>
      <c r="E1385">
        <v>20220331</v>
      </c>
      <c r="F1385" t="s">
        <v>3556</v>
      </c>
      <c r="G1385" t="s">
        <v>3557</v>
      </c>
      <c r="H1385" t="s">
        <v>1267</v>
      </c>
      <c r="I1385" t="s">
        <v>805</v>
      </c>
      <c r="J1385">
        <v>3</v>
      </c>
      <c r="K1385">
        <v>510.01</v>
      </c>
      <c r="L1385">
        <v>38</v>
      </c>
      <c r="M1385">
        <v>7860</v>
      </c>
      <c r="N1385">
        <v>-41</v>
      </c>
      <c r="O1385">
        <v>-8370.01</v>
      </c>
      <c r="Z1385" s="3">
        <f t="shared" si="21"/>
        <v>204.14658536585367</v>
      </c>
    </row>
    <row r="1386" spans="1:26" hidden="1">
      <c r="A1386" t="s">
        <v>706</v>
      </c>
      <c r="B1386" s="6">
        <v>44287</v>
      </c>
      <c r="C1386" s="6">
        <v>44651</v>
      </c>
      <c r="D1386">
        <v>20210401</v>
      </c>
      <c r="E1386">
        <v>20220331</v>
      </c>
      <c r="F1386" t="s">
        <v>3558</v>
      </c>
      <c r="G1386" t="s">
        <v>3559</v>
      </c>
      <c r="H1386" t="s">
        <v>1267</v>
      </c>
      <c r="I1386" t="s">
        <v>805</v>
      </c>
      <c r="J1386">
        <v>4</v>
      </c>
      <c r="K1386">
        <v>720</v>
      </c>
      <c r="L1386">
        <v>7</v>
      </c>
      <c r="M1386">
        <v>1360</v>
      </c>
      <c r="N1386">
        <v>-11</v>
      </c>
      <c r="O1386">
        <v>-2080</v>
      </c>
      <c r="Z1386" s="3">
        <f t="shared" si="21"/>
        <v>189.09090909090909</v>
      </c>
    </row>
    <row r="1387" spans="1:26" hidden="1">
      <c r="A1387" t="s">
        <v>706</v>
      </c>
      <c r="B1387" s="6">
        <v>44287</v>
      </c>
      <c r="C1387" s="6">
        <v>44651</v>
      </c>
      <c r="D1387">
        <v>20210401</v>
      </c>
      <c r="E1387">
        <v>20220331</v>
      </c>
      <c r="F1387" t="s">
        <v>3560</v>
      </c>
      <c r="G1387" t="s">
        <v>3561</v>
      </c>
      <c r="H1387" t="s">
        <v>1267</v>
      </c>
      <c r="I1387" t="s">
        <v>805</v>
      </c>
      <c r="J1387">
        <v>5</v>
      </c>
      <c r="K1387">
        <v>849.99</v>
      </c>
      <c r="L1387">
        <v>15</v>
      </c>
      <c r="M1387">
        <v>2695</v>
      </c>
      <c r="N1387">
        <v>-20</v>
      </c>
      <c r="O1387">
        <v>-3545.01</v>
      </c>
      <c r="Y1387">
        <v>-0.02</v>
      </c>
      <c r="Z1387" s="3">
        <f t="shared" si="21"/>
        <v>177.25050000000002</v>
      </c>
    </row>
    <row r="1388" spans="1:26" hidden="1">
      <c r="A1388" t="s">
        <v>706</v>
      </c>
      <c r="B1388" s="6">
        <v>44287</v>
      </c>
      <c r="C1388" s="6">
        <v>44651</v>
      </c>
      <c r="D1388">
        <v>20210401</v>
      </c>
      <c r="E1388">
        <v>20220331</v>
      </c>
      <c r="F1388" t="s">
        <v>3562</v>
      </c>
      <c r="G1388" t="s">
        <v>3563</v>
      </c>
      <c r="H1388" t="s">
        <v>1267</v>
      </c>
      <c r="I1388" t="s">
        <v>805</v>
      </c>
      <c r="L1388">
        <v>31</v>
      </c>
      <c r="M1388">
        <v>6530</v>
      </c>
      <c r="N1388">
        <v>-31</v>
      </c>
      <c r="O1388">
        <v>-6530</v>
      </c>
      <c r="Z1388" s="3">
        <f t="shared" si="21"/>
        <v>210.64516129032259</v>
      </c>
    </row>
    <row r="1389" spans="1:26" hidden="1">
      <c r="A1389" t="s">
        <v>706</v>
      </c>
      <c r="B1389" s="6">
        <v>44287</v>
      </c>
      <c r="C1389" s="6">
        <v>44651</v>
      </c>
      <c r="D1389">
        <v>20210401</v>
      </c>
      <c r="E1389">
        <v>20220331</v>
      </c>
      <c r="F1389" t="s">
        <v>3564</v>
      </c>
      <c r="G1389" t="s">
        <v>3565</v>
      </c>
      <c r="H1389" t="s">
        <v>590</v>
      </c>
      <c r="I1389" t="s">
        <v>1462</v>
      </c>
      <c r="L1389">
        <v>4</v>
      </c>
      <c r="M1389">
        <v>1040</v>
      </c>
      <c r="N1389">
        <v>-4</v>
      </c>
      <c r="O1389">
        <v>-1040</v>
      </c>
      <c r="Z1389" s="3">
        <f t="shared" si="21"/>
        <v>260</v>
      </c>
    </row>
    <row r="1390" spans="1:26" hidden="1">
      <c r="A1390" t="s">
        <v>706</v>
      </c>
      <c r="B1390" s="6">
        <v>44287</v>
      </c>
      <c r="C1390" s="6">
        <v>44651</v>
      </c>
      <c r="D1390">
        <v>20210401</v>
      </c>
      <c r="E1390">
        <v>20220331</v>
      </c>
      <c r="F1390" t="s">
        <v>3566</v>
      </c>
      <c r="G1390" t="s">
        <v>3567</v>
      </c>
      <c r="H1390" t="s">
        <v>590</v>
      </c>
      <c r="I1390" t="s">
        <v>805</v>
      </c>
      <c r="L1390">
        <v>20</v>
      </c>
      <c r="M1390">
        <v>280</v>
      </c>
      <c r="N1390">
        <v>-20</v>
      </c>
      <c r="O1390">
        <v>-280</v>
      </c>
      <c r="Z1390" s="3">
        <f t="shared" si="21"/>
        <v>14</v>
      </c>
    </row>
    <row r="1391" spans="1:26" hidden="1">
      <c r="A1391" t="s">
        <v>706</v>
      </c>
      <c r="B1391" s="6">
        <v>44287</v>
      </c>
      <c r="C1391" s="6">
        <v>44651</v>
      </c>
      <c r="D1391">
        <v>20210401</v>
      </c>
      <c r="E1391">
        <v>20220331</v>
      </c>
      <c r="F1391" t="s">
        <v>3568</v>
      </c>
      <c r="G1391" t="s">
        <v>3569</v>
      </c>
      <c r="H1391" t="s">
        <v>590</v>
      </c>
      <c r="I1391" t="s">
        <v>805</v>
      </c>
      <c r="L1391">
        <v>38</v>
      </c>
      <c r="M1391">
        <v>1444</v>
      </c>
      <c r="N1391">
        <v>-38</v>
      </c>
      <c r="O1391">
        <v>-1441.27</v>
      </c>
      <c r="Y1391">
        <v>2.73</v>
      </c>
      <c r="Z1391" s="3">
        <f t="shared" si="21"/>
        <v>37.928157894736842</v>
      </c>
    </row>
    <row r="1392" spans="1:26" hidden="1">
      <c r="A1392" t="s">
        <v>706</v>
      </c>
      <c r="B1392" s="6">
        <v>44287</v>
      </c>
      <c r="C1392" s="6">
        <v>44651</v>
      </c>
      <c r="D1392">
        <v>20210401</v>
      </c>
      <c r="E1392">
        <v>20220331</v>
      </c>
      <c r="F1392" t="s">
        <v>3570</v>
      </c>
      <c r="G1392" t="s">
        <v>3571</v>
      </c>
      <c r="H1392" t="s">
        <v>1267</v>
      </c>
      <c r="I1392" t="s">
        <v>805</v>
      </c>
      <c r="L1392">
        <v>8</v>
      </c>
      <c r="M1392">
        <v>2140</v>
      </c>
      <c r="N1392">
        <v>-12</v>
      </c>
      <c r="O1392">
        <v>-3340</v>
      </c>
      <c r="P1392">
        <v>4</v>
      </c>
      <c r="Q1392">
        <v>1200</v>
      </c>
      <c r="Z1392" s="3">
        <f t="shared" si="21"/>
        <v>267.5</v>
      </c>
    </row>
    <row r="1393" spans="1:26" hidden="1">
      <c r="A1393" t="s">
        <v>706</v>
      </c>
      <c r="B1393" s="6">
        <v>44287</v>
      </c>
      <c r="C1393" s="6">
        <v>44651</v>
      </c>
      <c r="D1393">
        <v>20210401</v>
      </c>
      <c r="E1393">
        <v>20220331</v>
      </c>
      <c r="F1393" t="s">
        <v>3572</v>
      </c>
      <c r="G1393" t="s">
        <v>3573</v>
      </c>
      <c r="H1393" t="s">
        <v>1267</v>
      </c>
      <c r="I1393" t="s">
        <v>805</v>
      </c>
      <c r="L1393">
        <v>5</v>
      </c>
      <c r="M1393">
        <v>850</v>
      </c>
      <c r="N1393">
        <v>-9</v>
      </c>
      <c r="O1393">
        <v>-1530</v>
      </c>
      <c r="P1393">
        <v>4</v>
      </c>
      <c r="Q1393">
        <v>680</v>
      </c>
      <c r="Z1393" s="3">
        <f t="shared" si="21"/>
        <v>170</v>
      </c>
    </row>
    <row r="1394" spans="1:26" hidden="1">
      <c r="A1394" t="s">
        <v>706</v>
      </c>
      <c r="B1394" s="6">
        <v>44287</v>
      </c>
      <c r="C1394" s="6">
        <v>44651</v>
      </c>
      <c r="D1394">
        <v>20210401</v>
      </c>
      <c r="E1394">
        <v>20220331</v>
      </c>
      <c r="F1394" t="s">
        <v>3574</v>
      </c>
      <c r="G1394" t="s">
        <v>3575</v>
      </c>
      <c r="H1394" t="s">
        <v>590</v>
      </c>
      <c r="I1394" t="s">
        <v>805</v>
      </c>
      <c r="K1394">
        <v>3.78</v>
      </c>
      <c r="L1394">
        <v>38</v>
      </c>
      <c r="M1394">
        <v>831.14</v>
      </c>
      <c r="N1394">
        <v>-38</v>
      </c>
      <c r="O1394">
        <v>-834.92</v>
      </c>
      <c r="Z1394" s="3">
        <f t="shared" si="21"/>
        <v>21.971578947368421</v>
      </c>
    </row>
    <row r="1395" spans="1:26" hidden="1">
      <c r="A1395" t="s">
        <v>706</v>
      </c>
      <c r="B1395" s="6">
        <v>44287</v>
      </c>
      <c r="C1395" s="6">
        <v>44651</v>
      </c>
      <c r="D1395">
        <v>20210401</v>
      </c>
      <c r="E1395">
        <v>20220331</v>
      </c>
      <c r="F1395" t="s">
        <v>3576</v>
      </c>
      <c r="G1395" t="s">
        <v>3577</v>
      </c>
      <c r="H1395" t="s">
        <v>1267</v>
      </c>
      <c r="I1395" t="s">
        <v>805</v>
      </c>
      <c r="L1395">
        <v>19</v>
      </c>
      <c r="M1395">
        <v>2660</v>
      </c>
      <c r="N1395">
        <v>-19</v>
      </c>
      <c r="O1395">
        <v>-2660</v>
      </c>
      <c r="Z1395" s="3">
        <f t="shared" si="21"/>
        <v>140</v>
      </c>
    </row>
    <row r="1396" spans="1:26" hidden="1">
      <c r="A1396" t="s">
        <v>706</v>
      </c>
      <c r="B1396" s="6">
        <v>44287</v>
      </c>
      <c r="C1396" s="6">
        <v>44651</v>
      </c>
      <c r="D1396">
        <v>20210401</v>
      </c>
      <c r="E1396">
        <v>20220331</v>
      </c>
      <c r="F1396" t="s">
        <v>3578</v>
      </c>
      <c r="G1396" t="s">
        <v>3579</v>
      </c>
      <c r="I1396" t="s">
        <v>805</v>
      </c>
      <c r="L1396">
        <v>18</v>
      </c>
      <c r="M1396">
        <v>1700</v>
      </c>
      <c r="N1396">
        <v>-18</v>
      </c>
      <c r="O1396">
        <v>-1700</v>
      </c>
      <c r="Z1396" s="3">
        <f t="shared" si="21"/>
        <v>94.444444444444443</v>
      </c>
    </row>
    <row r="1397" spans="1:26" hidden="1">
      <c r="A1397" t="s">
        <v>706</v>
      </c>
      <c r="B1397" s="6">
        <v>44287</v>
      </c>
      <c r="C1397" s="6">
        <v>44651</v>
      </c>
      <c r="D1397">
        <v>20210401</v>
      </c>
      <c r="E1397">
        <v>20220331</v>
      </c>
      <c r="F1397" t="s">
        <v>3580</v>
      </c>
      <c r="G1397" t="s">
        <v>3581</v>
      </c>
      <c r="H1397" t="s">
        <v>1267</v>
      </c>
      <c r="I1397" t="s">
        <v>805</v>
      </c>
      <c r="L1397">
        <v>30</v>
      </c>
      <c r="M1397">
        <v>3270</v>
      </c>
      <c r="N1397">
        <v>-30</v>
      </c>
      <c r="O1397">
        <v>-3270</v>
      </c>
      <c r="Z1397" s="3">
        <f t="shared" si="21"/>
        <v>109</v>
      </c>
    </row>
    <row r="1398" spans="1:26" hidden="1">
      <c r="A1398" t="s">
        <v>706</v>
      </c>
      <c r="B1398" s="6">
        <v>44287</v>
      </c>
      <c r="C1398" s="6">
        <v>44651</v>
      </c>
      <c r="D1398">
        <v>20210401</v>
      </c>
      <c r="E1398">
        <v>20220331</v>
      </c>
      <c r="F1398" t="s">
        <v>3582</v>
      </c>
      <c r="G1398" t="s">
        <v>3583</v>
      </c>
      <c r="H1398" t="s">
        <v>613</v>
      </c>
      <c r="I1398" t="s">
        <v>805</v>
      </c>
      <c r="L1398">
        <v>20</v>
      </c>
      <c r="M1398">
        <v>2200</v>
      </c>
      <c r="N1398">
        <v>-20</v>
      </c>
      <c r="O1398">
        <v>-2200</v>
      </c>
      <c r="Z1398" s="3">
        <f t="shared" si="21"/>
        <v>110</v>
      </c>
    </row>
    <row r="1399" spans="1:26" hidden="1">
      <c r="A1399" t="s">
        <v>706</v>
      </c>
      <c r="B1399" s="6">
        <v>44287</v>
      </c>
      <c r="C1399" s="6">
        <v>44651</v>
      </c>
      <c r="D1399">
        <v>20210401</v>
      </c>
      <c r="E1399">
        <v>20220331</v>
      </c>
      <c r="F1399" t="s">
        <v>3584</v>
      </c>
      <c r="G1399" t="s">
        <v>3585</v>
      </c>
      <c r="H1399" t="s">
        <v>590</v>
      </c>
      <c r="I1399" t="s">
        <v>805</v>
      </c>
      <c r="L1399">
        <v>22</v>
      </c>
      <c r="M1399">
        <v>5170</v>
      </c>
      <c r="N1399">
        <v>-24</v>
      </c>
      <c r="O1399">
        <v>-5630</v>
      </c>
      <c r="P1399">
        <v>2</v>
      </c>
      <c r="Q1399">
        <v>460</v>
      </c>
      <c r="Z1399" s="3">
        <f t="shared" si="21"/>
        <v>235</v>
      </c>
    </row>
    <row r="1400" spans="1:26" hidden="1">
      <c r="A1400" t="s">
        <v>706</v>
      </c>
      <c r="B1400" s="6">
        <v>44287</v>
      </c>
      <c r="C1400" s="6">
        <v>44651</v>
      </c>
      <c r="D1400">
        <v>20210401</v>
      </c>
      <c r="E1400">
        <v>20220331</v>
      </c>
      <c r="F1400" t="s">
        <v>3586</v>
      </c>
      <c r="G1400" t="s">
        <v>3587</v>
      </c>
      <c r="H1400" t="s">
        <v>590</v>
      </c>
      <c r="I1400" t="s">
        <v>805</v>
      </c>
      <c r="L1400">
        <v>33</v>
      </c>
      <c r="M1400">
        <v>4740</v>
      </c>
      <c r="N1400">
        <v>-33</v>
      </c>
      <c r="O1400">
        <v>-4740</v>
      </c>
      <c r="Z1400" s="3">
        <f t="shared" si="21"/>
        <v>143.63636363636363</v>
      </c>
    </row>
    <row r="1401" spans="1:26" hidden="1">
      <c r="A1401" t="s">
        <v>706</v>
      </c>
      <c r="B1401" s="6">
        <v>44287</v>
      </c>
      <c r="C1401" s="6">
        <v>44651</v>
      </c>
      <c r="D1401">
        <v>20210401</v>
      </c>
      <c r="E1401">
        <v>20220331</v>
      </c>
      <c r="F1401" t="s">
        <v>3588</v>
      </c>
      <c r="G1401" t="s">
        <v>3589</v>
      </c>
      <c r="H1401" t="s">
        <v>1267</v>
      </c>
      <c r="I1401" t="s">
        <v>805</v>
      </c>
      <c r="L1401">
        <v>1</v>
      </c>
      <c r="M1401">
        <v>180</v>
      </c>
      <c r="N1401">
        <v>-1</v>
      </c>
      <c r="O1401">
        <v>-180</v>
      </c>
      <c r="Z1401" s="3">
        <f t="shared" si="21"/>
        <v>180</v>
      </c>
    </row>
    <row r="1402" spans="1:26" hidden="1">
      <c r="A1402" t="s">
        <v>706</v>
      </c>
      <c r="B1402" s="6">
        <v>44287</v>
      </c>
      <c r="C1402" s="6">
        <v>44651</v>
      </c>
      <c r="D1402">
        <v>20210401</v>
      </c>
      <c r="E1402">
        <v>20220331</v>
      </c>
      <c r="F1402" t="s">
        <v>3590</v>
      </c>
      <c r="G1402" t="s">
        <v>3591</v>
      </c>
      <c r="H1402" t="s">
        <v>613</v>
      </c>
      <c r="I1402" t="s">
        <v>805</v>
      </c>
      <c r="L1402">
        <v>20</v>
      </c>
      <c r="M1402">
        <v>12400</v>
      </c>
      <c r="N1402">
        <v>-20</v>
      </c>
      <c r="O1402">
        <v>-12400</v>
      </c>
      <c r="Z1402" s="3">
        <f t="shared" si="21"/>
        <v>620</v>
      </c>
    </row>
    <row r="1403" spans="1:26" hidden="1">
      <c r="A1403" t="s">
        <v>706</v>
      </c>
      <c r="B1403" s="6">
        <v>44287</v>
      </c>
      <c r="C1403" s="6">
        <v>44651</v>
      </c>
      <c r="D1403">
        <v>20210401</v>
      </c>
      <c r="E1403">
        <v>20220331</v>
      </c>
      <c r="F1403" t="s">
        <v>3592</v>
      </c>
      <c r="G1403" t="s">
        <v>3593</v>
      </c>
      <c r="H1403" t="s">
        <v>590</v>
      </c>
      <c r="I1403" t="s">
        <v>1462</v>
      </c>
      <c r="L1403">
        <v>2</v>
      </c>
      <c r="M1403">
        <v>180</v>
      </c>
      <c r="N1403">
        <v>-2</v>
      </c>
      <c r="O1403">
        <v>-180</v>
      </c>
      <c r="Z1403" s="3">
        <f t="shared" si="21"/>
        <v>90</v>
      </c>
    </row>
    <row r="1404" spans="1:26" hidden="1">
      <c r="A1404" t="s">
        <v>706</v>
      </c>
      <c r="B1404" s="6">
        <v>44287</v>
      </c>
      <c r="C1404" s="6">
        <v>44651</v>
      </c>
      <c r="D1404">
        <v>20210401</v>
      </c>
      <c r="E1404">
        <v>20220331</v>
      </c>
      <c r="F1404" t="s">
        <v>3594</v>
      </c>
      <c r="G1404" t="s">
        <v>3595</v>
      </c>
      <c r="H1404" t="s">
        <v>613</v>
      </c>
      <c r="I1404" t="s">
        <v>1462</v>
      </c>
      <c r="L1404">
        <v>80</v>
      </c>
      <c r="M1404">
        <v>1565.2</v>
      </c>
      <c r="N1404">
        <v>-80</v>
      </c>
      <c r="O1404">
        <v>-1565.2</v>
      </c>
      <c r="Z1404" s="3">
        <f t="shared" si="21"/>
        <v>19.565000000000001</v>
      </c>
    </row>
    <row r="1405" spans="1:26" hidden="1">
      <c r="A1405" t="s">
        <v>706</v>
      </c>
      <c r="B1405" s="6">
        <v>44287</v>
      </c>
      <c r="C1405" s="6">
        <v>44651</v>
      </c>
      <c r="D1405">
        <v>20210401</v>
      </c>
      <c r="E1405">
        <v>20220331</v>
      </c>
      <c r="F1405" t="s">
        <v>3596</v>
      </c>
      <c r="G1405" t="s">
        <v>3597</v>
      </c>
      <c r="H1405" t="s">
        <v>1267</v>
      </c>
      <c r="I1405" t="s">
        <v>805</v>
      </c>
      <c r="L1405">
        <v>26</v>
      </c>
      <c r="M1405">
        <v>6440</v>
      </c>
      <c r="N1405">
        <v>-26</v>
      </c>
      <c r="O1405">
        <v>-6440</v>
      </c>
      <c r="Z1405" s="3">
        <f t="shared" si="21"/>
        <v>247.69230769230768</v>
      </c>
    </row>
    <row r="1406" spans="1:26" hidden="1">
      <c r="A1406" t="s">
        <v>706</v>
      </c>
      <c r="B1406" s="6">
        <v>44287</v>
      </c>
      <c r="C1406" s="6">
        <v>44651</v>
      </c>
      <c r="D1406">
        <v>20210401</v>
      </c>
      <c r="E1406">
        <v>20220331</v>
      </c>
      <c r="F1406" t="s">
        <v>3598</v>
      </c>
      <c r="G1406" t="s">
        <v>3599</v>
      </c>
      <c r="H1406" t="s">
        <v>613</v>
      </c>
      <c r="I1406" t="s">
        <v>805</v>
      </c>
      <c r="L1406">
        <v>15</v>
      </c>
      <c r="M1406">
        <v>256</v>
      </c>
      <c r="N1406">
        <v>-15</v>
      </c>
      <c r="O1406">
        <v>-256</v>
      </c>
      <c r="Z1406" s="3">
        <f t="shared" si="21"/>
        <v>17.066666666666666</v>
      </c>
    </row>
    <row r="1407" spans="1:26" hidden="1">
      <c r="A1407" t="s">
        <v>706</v>
      </c>
      <c r="B1407" s="6">
        <v>44287</v>
      </c>
      <c r="C1407" s="6">
        <v>44651</v>
      </c>
      <c r="D1407">
        <v>20210401</v>
      </c>
      <c r="E1407">
        <v>20220331</v>
      </c>
      <c r="F1407" t="s">
        <v>3600</v>
      </c>
      <c r="G1407" t="s">
        <v>3601</v>
      </c>
      <c r="H1407" t="s">
        <v>590</v>
      </c>
      <c r="I1407" t="s">
        <v>1462</v>
      </c>
      <c r="L1407">
        <v>22</v>
      </c>
      <c r="M1407">
        <v>545</v>
      </c>
      <c r="N1407">
        <v>-22</v>
      </c>
      <c r="O1407">
        <v>-545</v>
      </c>
      <c r="Z1407" s="3">
        <f t="shared" si="21"/>
        <v>24.772727272727273</v>
      </c>
    </row>
    <row r="1408" spans="1:26" hidden="1">
      <c r="A1408" t="s">
        <v>706</v>
      </c>
      <c r="B1408" s="6">
        <v>44287</v>
      </c>
      <c r="C1408" s="6">
        <v>44651</v>
      </c>
      <c r="D1408">
        <v>20210401</v>
      </c>
      <c r="E1408">
        <v>20220331</v>
      </c>
      <c r="F1408" t="s">
        <v>3602</v>
      </c>
      <c r="G1408" t="s">
        <v>3603</v>
      </c>
      <c r="H1408" t="s">
        <v>613</v>
      </c>
      <c r="I1408" t="s">
        <v>1462</v>
      </c>
      <c r="L1408">
        <v>1</v>
      </c>
      <c r="M1408">
        <v>72</v>
      </c>
      <c r="N1408">
        <v>-1</v>
      </c>
      <c r="O1408">
        <v>-72</v>
      </c>
      <c r="Z1408" s="3">
        <f t="shared" si="21"/>
        <v>72</v>
      </c>
    </row>
    <row r="1409" spans="1:26" hidden="1">
      <c r="A1409" t="s">
        <v>706</v>
      </c>
      <c r="B1409" s="6">
        <v>44287</v>
      </c>
      <c r="C1409" s="6">
        <v>44651</v>
      </c>
      <c r="D1409">
        <v>20210401</v>
      </c>
      <c r="E1409">
        <v>20220331</v>
      </c>
      <c r="F1409" t="s">
        <v>3604</v>
      </c>
      <c r="G1409" t="s">
        <v>3605</v>
      </c>
      <c r="H1409" t="s">
        <v>1267</v>
      </c>
      <c r="I1409" t="s">
        <v>805</v>
      </c>
      <c r="L1409">
        <v>6</v>
      </c>
      <c r="M1409">
        <v>1728</v>
      </c>
      <c r="N1409">
        <v>-6</v>
      </c>
      <c r="O1409">
        <v>-1728</v>
      </c>
      <c r="Z1409" s="3">
        <f t="shared" si="21"/>
        <v>288</v>
      </c>
    </row>
    <row r="1410" spans="1:26" hidden="1">
      <c r="A1410" t="s">
        <v>706</v>
      </c>
      <c r="B1410" s="6">
        <v>44287</v>
      </c>
      <c r="C1410" s="6">
        <v>44651</v>
      </c>
      <c r="D1410">
        <v>20210401</v>
      </c>
      <c r="E1410">
        <v>20220331</v>
      </c>
      <c r="F1410" t="s">
        <v>3606</v>
      </c>
      <c r="G1410" t="s">
        <v>3607</v>
      </c>
      <c r="H1410" t="s">
        <v>613</v>
      </c>
      <c r="I1410" t="s">
        <v>1462</v>
      </c>
      <c r="L1410">
        <v>1</v>
      </c>
      <c r="M1410">
        <v>6700</v>
      </c>
      <c r="N1410">
        <v>-1</v>
      </c>
      <c r="O1410">
        <v>-6700</v>
      </c>
      <c r="Z1410" s="3">
        <f t="shared" si="21"/>
        <v>6700</v>
      </c>
    </row>
    <row r="1411" spans="1:26" hidden="1">
      <c r="A1411" t="s">
        <v>706</v>
      </c>
      <c r="B1411" s="6">
        <v>44287</v>
      </c>
      <c r="C1411" s="6">
        <v>44651</v>
      </c>
      <c r="D1411">
        <v>20210401</v>
      </c>
      <c r="E1411">
        <v>20220331</v>
      </c>
      <c r="F1411" t="s">
        <v>3608</v>
      </c>
      <c r="G1411" t="s">
        <v>3609</v>
      </c>
      <c r="H1411" t="s">
        <v>613</v>
      </c>
      <c r="I1411" t="s">
        <v>1462</v>
      </c>
      <c r="L1411">
        <v>5</v>
      </c>
      <c r="M1411">
        <v>6700</v>
      </c>
      <c r="N1411">
        <v>-5</v>
      </c>
      <c r="O1411">
        <v>-6700</v>
      </c>
      <c r="Z1411" s="3">
        <f t="shared" ref="Z1411:Z1474" si="22">IFERROR((O1411+Q1411)/(N1411+P1411),Y1411/X1411)</f>
        <v>1340</v>
      </c>
    </row>
    <row r="1412" spans="1:26" hidden="1">
      <c r="A1412" t="s">
        <v>706</v>
      </c>
      <c r="B1412" s="6">
        <v>44287</v>
      </c>
      <c r="C1412" s="6">
        <v>44651</v>
      </c>
      <c r="D1412">
        <v>20210401</v>
      </c>
      <c r="E1412">
        <v>20220331</v>
      </c>
      <c r="F1412" t="s">
        <v>3610</v>
      </c>
      <c r="G1412" t="s">
        <v>3611</v>
      </c>
      <c r="H1412" t="s">
        <v>590</v>
      </c>
      <c r="I1412" t="s">
        <v>1462</v>
      </c>
      <c r="L1412">
        <v>12</v>
      </c>
      <c r="M1412">
        <v>5280</v>
      </c>
      <c r="N1412">
        <v>-12</v>
      </c>
      <c r="O1412">
        <v>-5280</v>
      </c>
      <c r="Z1412" s="3">
        <f t="shared" si="22"/>
        <v>440</v>
      </c>
    </row>
    <row r="1413" spans="1:26" hidden="1">
      <c r="A1413" t="s">
        <v>706</v>
      </c>
      <c r="B1413" s="6">
        <v>44287</v>
      </c>
      <c r="C1413" s="6">
        <v>44651</v>
      </c>
      <c r="D1413">
        <v>20210401</v>
      </c>
      <c r="E1413">
        <v>20220331</v>
      </c>
      <c r="F1413" t="s">
        <v>3612</v>
      </c>
      <c r="G1413" t="s">
        <v>3613</v>
      </c>
      <c r="H1413" t="s">
        <v>590</v>
      </c>
      <c r="I1413" t="s">
        <v>1462</v>
      </c>
      <c r="L1413">
        <v>6</v>
      </c>
      <c r="M1413">
        <v>5550</v>
      </c>
      <c r="N1413">
        <v>-5</v>
      </c>
      <c r="O1413">
        <v>-4625</v>
      </c>
      <c r="X1413">
        <v>1</v>
      </c>
      <c r="Y1413">
        <v>925</v>
      </c>
      <c r="Z1413" s="3">
        <f t="shared" si="22"/>
        <v>925</v>
      </c>
    </row>
    <row r="1414" spans="1:26" hidden="1">
      <c r="A1414" t="s">
        <v>706</v>
      </c>
      <c r="B1414" s="6">
        <v>44287</v>
      </c>
      <c r="C1414" s="6">
        <v>44651</v>
      </c>
      <c r="D1414">
        <v>20210401</v>
      </c>
      <c r="E1414">
        <v>20220331</v>
      </c>
      <c r="F1414" t="s">
        <v>3614</v>
      </c>
      <c r="G1414" t="s">
        <v>3615</v>
      </c>
      <c r="H1414" t="s">
        <v>590</v>
      </c>
      <c r="I1414" t="s">
        <v>1462</v>
      </c>
      <c r="L1414">
        <v>5</v>
      </c>
      <c r="M1414">
        <v>2750</v>
      </c>
      <c r="N1414">
        <v>-5</v>
      </c>
      <c r="O1414">
        <v>-2750</v>
      </c>
      <c r="Z1414" s="3">
        <f t="shared" si="22"/>
        <v>550</v>
      </c>
    </row>
    <row r="1415" spans="1:26" hidden="1">
      <c r="A1415" t="s">
        <v>706</v>
      </c>
      <c r="B1415" s="6">
        <v>44287</v>
      </c>
      <c r="C1415" s="6">
        <v>44651</v>
      </c>
      <c r="D1415">
        <v>20210401</v>
      </c>
      <c r="E1415">
        <v>20220331</v>
      </c>
      <c r="F1415" t="s">
        <v>3616</v>
      </c>
      <c r="G1415" t="s">
        <v>3617</v>
      </c>
      <c r="H1415" t="s">
        <v>590</v>
      </c>
      <c r="I1415" t="s">
        <v>1462</v>
      </c>
      <c r="L1415">
        <v>6</v>
      </c>
      <c r="M1415">
        <v>2160</v>
      </c>
      <c r="N1415">
        <v>-6</v>
      </c>
      <c r="O1415">
        <v>-2160</v>
      </c>
      <c r="Z1415" s="3">
        <f t="shared" si="22"/>
        <v>360</v>
      </c>
    </row>
    <row r="1416" spans="1:26" hidden="1">
      <c r="A1416" t="s">
        <v>706</v>
      </c>
      <c r="B1416" s="6">
        <v>44287</v>
      </c>
      <c r="C1416" s="6">
        <v>44651</v>
      </c>
      <c r="D1416">
        <v>20210401</v>
      </c>
      <c r="E1416">
        <v>20220331</v>
      </c>
      <c r="F1416" t="s">
        <v>3618</v>
      </c>
      <c r="G1416" t="s">
        <v>3619</v>
      </c>
      <c r="H1416" t="s">
        <v>1973</v>
      </c>
      <c r="I1416" t="s">
        <v>805</v>
      </c>
      <c r="L1416">
        <v>1</v>
      </c>
      <c r="M1416">
        <v>1350</v>
      </c>
      <c r="N1416">
        <v>-1</v>
      </c>
      <c r="O1416">
        <v>-1350</v>
      </c>
      <c r="Z1416" s="3">
        <f t="shared" si="22"/>
        <v>1350</v>
      </c>
    </row>
    <row r="1417" spans="1:26" hidden="1">
      <c r="A1417" t="s">
        <v>706</v>
      </c>
      <c r="B1417" s="6">
        <v>44287</v>
      </c>
      <c r="C1417" s="6">
        <v>44651</v>
      </c>
      <c r="D1417">
        <v>20210401</v>
      </c>
      <c r="E1417">
        <v>20220331</v>
      </c>
      <c r="F1417" t="s">
        <v>3620</v>
      </c>
      <c r="G1417" t="s">
        <v>3621</v>
      </c>
      <c r="H1417" t="s">
        <v>590</v>
      </c>
      <c r="I1417" t="s">
        <v>1462</v>
      </c>
      <c r="L1417">
        <v>22</v>
      </c>
      <c r="M1417">
        <v>7200</v>
      </c>
      <c r="N1417">
        <v>-22</v>
      </c>
      <c r="O1417">
        <v>-7200</v>
      </c>
      <c r="Z1417" s="3">
        <f t="shared" si="22"/>
        <v>327.27272727272725</v>
      </c>
    </row>
    <row r="1418" spans="1:26" hidden="1">
      <c r="A1418" t="s">
        <v>706</v>
      </c>
      <c r="B1418" s="6">
        <v>44287</v>
      </c>
      <c r="C1418" s="6">
        <v>44651</v>
      </c>
      <c r="D1418">
        <v>20210401</v>
      </c>
      <c r="E1418">
        <v>20220331</v>
      </c>
      <c r="F1418" t="s">
        <v>3622</v>
      </c>
      <c r="G1418" t="s">
        <v>3623</v>
      </c>
      <c r="H1418" t="s">
        <v>590</v>
      </c>
      <c r="I1418" t="s">
        <v>1462</v>
      </c>
      <c r="N1418">
        <v>-2</v>
      </c>
      <c r="P1418">
        <v>2</v>
      </c>
      <c r="Z1418" s="3" t="e">
        <f t="shared" si="22"/>
        <v>#DIV/0!</v>
      </c>
    </row>
    <row r="1419" spans="1:26" hidden="1">
      <c r="A1419" t="s">
        <v>706</v>
      </c>
      <c r="B1419" s="6">
        <v>44287</v>
      </c>
      <c r="C1419" s="6">
        <v>44651</v>
      </c>
      <c r="D1419">
        <v>20210401</v>
      </c>
      <c r="E1419">
        <v>20220331</v>
      </c>
      <c r="F1419" t="s">
        <v>3624</v>
      </c>
      <c r="G1419" t="s">
        <v>3625</v>
      </c>
      <c r="H1419" t="s">
        <v>590</v>
      </c>
      <c r="I1419" t="s">
        <v>1462</v>
      </c>
      <c r="L1419">
        <v>1</v>
      </c>
      <c r="M1419">
        <v>1350</v>
      </c>
      <c r="N1419">
        <v>-1</v>
      </c>
      <c r="O1419">
        <v>-1350</v>
      </c>
      <c r="Z1419" s="3">
        <f t="shared" si="22"/>
        <v>1350</v>
      </c>
    </row>
    <row r="1420" spans="1:26" hidden="1">
      <c r="A1420" t="s">
        <v>706</v>
      </c>
      <c r="B1420" s="6">
        <v>44287</v>
      </c>
      <c r="C1420" s="6">
        <v>44651</v>
      </c>
      <c r="D1420">
        <v>20210401</v>
      </c>
      <c r="E1420">
        <v>20220331</v>
      </c>
      <c r="F1420" t="s">
        <v>3626</v>
      </c>
      <c r="G1420" t="s">
        <v>3627</v>
      </c>
      <c r="H1420" t="s">
        <v>590</v>
      </c>
      <c r="I1420" t="s">
        <v>1462</v>
      </c>
      <c r="L1420">
        <v>2</v>
      </c>
      <c r="M1420">
        <v>1400</v>
      </c>
      <c r="N1420">
        <v>-2</v>
      </c>
      <c r="O1420">
        <v>-1400</v>
      </c>
      <c r="Z1420" s="3">
        <f t="shared" si="22"/>
        <v>700</v>
      </c>
    </row>
    <row r="1421" spans="1:26" hidden="1">
      <c r="A1421" t="s">
        <v>706</v>
      </c>
      <c r="B1421" s="6">
        <v>44287</v>
      </c>
      <c r="C1421" s="6">
        <v>44651</v>
      </c>
      <c r="D1421">
        <v>20210401</v>
      </c>
      <c r="E1421">
        <v>20220331</v>
      </c>
      <c r="F1421" t="s">
        <v>3628</v>
      </c>
      <c r="G1421" t="s">
        <v>3629</v>
      </c>
      <c r="H1421" t="s">
        <v>590</v>
      </c>
      <c r="I1421" t="s">
        <v>1462</v>
      </c>
      <c r="L1421">
        <v>2</v>
      </c>
      <c r="M1421">
        <v>1700</v>
      </c>
      <c r="N1421">
        <v>-2</v>
      </c>
      <c r="O1421">
        <v>-1700</v>
      </c>
      <c r="Z1421" s="3">
        <f t="shared" si="22"/>
        <v>850</v>
      </c>
    </row>
    <row r="1422" spans="1:26" hidden="1">
      <c r="A1422" t="s">
        <v>706</v>
      </c>
      <c r="B1422" s="6">
        <v>44287</v>
      </c>
      <c r="C1422" s="6">
        <v>44651</v>
      </c>
      <c r="D1422">
        <v>20210401</v>
      </c>
      <c r="E1422">
        <v>20220331</v>
      </c>
      <c r="F1422" t="s">
        <v>3630</v>
      </c>
      <c r="G1422" t="s">
        <v>3631</v>
      </c>
      <c r="H1422" t="s">
        <v>590</v>
      </c>
      <c r="I1422" t="s">
        <v>1462</v>
      </c>
      <c r="K1422">
        <v>0.02</v>
      </c>
      <c r="L1422">
        <v>12</v>
      </c>
      <c r="M1422">
        <v>10800</v>
      </c>
      <c r="N1422">
        <v>-12</v>
      </c>
      <c r="O1422">
        <v>-10800</v>
      </c>
      <c r="Y1422">
        <v>0.02</v>
      </c>
      <c r="Z1422" s="3">
        <f t="shared" si="22"/>
        <v>900</v>
      </c>
    </row>
    <row r="1423" spans="1:26" hidden="1">
      <c r="A1423" t="s">
        <v>706</v>
      </c>
      <c r="B1423" s="6">
        <v>44287</v>
      </c>
      <c r="C1423" s="6">
        <v>44651</v>
      </c>
      <c r="D1423">
        <v>20210401</v>
      </c>
      <c r="E1423">
        <v>20220331</v>
      </c>
      <c r="F1423" t="s">
        <v>3632</v>
      </c>
      <c r="G1423" t="s">
        <v>3633</v>
      </c>
      <c r="H1423" t="s">
        <v>590</v>
      </c>
      <c r="I1423" t="s">
        <v>1462</v>
      </c>
      <c r="L1423">
        <v>2</v>
      </c>
      <c r="M1423">
        <v>2750</v>
      </c>
      <c r="N1423">
        <v>-2</v>
      </c>
      <c r="O1423">
        <v>-2750</v>
      </c>
      <c r="Z1423" s="3">
        <f t="shared" si="22"/>
        <v>1375</v>
      </c>
    </row>
    <row r="1424" spans="1:26" hidden="1">
      <c r="A1424" t="s">
        <v>706</v>
      </c>
      <c r="B1424" s="6">
        <v>44287</v>
      </c>
      <c r="C1424" s="6">
        <v>44651</v>
      </c>
      <c r="D1424">
        <v>20210401</v>
      </c>
      <c r="E1424">
        <v>20220331</v>
      </c>
      <c r="F1424" t="s">
        <v>3634</v>
      </c>
      <c r="G1424" t="s">
        <v>3635</v>
      </c>
      <c r="H1424" t="s">
        <v>590</v>
      </c>
      <c r="I1424" t="s">
        <v>805</v>
      </c>
      <c r="L1424">
        <v>1</v>
      </c>
      <c r="M1424">
        <v>475</v>
      </c>
      <c r="N1424">
        <v>-1</v>
      </c>
      <c r="O1424">
        <v>-475</v>
      </c>
      <c r="Z1424" s="3">
        <f t="shared" si="22"/>
        <v>475</v>
      </c>
    </row>
    <row r="1425" spans="1:26" hidden="1">
      <c r="A1425" t="s">
        <v>706</v>
      </c>
      <c r="B1425" s="6">
        <v>44287</v>
      </c>
      <c r="C1425" s="6">
        <v>44651</v>
      </c>
      <c r="D1425">
        <v>20210401</v>
      </c>
      <c r="E1425">
        <v>20220331</v>
      </c>
      <c r="F1425" t="s">
        <v>3636</v>
      </c>
      <c r="G1425" t="s">
        <v>3637</v>
      </c>
      <c r="H1425" t="s">
        <v>590</v>
      </c>
      <c r="I1425" t="s">
        <v>1462</v>
      </c>
      <c r="L1425">
        <v>2</v>
      </c>
      <c r="M1425">
        <v>18799.8</v>
      </c>
      <c r="N1425">
        <v>-1</v>
      </c>
      <c r="O1425">
        <v>-9550</v>
      </c>
      <c r="X1425">
        <v>1</v>
      </c>
      <c r="Y1425">
        <v>9249.7999999999993</v>
      </c>
      <c r="Z1425" s="3">
        <f t="shared" si="22"/>
        <v>9550</v>
      </c>
    </row>
    <row r="1426" spans="1:26" hidden="1">
      <c r="A1426" t="s">
        <v>706</v>
      </c>
      <c r="B1426" s="6">
        <v>44287</v>
      </c>
      <c r="C1426" s="6">
        <v>44651</v>
      </c>
      <c r="D1426">
        <v>20210401</v>
      </c>
      <c r="E1426">
        <v>20220331</v>
      </c>
      <c r="F1426" t="s">
        <v>3638</v>
      </c>
      <c r="G1426" t="s">
        <v>3639</v>
      </c>
      <c r="H1426" t="s">
        <v>590</v>
      </c>
      <c r="I1426" t="s">
        <v>1462</v>
      </c>
      <c r="N1426">
        <v>-1</v>
      </c>
      <c r="O1426">
        <v>-289</v>
      </c>
      <c r="P1426">
        <v>1</v>
      </c>
      <c r="Q1426">
        <v>289</v>
      </c>
      <c r="Z1426" s="3" t="e">
        <f t="shared" si="22"/>
        <v>#DIV/0!</v>
      </c>
    </row>
    <row r="1427" spans="1:26" hidden="1">
      <c r="A1427" t="s">
        <v>706</v>
      </c>
      <c r="B1427" s="6">
        <v>44287</v>
      </c>
      <c r="C1427" s="6">
        <v>44651</v>
      </c>
      <c r="D1427">
        <v>20210401</v>
      </c>
      <c r="E1427">
        <v>20220331</v>
      </c>
      <c r="F1427" t="s">
        <v>3640</v>
      </c>
      <c r="G1427" t="s">
        <v>3641</v>
      </c>
      <c r="H1427" t="s">
        <v>590</v>
      </c>
      <c r="I1427" t="s">
        <v>1462</v>
      </c>
      <c r="L1427">
        <v>9</v>
      </c>
      <c r="M1427">
        <v>18150</v>
      </c>
      <c r="N1427">
        <v>-9</v>
      </c>
      <c r="O1427">
        <v>-18150</v>
      </c>
      <c r="Z1427" s="3">
        <f t="shared" si="22"/>
        <v>2016.6666666666667</v>
      </c>
    </row>
    <row r="1428" spans="1:26" hidden="1">
      <c r="A1428" t="s">
        <v>706</v>
      </c>
      <c r="B1428" s="6">
        <v>44287</v>
      </c>
      <c r="C1428" s="6">
        <v>44651</v>
      </c>
      <c r="D1428">
        <v>20210401</v>
      </c>
      <c r="E1428">
        <v>20220331</v>
      </c>
      <c r="F1428" t="s">
        <v>3642</v>
      </c>
      <c r="G1428" t="s">
        <v>3643</v>
      </c>
      <c r="H1428" t="s">
        <v>590</v>
      </c>
      <c r="I1428" t="s">
        <v>1462</v>
      </c>
      <c r="L1428">
        <v>2</v>
      </c>
      <c r="M1428">
        <v>3150</v>
      </c>
      <c r="N1428">
        <v>-2</v>
      </c>
      <c r="O1428">
        <v>-3150</v>
      </c>
      <c r="Z1428" s="3">
        <f t="shared" si="22"/>
        <v>1575</v>
      </c>
    </row>
    <row r="1429" spans="1:26" hidden="1">
      <c r="A1429" t="s">
        <v>706</v>
      </c>
      <c r="B1429" s="6">
        <v>44287</v>
      </c>
      <c r="C1429" s="6">
        <v>44651</v>
      </c>
      <c r="D1429">
        <v>20210401</v>
      </c>
      <c r="E1429">
        <v>20220331</v>
      </c>
      <c r="F1429" t="s">
        <v>3644</v>
      </c>
      <c r="G1429" t="s">
        <v>3645</v>
      </c>
      <c r="H1429" t="s">
        <v>590</v>
      </c>
      <c r="I1429" t="s">
        <v>1462</v>
      </c>
      <c r="K1429">
        <v>0.02</v>
      </c>
      <c r="L1429">
        <v>21</v>
      </c>
      <c r="M1429">
        <v>6825</v>
      </c>
      <c r="N1429">
        <v>-21</v>
      </c>
      <c r="O1429">
        <v>-6825</v>
      </c>
      <c r="Y1429">
        <v>0.02</v>
      </c>
      <c r="Z1429" s="3">
        <f t="shared" si="22"/>
        <v>325</v>
      </c>
    </row>
    <row r="1430" spans="1:26" hidden="1">
      <c r="A1430" t="s">
        <v>706</v>
      </c>
      <c r="B1430" s="6">
        <v>44287</v>
      </c>
      <c r="C1430" s="6">
        <v>44651</v>
      </c>
      <c r="D1430">
        <v>20210401</v>
      </c>
      <c r="E1430">
        <v>20220331</v>
      </c>
      <c r="F1430" t="s">
        <v>3646</v>
      </c>
      <c r="G1430" t="s">
        <v>3647</v>
      </c>
      <c r="H1430" t="s">
        <v>590</v>
      </c>
      <c r="I1430" t="s">
        <v>1462</v>
      </c>
      <c r="L1430">
        <v>3</v>
      </c>
      <c r="M1430">
        <v>17602.11</v>
      </c>
      <c r="N1430">
        <v>-3</v>
      </c>
      <c r="O1430">
        <v>-17602.11</v>
      </c>
      <c r="Z1430" s="3">
        <f t="shared" si="22"/>
        <v>5867.37</v>
      </c>
    </row>
    <row r="1431" spans="1:26" hidden="1">
      <c r="A1431" t="s">
        <v>706</v>
      </c>
      <c r="B1431" s="6">
        <v>44287</v>
      </c>
      <c r="C1431" s="6">
        <v>44651</v>
      </c>
      <c r="D1431">
        <v>20210401</v>
      </c>
      <c r="E1431">
        <v>20220331</v>
      </c>
      <c r="F1431" t="s">
        <v>3648</v>
      </c>
      <c r="G1431" t="s">
        <v>3649</v>
      </c>
      <c r="H1431" t="s">
        <v>590</v>
      </c>
      <c r="I1431" t="s">
        <v>1462</v>
      </c>
      <c r="L1431">
        <v>1</v>
      </c>
      <c r="M1431">
        <v>2724</v>
      </c>
      <c r="N1431">
        <v>-1</v>
      </c>
      <c r="O1431">
        <v>-2724</v>
      </c>
      <c r="Z1431" s="3">
        <f t="shared" si="22"/>
        <v>2724</v>
      </c>
    </row>
    <row r="1432" spans="1:26" hidden="1">
      <c r="A1432" t="s">
        <v>706</v>
      </c>
      <c r="B1432" s="6">
        <v>44287</v>
      </c>
      <c r="C1432" s="6">
        <v>44651</v>
      </c>
      <c r="D1432">
        <v>20210401</v>
      </c>
      <c r="E1432">
        <v>20220331</v>
      </c>
      <c r="F1432" t="s">
        <v>3650</v>
      </c>
      <c r="G1432" t="s">
        <v>3651</v>
      </c>
      <c r="H1432" t="s">
        <v>590</v>
      </c>
      <c r="I1432" t="s">
        <v>1462</v>
      </c>
      <c r="L1432">
        <v>1</v>
      </c>
      <c r="M1432">
        <v>1833</v>
      </c>
      <c r="N1432">
        <v>-1</v>
      </c>
      <c r="O1432">
        <v>-1833</v>
      </c>
      <c r="Z1432" s="3">
        <f t="shared" si="22"/>
        <v>1833</v>
      </c>
    </row>
    <row r="1433" spans="1:26" hidden="1">
      <c r="A1433" t="s">
        <v>706</v>
      </c>
      <c r="B1433" s="6">
        <v>44287</v>
      </c>
      <c r="C1433" s="6">
        <v>44651</v>
      </c>
      <c r="D1433">
        <v>20210401</v>
      </c>
      <c r="E1433">
        <v>20220331</v>
      </c>
      <c r="F1433" t="s">
        <v>3652</v>
      </c>
      <c r="G1433" t="s">
        <v>3653</v>
      </c>
      <c r="I1433" t="s">
        <v>1462</v>
      </c>
      <c r="L1433">
        <v>10</v>
      </c>
      <c r="M1433">
        <v>5520</v>
      </c>
      <c r="N1433">
        <v>-10</v>
      </c>
      <c r="O1433">
        <v>-5520</v>
      </c>
      <c r="Z1433" s="3">
        <f t="shared" si="22"/>
        <v>552</v>
      </c>
    </row>
    <row r="1434" spans="1:26" hidden="1">
      <c r="A1434" t="s">
        <v>706</v>
      </c>
      <c r="B1434" s="6">
        <v>44287</v>
      </c>
      <c r="C1434" s="6">
        <v>44651</v>
      </c>
      <c r="D1434">
        <v>20210401</v>
      </c>
      <c r="E1434">
        <v>20220331</v>
      </c>
      <c r="F1434" t="s">
        <v>3654</v>
      </c>
      <c r="G1434" t="s">
        <v>3655</v>
      </c>
      <c r="H1434" t="s">
        <v>590</v>
      </c>
      <c r="I1434" t="s">
        <v>805</v>
      </c>
      <c r="L1434">
        <v>102</v>
      </c>
      <c r="M1434">
        <v>13700</v>
      </c>
      <c r="N1434">
        <v>-102</v>
      </c>
      <c r="O1434">
        <v>-13700</v>
      </c>
      <c r="Z1434" s="3">
        <f t="shared" si="22"/>
        <v>134.31372549019608</v>
      </c>
    </row>
    <row r="1435" spans="1:26" hidden="1">
      <c r="A1435" t="s">
        <v>706</v>
      </c>
      <c r="B1435" s="6">
        <v>44287</v>
      </c>
      <c r="C1435" s="6">
        <v>44651</v>
      </c>
      <c r="D1435">
        <v>20210401</v>
      </c>
      <c r="E1435">
        <v>20220331</v>
      </c>
      <c r="F1435" t="s">
        <v>3656</v>
      </c>
      <c r="G1435" t="s">
        <v>3657</v>
      </c>
      <c r="H1435" t="s">
        <v>590</v>
      </c>
      <c r="I1435" t="s">
        <v>1462</v>
      </c>
      <c r="L1435">
        <v>1</v>
      </c>
      <c r="M1435">
        <v>2934.35</v>
      </c>
      <c r="N1435">
        <v>-1</v>
      </c>
      <c r="O1435">
        <v>-2934.35</v>
      </c>
      <c r="Z1435" s="3">
        <f t="shared" si="22"/>
        <v>2934.35</v>
      </c>
    </row>
    <row r="1436" spans="1:26" hidden="1">
      <c r="A1436" t="s">
        <v>706</v>
      </c>
      <c r="B1436" s="6">
        <v>44287</v>
      </c>
      <c r="C1436" s="6">
        <v>44651</v>
      </c>
      <c r="D1436">
        <v>20210401</v>
      </c>
      <c r="E1436">
        <v>20220331</v>
      </c>
      <c r="F1436" t="s">
        <v>3658</v>
      </c>
      <c r="G1436" t="s">
        <v>3659</v>
      </c>
      <c r="H1436" t="s">
        <v>590</v>
      </c>
      <c r="I1436" t="s">
        <v>1462</v>
      </c>
      <c r="L1436">
        <v>3</v>
      </c>
      <c r="M1436">
        <v>117000</v>
      </c>
      <c r="N1436">
        <v>-3</v>
      </c>
      <c r="O1436">
        <v>-117000</v>
      </c>
      <c r="Z1436" s="3">
        <f t="shared" si="22"/>
        <v>39000</v>
      </c>
    </row>
    <row r="1437" spans="1:26" hidden="1">
      <c r="A1437" t="s">
        <v>706</v>
      </c>
      <c r="B1437" s="6">
        <v>44287</v>
      </c>
      <c r="C1437" s="6">
        <v>44651</v>
      </c>
      <c r="D1437">
        <v>20210401</v>
      </c>
      <c r="E1437">
        <v>20220331</v>
      </c>
      <c r="F1437" t="s">
        <v>3660</v>
      </c>
      <c r="G1437" t="s">
        <v>3661</v>
      </c>
      <c r="H1437" t="s">
        <v>590</v>
      </c>
      <c r="I1437" t="s">
        <v>1462</v>
      </c>
      <c r="L1437">
        <v>2</v>
      </c>
      <c r="M1437">
        <v>48200</v>
      </c>
      <c r="N1437">
        <v>-2</v>
      </c>
      <c r="O1437">
        <v>-48200</v>
      </c>
      <c r="Z1437" s="3">
        <f t="shared" si="22"/>
        <v>24100</v>
      </c>
    </row>
    <row r="1438" spans="1:26" hidden="1">
      <c r="A1438" t="s">
        <v>706</v>
      </c>
      <c r="B1438" s="6">
        <v>44287</v>
      </c>
      <c r="C1438" s="6">
        <v>44651</v>
      </c>
      <c r="D1438">
        <v>20210401</v>
      </c>
      <c r="E1438">
        <v>20220331</v>
      </c>
      <c r="F1438" t="s">
        <v>3662</v>
      </c>
      <c r="G1438" t="s">
        <v>3663</v>
      </c>
      <c r="H1438" t="s">
        <v>590</v>
      </c>
      <c r="I1438" t="s">
        <v>1462</v>
      </c>
      <c r="L1438">
        <v>2</v>
      </c>
      <c r="M1438">
        <v>1600</v>
      </c>
      <c r="N1438">
        <v>-2</v>
      </c>
      <c r="O1438">
        <v>-1600</v>
      </c>
      <c r="Z1438" s="3">
        <f t="shared" si="22"/>
        <v>800</v>
      </c>
    </row>
    <row r="1439" spans="1:26" hidden="1">
      <c r="A1439" t="s">
        <v>706</v>
      </c>
      <c r="B1439" s="6">
        <v>44287</v>
      </c>
      <c r="C1439" s="6">
        <v>44651</v>
      </c>
      <c r="D1439">
        <v>20210401</v>
      </c>
      <c r="E1439">
        <v>20220331</v>
      </c>
      <c r="F1439" t="s">
        <v>3664</v>
      </c>
      <c r="G1439" t="s">
        <v>3665</v>
      </c>
      <c r="H1439" t="s">
        <v>590</v>
      </c>
      <c r="I1439" t="s">
        <v>1462</v>
      </c>
      <c r="L1439">
        <v>4</v>
      </c>
      <c r="M1439">
        <v>6314.2</v>
      </c>
      <c r="N1439">
        <v>-2</v>
      </c>
      <c r="O1439">
        <v>-3300</v>
      </c>
      <c r="X1439">
        <v>2</v>
      </c>
      <c r="Y1439">
        <v>3014.2</v>
      </c>
      <c r="Z1439" s="3">
        <f t="shared" si="22"/>
        <v>1650</v>
      </c>
    </row>
    <row r="1440" spans="1:26" hidden="1">
      <c r="A1440" t="s">
        <v>706</v>
      </c>
      <c r="B1440" s="6">
        <v>44287</v>
      </c>
      <c r="C1440" s="6">
        <v>44651</v>
      </c>
      <c r="D1440">
        <v>20210401</v>
      </c>
      <c r="E1440">
        <v>20220331</v>
      </c>
      <c r="F1440" t="s">
        <v>3666</v>
      </c>
      <c r="G1440" t="s">
        <v>3667</v>
      </c>
      <c r="H1440" t="s">
        <v>590</v>
      </c>
      <c r="I1440" t="s">
        <v>1462</v>
      </c>
      <c r="L1440">
        <v>16</v>
      </c>
      <c r="M1440">
        <v>1660</v>
      </c>
      <c r="N1440">
        <v>-16</v>
      </c>
      <c r="O1440">
        <v>-1660</v>
      </c>
      <c r="Z1440" s="3">
        <f t="shared" si="22"/>
        <v>103.75</v>
      </c>
    </row>
    <row r="1441" spans="1:26" hidden="1">
      <c r="A1441" t="s">
        <v>706</v>
      </c>
      <c r="B1441" s="6">
        <v>44287</v>
      </c>
      <c r="C1441" s="6">
        <v>44651</v>
      </c>
      <c r="D1441">
        <v>20210401</v>
      </c>
      <c r="E1441">
        <v>20220331</v>
      </c>
      <c r="F1441" t="s">
        <v>3668</v>
      </c>
      <c r="G1441" t="s">
        <v>3669</v>
      </c>
      <c r="H1441" t="s">
        <v>590</v>
      </c>
      <c r="I1441" t="s">
        <v>1462</v>
      </c>
      <c r="L1441">
        <v>20</v>
      </c>
      <c r="M1441">
        <v>4042</v>
      </c>
      <c r="N1441">
        <v>-20</v>
      </c>
      <c r="O1441">
        <v>-4042</v>
      </c>
      <c r="Z1441" s="3">
        <f t="shared" si="22"/>
        <v>202.1</v>
      </c>
    </row>
    <row r="1442" spans="1:26" hidden="1">
      <c r="A1442" t="s">
        <v>706</v>
      </c>
      <c r="B1442" s="6">
        <v>44287</v>
      </c>
      <c r="C1442" s="6">
        <v>44651</v>
      </c>
      <c r="D1442">
        <v>20210401</v>
      </c>
      <c r="E1442">
        <v>20220331</v>
      </c>
      <c r="F1442" t="s">
        <v>3670</v>
      </c>
      <c r="G1442" t="s">
        <v>3671</v>
      </c>
      <c r="H1442" t="s">
        <v>590</v>
      </c>
      <c r="I1442" t="s">
        <v>1462</v>
      </c>
      <c r="L1442">
        <v>1</v>
      </c>
      <c r="M1442">
        <v>2587.1999999999998</v>
      </c>
      <c r="N1442">
        <v>-1</v>
      </c>
      <c r="O1442">
        <v>-1665.75</v>
      </c>
      <c r="P1442">
        <v>1</v>
      </c>
      <c r="Q1442">
        <v>1665.75</v>
      </c>
      <c r="X1442">
        <v>1</v>
      </c>
      <c r="Y1442">
        <v>2587.1999999999998</v>
      </c>
      <c r="Z1442" s="3">
        <f t="shared" si="22"/>
        <v>2587.1999999999998</v>
      </c>
    </row>
    <row r="1443" spans="1:26" hidden="1">
      <c r="A1443" t="s">
        <v>706</v>
      </c>
      <c r="B1443" s="6">
        <v>44287</v>
      </c>
      <c r="C1443" s="6">
        <v>44651</v>
      </c>
      <c r="D1443">
        <v>20210401</v>
      </c>
      <c r="E1443">
        <v>20220331</v>
      </c>
      <c r="F1443" t="s">
        <v>3672</v>
      </c>
      <c r="G1443" t="s">
        <v>3673</v>
      </c>
      <c r="H1443" t="s">
        <v>590</v>
      </c>
      <c r="I1443" t="s">
        <v>1462</v>
      </c>
      <c r="L1443">
        <v>1</v>
      </c>
      <c r="M1443">
        <v>2063.1999999999998</v>
      </c>
      <c r="N1443">
        <v>-1</v>
      </c>
      <c r="O1443">
        <v>-2063.1999999999998</v>
      </c>
      <c r="Z1443" s="3">
        <f t="shared" si="22"/>
        <v>2063.1999999999998</v>
      </c>
    </row>
    <row r="1444" spans="1:26" hidden="1">
      <c r="A1444" t="s">
        <v>706</v>
      </c>
      <c r="B1444" s="6">
        <v>44287</v>
      </c>
      <c r="C1444" s="6">
        <v>44651</v>
      </c>
      <c r="D1444">
        <v>20210401</v>
      </c>
      <c r="E1444">
        <v>20220331</v>
      </c>
      <c r="F1444" t="s">
        <v>3674</v>
      </c>
      <c r="G1444" t="s">
        <v>3675</v>
      </c>
      <c r="H1444" t="s">
        <v>590</v>
      </c>
      <c r="I1444" t="s">
        <v>1462</v>
      </c>
      <c r="L1444">
        <v>4</v>
      </c>
      <c r="M1444">
        <v>9400</v>
      </c>
      <c r="N1444">
        <v>-6</v>
      </c>
      <c r="O1444">
        <v>-13350</v>
      </c>
      <c r="P1444">
        <v>2</v>
      </c>
      <c r="Q1444">
        <v>3950</v>
      </c>
      <c r="Z1444" s="3">
        <f t="shared" si="22"/>
        <v>2350</v>
      </c>
    </row>
    <row r="1445" spans="1:26" hidden="1">
      <c r="A1445" t="s">
        <v>706</v>
      </c>
      <c r="B1445" s="6">
        <v>44287</v>
      </c>
      <c r="C1445" s="6">
        <v>44651</v>
      </c>
      <c r="D1445">
        <v>20210401</v>
      </c>
      <c r="E1445">
        <v>20220331</v>
      </c>
      <c r="F1445" t="s">
        <v>3676</v>
      </c>
      <c r="G1445" t="s">
        <v>3677</v>
      </c>
      <c r="H1445" t="s">
        <v>590</v>
      </c>
      <c r="I1445" t="s">
        <v>1462</v>
      </c>
      <c r="L1445">
        <v>3</v>
      </c>
      <c r="M1445">
        <v>17280</v>
      </c>
      <c r="N1445">
        <v>-4</v>
      </c>
      <c r="O1445">
        <v>-23130</v>
      </c>
      <c r="P1445">
        <v>1</v>
      </c>
      <c r="Q1445">
        <v>5850</v>
      </c>
      <c r="Z1445" s="3">
        <f t="shared" si="22"/>
        <v>5760</v>
      </c>
    </row>
    <row r="1446" spans="1:26" hidden="1">
      <c r="A1446" t="s">
        <v>706</v>
      </c>
      <c r="B1446" s="6">
        <v>44287</v>
      </c>
      <c r="C1446" s="6">
        <v>44651</v>
      </c>
      <c r="D1446">
        <v>20210401</v>
      </c>
      <c r="E1446">
        <v>20220331</v>
      </c>
      <c r="F1446" t="s">
        <v>3678</v>
      </c>
      <c r="G1446" t="s">
        <v>3679</v>
      </c>
      <c r="H1446" t="s">
        <v>590</v>
      </c>
      <c r="I1446" t="s">
        <v>1462</v>
      </c>
      <c r="L1446">
        <v>3</v>
      </c>
      <c r="M1446">
        <v>600</v>
      </c>
      <c r="N1446">
        <v>-3</v>
      </c>
      <c r="O1446">
        <v>-600</v>
      </c>
      <c r="Z1446" s="3">
        <f t="shared" si="22"/>
        <v>200</v>
      </c>
    </row>
    <row r="1447" spans="1:26" hidden="1">
      <c r="A1447" t="s">
        <v>706</v>
      </c>
      <c r="B1447" s="6">
        <v>44287</v>
      </c>
      <c r="C1447" s="6">
        <v>44651</v>
      </c>
      <c r="D1447">
        <v>20210401</v>
      </c>
      <c r="E1447">
        <v>20220331</v>
      </c>
      <c r="F1447" t="s">
        <v>3680</v>
      </c>
      <c r="G1447" t="s">
        <v>3681</v>
      </c>
      <c r="H1447" t="s">
        <v>590</v>
      </c>
      <c r="I1447" t="s">
        <v>1462</v>
      </c>
      <c r="L1447">
        <v>1</v>
      </c>
      <c r="M1447">
        <v>1900</v>
      </c>
      <c r="N1447">
        <v>-1</v>
      </c>
      <c r="O1447">
        <v>-1900</v>
      </c>
      <c r="Z1447" s="3">
        <f t="shared" si="22"/>
        <v>1900</v>
      </c>
    </row>
    <row r="1448" spans="1:26" hidden="1">
      <c r="A1448" t="s">
        <v>706</v>
      </c>
      <c r="B1448" s="6">
        <v>44287</v>
      </c>
      <c r="C1448" s="6">
        <v>44651</v>
      </c>
      <c r="D1448">
        <v>20210401</v>
      </c>
      <c r="E1448">
        <v>20220331</v>
      </c>
      <c r="F1448" t="s">
        <v>3682</v>
      </c>
      <c r="G1448" t="s">
        <v>3683</v>
      </c>
      <c r="H1448" t="s">
        <v>590</v>
      </c>
      <c r="I1448" t="s">
        <v>1462</v>
      </c>
      <c r="L1448">
        <v>1</v>
      </c>
      <c r="M1448">
        <v>1780</v>
      </c>
      <c r="N1448">
        <v>-1</v>
      </c>
      <c r="O1448">
        <v>-1780</v>
      </c>
      <c r="Z1448" s="3">
        <f t="shared" si="22"/>
        <v>1780</v>
      </c>
    </row>
    <row r="1449" spans="1:26" hidden="1">
      <c r="A1449" t="s">
        <v>706</v>
      </c>
      <c r="B1449" s="6">
        <v>44287</v>
      </c>
      <c r="C1449" s="6">
        <v>44651</v>
      </c>
      <c r="D1449">
        <v>20210401</v>
      </c>
      <c r="E1449">
        <v>20220331</v>
      </c>
      <c r="F1449" t="s">
        <v>3684</v>
      </c>
      <c r="G1449" t="s">
        <v>3685</v>
      </c>
      <c r="I1449" t="s">
        <v>1462</v>
      </c>
      <c r="L1449">
        <v>1</v>
      </c>
      <c r="M1449">
        <v>3750</v>
      </c>
      <c r="N1449">
        <v>-1</v>
      </c>
      <c r="O1449">
        <v>-3750</v>
      </c>
      <c r="Z1449" s="3">
        <f t="shared" si="22"/>
        <v>3750</v>
      </c>
    </row>
    <row r="1450" spans="1:26" hidden="1">
      <c r="A1450" t="s">
        <v>706</v>
      </c>
      <c r="B1450" s="6">
        <v>44287</v>
      </c>
      <c r="C1450" s="6">
        <v>44651</v>
      </c>
      <c r="D1450">
        <v>20210401</v>
      </c>
      <c r="E1450">
        <v>20220331</v>
      </c>
      <c r="F1450" t="s">
        <v>3686</v>
      </c>
      <c r="G1450" t="s">
        <v>3687</v>
      </c>
      <c r="H1450" t="s">
        <v>590</v>
      </c>
      <c r="I1450" t="s">
        <v>1462</v>
      </c>
      <c r="L1450">
        <v>4</v>
      </c>
      <c r="M1450">
        <v>3544</v>
      </c>
      <c r="N1450">
        <v>-4</v>
      </c>
      <c r="O1450">
        <v>-3544</v>
      </c>
      <c r="Z1450" s="3">
        <f t="shared" si="22"/>
        <v>886</v>
      </c>
    </row>
    <row r="1451" spans="1:26" hidden="1">
      <c r="A1451" t="s">
        <v>706</v>
      </c>
      <c r="B1451" s="6">
        <v>44287</v>
      </c>
      <c r="C1451" s="6">
        <v>44651</v>
      </c>
      <c r="D1451">
        <v>20210401</v>
      </c>
      <c r="E1451">
        <v>20220331</v>
      </c>
      <c r="F1451" t="s">
        <v>3688</v>
      </c>
      <c r="G1451" t="s">
        <v>3689</v>
      </c>
      <c r="H1451" t="s">
        <v>590</v>
      </c>
      <c r="I1451" t="s">
        <v>1462</v>
      </c>
      <c r="L1451">
        <v>4</v>
      </c>
      <c r="M1451">
        <v>900</v>
      </c>
      <c r="N1451">
        <v>-4</v>
      </c>
      <c r="O1451">
        <v>-900</v>
      </c>
      <c r="Z1451" s="3">
        <f t="shared" si="22"/>
        <v>225</v>
      </c>
    </row>
    <row r="1452" spans="1:26" hidden="1">
      <c r="A1452" t="s">
        <v>706</v>
      </c>
      <c r="B1452" s="6">
        <v>44287</v>
      </c>
      <c r="C1452" s="6">
        <v>44651</v>
      </c>
      <c r="D1452">
        <v>20210401</v>
      </c>
      <c r="E1452">
        <v>20220331</v>
      </c>
      <c r="F1452" t="s">
        <v>3690</v>
      </c>
      <c r="G1452" t="s">
        <v>3691</v>
      </c>
      <c r="H1452" t="s">
        <v>590</v>
      </c>
      <c r="I1452" t="s">
        <v>1462</v>
      </c>
      <c r="L1452">
        <v>1</v>
      </c>
      <c r="M1452">
        <v>2975</v>
      </c>
      <c r="N1452">
        <v>-1</v>
      </c>
      <c r="O1452">
        <v>-2975</v>
      </c>
      <c r="Z1452" s="3">
        <f t="shared" si="22"/>
        <v>2975</v>
      </c>
    </row>
    <row r="1453" spans="1:26" hidden="1">
      <c r="A1453" t="s">
        <v>706</v>
      </c>
      <c r="B1453" s="6">
        <v>44287</v>
      </c>
      <c r="C1453" s="6">
        <v>44651</v>
      </c>
      <c r="D1453">
        <v>20210401</v>
      </c>
      <c r="E1453">
        <v>20220331</v>
      </c>
      <c r="F1453" t="s">
        <v>3692</v>
      </c>
      <c r="G1453" t="s">
        <v>3693</v>
      </c>
      <c r="H1453" t="s">
        <v>590</v>
      </c>
      <c r="I1453" t="s">
        <v>1462</v>
      </c>
      <c r="K1453">
        <v>0.03</v>
      </c>
      <c r="Y1453">
        <v>0.03</v>
      </c>
      <c r="Z1453" s="3" t="e">
        <f t="shared" si="22"/>
        <v>#DIV/0!</v>
      </c>
    </row>
    <row r="1454" spans="1:26" hidden="1">
      <c r="A1454" t="s">
        <v>706</v>
      </c>
      <c r="B1454" s="6">
        <v>44287</v>
      </c>
      <c r="C1454" s="6">
        <v>44651</v>
      </c>
      <c r="D1454">
        <v>20210401</v>
      </c>
      <c r="E1454">
        <v>20220331</v>
      </c>
      <c r="F1454" t="s">
        <v>3694</v>
      </c>
      <c r="G1454" t="s">
        <v>3695</v>
      </c>
      <c r="H1454" t="s">
        <v>590</v>
      </c>
      <c r="I1454" t="s">
        <v>1462</v>
      </c>
      <c r="L1454">
        <v>4</v>
      </c>
      <c r="M1454">
        <v>1100</v>
      </c>
      <c r="N1454">
        <v>-4</v>
      </c>
      <c r="O1454">
        <v>-1100</v>
      </c>
      <c r="Z1454" s="3">
        <f t="shared" si="22"/>
        <v>275</v>
      </c>
    </row>
    <row r="1455" spans="1:26" hidden="1">
      <c r="A1455" t="s">
        <v>706</v>
      </c>
      <c r="B1455" s="6">
        <v>44287</v>
      </c>
      <c r="C1455" s="6">
        <v>44651</v>
      </c>
      <c r="D1455">
        <v>20210401</v>
      </c>
      <c r="E1455">
        <v>20220331</v>
      </c>
      <c r="F1455" t="s">
        <v>3696</v>
      </c>
      <c r="G1455" t="s">
        <v>3697</v>
      </c>
      <c r="H1455" t="s">
        <v>590</v>
      </c>
      <c r="I1455" t="s">
        <v>1462</v>
      </c>
      <c r="L1455">
        <v>8</v>
      </c>
      <c r="M1455">
        <v>2620</v>
      </c>
      <c r="N1455">
        <v>-8</v>
      </c>
      <c r="O1455">
        <v>-2620</v>
      </c>
      <c r="Z1455" s="3">
        <f t="shared" si="22"/>
        <v>327.5</v>
      </c>
    </row>
    <row r="1456" spans="1:26" hidden="1">
      <c r="A1456" t="s">
        <v>706</v>
      </c>
      <c r="B1456" s="6">
        <v>44287</v>
      </c>
      <c r="C1456" s="6">
        <v>44651</v>
      </c>
      <c r="D1456">
        <v>20210401</v>
      </c>
      <c r="E1456">
        <v>20220331</v>
      </c>
      <c r="F1456" t="s">
        <v>3698</v>
      </c>
      <c r="G1456" t="s">
        <v>3699</v>
      </c>
      <c r="H1456" t="s">
        <v>590</v>
      </c>
      <c r="I1456" t="s">
        <v>805</v>
      </c>
      <c r="K1456">
        <v>0.01</v>
      </c>
      <c r="L1456">
        <v>80</v>
      </c>
      <c r="M1456">
        <v>1120</v>
      </c>
      <c r="N1456">
        <v>-80</v>
      </c>
      <c r="O1456">
        <v>-1120</v>
      </c>
      <c r="Y1456">
        <v>0.01</v>
      </c>
      <c r="Z1456" s="3">
        <f t="shared" si="22"/>
        <v>14</v>
      </c>
    </row>
    <row r="1457" spans="1:26" hidden="1">
      <c r="A1457" t="s">
        <v>706</v>
      </c>
      <c r="B1457" s="6">
        <v>44287</v>
      </c>
      <c r="C1457" s="6">
        <v>44651</v>
      </c>
      <c r="D1457">
        <v>20210401</v>
      </c>
      <c r="E1457">
        <v>20220331</v>
      </c>
      <c r="F1457" t="s">
        <v>3700</v>
      </c>
      <c r="G1457" t="s">
        <v>3701</v>
      </c>
      <c r="H1457" t="s">
        <v>590</v>
      </c>
      <c r="I1457" t="s">
        <v>1462</v>
      </c>
      <c r="L1457">
        <v>10</v>
      </c>
      <c r="M1457">
        <v>315</v>
      </c>
      <c r="N1457">
        <v>-10</v>
      </c>
      <c r="O1457">
        <v>-315</v>
      </c>
      <c r="Z1457" s="3">
        <f t="shared" si="22"/>
        <v>31.5</v>
      </c>
    </row>
    <row r="1458" spans="1:26" hidden="1">
      <c r="A1458" t="s">
        <v>706</v>
      </c>
      <c r="B1458" s="6">
        <v>44287</v>
      </c>
      <c r="C1458" s="6">
        <v>44651</v>
      </c>
      <c r="D1458">
        <v>20210401</v>
      </c>
      <c r="E1458">
        <v>20220331</v>
      </c>
      <c r="F1458" t="s">
        <v>3702</v>
      </c>
      <c r="G1458" t="s">
        <v>3703</v>
      </c>
      <c r="H1458" t="s">
        <v>590</v>
      </c>
      <c r="I1458" t="s">
        <v>1462</v>
      </c>
      <c r="L1458">
        <v>11</v>
      </c>
      <c r="M1458">
        <v>395</v>
      </c>
      <c r="N1458">
        <v>-11</v>
      </c>
      <c r="O1458">
        <v>-395</v>
      </c>
      <c r="Z1458" s="3">
        <f t="shared" si="22"/>
        <v>35.909090909090907</v>
      </c>
    </row>
    <row r="1459" spans="1:26" hidden="1">
      <c r="A1459" t="s">
        <v>706</v>
      </c>
      <c r="B1459" s="6">
        <v>44287</v>
      </c>
      <c r="C1459" s="6">
        <v>44651</v>
      </c>
      <c r="D1459">
        <v>20210401</v>
      </c>
      <c r="E1459">
        <v>20220331</v>
      </c>
      <c r="F1459" t="s">
        <v>3704</v>
      </c>
      <c r="G1459" t="s">
        <v>3705</v>
      </c>
      <c r="H1459" t="s">
        <v>590</v>
      </c>
      <c r="I1459" t="s">
        <v>1462</v>
      </c>
      <c r="L1459">
        <v>27</v>
      </c>
      <c r="M1459">
        <v>880</v>
      </c>
      <c r="N1459">
        <v>-27</v>
      </c>
      <c r="O1459">
        <v>-879.99</v>
      </c>
      <c r="Y1459">
        <v>0.01</v>
      </c>
      <c r="Z1459" s="3">
        <f t="shared" si="22"/>
        <v>32.592222222222226</v>
      </c>
    </row>
    <row r="1460" spans="1:26" hidden="1">
      <c r="A1460" t="s">
        <v>706</v>
      </c>
      <c r="B1460" s="6">
        <v>44287</v>
      </c>
      <c r="C1460" s="6">
        <v>44651</v>
      </c>
      <c r="D1460">
        <v>20210401</v>
      </c>
      <c r="E1460">
        <v>20220331</v>
      </c>
      <c r="F1460" t="s">
        <v>3706</v>
      </c>
      <c r="G1460" t="s">
        <v>3707</v>
      </c>
      <c r="H1460" t="s">
        <v>590</v>
      </c>
      <c r="I1460" t="s">
        <v>1462</v>
      </c>
      <c r="L1460">
        <v>6</v>
      </c>
      <c r="M1460">
        <v>114</v>
      </c>
      <c r="N1460">
        <v>-6</v>
      </c>
      <c r="O1460">
        <v>-114</v>
      </c>
      <c r="Z1460" s="3">
        <f t="shared" si="22"/>
        <v>19</v>
      </c>
    </row>
    <row r="1461" spans="1:26" hidden="1">
      <c r="A1461" t="s">
        <v>706</v>
      </c>
      <c r="B1461" s="6">
        <v>44287</v>
      </c>
      <c r="C1461" s="6">
        <v>44651</v>
      </c>
      <c r="D1461">
        <v>20210401</v>
      </c>
      <c r="E1461">
        <v>20220331</v>
      </c>
      <c r="F1461" t="s">
        <v>3708</v>
      </c>
      <c r="G1461" t="s">
        <v>3709</v>
      </c>
      <c r="H1461" t="s">
        <v>590</v>
      </c>
      <c r="I1461" t="s">
        <v>1462</v>
      </c>
      <c r="L1461">
        <v>12</v>
      </c>
      <c r="M1461">
        <v>276</v>
      </c>
      <c r="N1461">
        <v>-12</v>
      </c>
      <c r="O1461">
        <v>-276</v>
      </c>
      <c r="Z1461" s="3">
        <f t="shared" si="22"/>
        <v>23</v>
      </c>
    </row>
    <row r="1462" spans="1:26" hidden="1">
      <c r="A1462" t="s">
        <v>706</v>
      </c>
      <c r="B1462" s="6">
        <v>44287</v>
      </c>
      <c r="C1462" s="6">
        <v>44651</v>
      </c>
      <c r="D1462">
        <v>20210401</v>
      </c>
      <c r="E1462">
        <v>20220331</v>
      </c>
      <c r="F1462" t="s">
        <v>3710</v>
      </c>
      <c r="G1462" t="s">
        <v>3711</v>
      </c>
      <c r="H1462" t="s">
        <v>590</v>
      </c>
      <c r="I1462" t="s">
        <v>805</v>
      </c>
      <c r="L1462">
        <v>15</v>
      </c>
      <c r="M1462">
        <v>475</v>
      </c>
      <c r="N1462">
        <v>-15</v>
      </c>
      <c r="O1462">
        <v>-475</v>
      </c>
      <c r="Z1462" s="3">
        <f t="shared" si="22"/>
        <v>31.666666666666668</v>
      </c>
    </row>
    <row r="1463" spans="1:26" hidden="1">
      <c r="A1463" t="s">
        <v>706</v>
      </c>
      <c r="B1463" s="6">
        <v>44287</v>
      </c>
      <c r="C1463" s="6">
        <v>44651</v>
      </c>
      <c r="D1463">
        <v>20210401</v>
      </c>
      <c r="E1463">
        <v>20220331</v>
      </c>
      <c r="F1463" t="s">
        <v>3712</v>
      </c>
      <c r="G1463" t="s">
        <v>3713</v>
      </c>
      <c r="H1463" t="s">
        <v>590</v>
      </c>
      <c r="I1463" t="s">
        <v>1462</v>
      </c>
      <c r="L1463">
        <v>13</v>
      </c>
      <c r="M1463">
        <v>325</v>
      </c>
      <c r="N1463">
        <v>-13</v>
      </c>
      <c r="O1463">
        <v>-325</v>
      </c>
      <c r="Z1463" s="3">
        <f t="shared" si="22"/>
        <v>25</v>
      </c>
    </row>
    <row r="1464" spans="1:26" hidden="1">
      <c r="A1464" t="s">
        <v>706</v>
      </c>
      <c r="B1464" s="6">
        <v>44287</v>
      </c>
      <c r="C1464" s="6">
        <v>44651</v>
      </c>
      <c r="D1464">
        <v>20210401</v>
      </c>
      <c r="E1464">
        <v>20220331</v>
      </c>
      <c r="F1464" t="s">
        <v>3714</v>
      </c>
      <c r="G1464" t="s">
        <v>3715</v>
      </c>
      <c r="H1464" t="s">
        <v>590</v>
      </c>
      <c r="I1464" t="s">
        <v>1462</v>
      </c>
      <c r="L1464">
        <v>5</v>
      </c>
      <c r="M1464">
        <v>135</v>
      </c>
      <c r="N1464">
        <v>-5</v>
      </c>
      <c r="O1464">
        <v>-135</v>
      </c>
      <c r="Z1464" s="3">
        <f t="shared" si="22"/>
        <v>27</v>
      </c>
    </row>
    <row r="1465" spans="1:26" hidden="1">
      <c r="A1465" t="s">
        <v>706</v>
      </c>
      <c r="B1465" s="6">
        <v>44287</v>
      </c>
      <c r="C1465" s="6">
        <v>44651</v>
      </c>
      <c r="D1465">
        <v>20210401</v>
      </c>
      <c r="E1465">
        <v>20220331</v>
      </c>
      <c r="F1465" t="s">
        <v>3716</v>
      </c>
      <c r="G1465" t="s">
        <v>3717</v>
      </c>
      <c r="H1465" t="s">
        <v>590</v>
      </c>
      <c r="I1465" t="s">
        <v>1462</v>
      </c>
      <c r="K1465">
        <v>0.01</v>
      </c>
      <c r="N1465">
        <v>-32</v>
      </c>
      <c r="O1465">
        <v>-1655.82</v>
      </c>
      <c r="P1465">
        <v>32</v>
      </c>
      <c r="Q1465">
        <v>1655.82</v>
      </c>
      <c r="Y1465">
        <v>0.01</v>
      </c>
      <c r="Z1465" s="3" t="e">
        <f t="shared" si="22"/>
        <v>#DIV/0!</v>
      </c>
    </row>
    <row r="1466" spans="1:26" hidden="1">
      <c r="A1466" t="s">
        <v>706</v>
      </c>
      <c r="B1466" s="6">
        <v>44287</v>
      </c>
      <c r="C1466" s="6">
        <v>44651</v>
      </c>
      <c r="D1466">
        <v>20210401</v>
      </c>
      <c r="E1466">
        <v>20220331</v>
      </c>
      <c r="F1466" t="s">
        <v>3718</v>
      </c>
      <c r="G1466" t="s">
        <v>3719</v>
      </c>
      <c r="H1466" t="s">
        <v>590</v>
      </c>
      <c r="I1466" t="s">
        <v>1462</v>
      </c>
      <c r="L1466">
        <v>5</v>
      </c>
      <c r="M1466">
        <v>120</v>
      </c>
      <c r="N1466">
        <v>-5</v>
      </c>
      <c r="O1466">
        <v>-120</v>
      </c>
      <c r="Z1466" s="3">
        <f t="shared" si="22"/>
        <v>24</v>
      </c>
    </row>
    <row r="1467" spans="1:26" hidden="1">
      <c r="A1467" t="s">
        <v>706</v>
      </c>
      <c r="B1467" s="6">
        <v>44287</v>
      </c>
      <c r="C1467" s="6">
        <v>44651</v>
      </c>
      <c r="D1467">
        <v>20210401</v>
      </c>
      <c r="E1467">
        <v>20220331</v>
      </c>
      <c r="F1467" t="s">
        <v>3720</v>
      </c>
      <c r="G1467" t="s">
        <v>3721</v>
      </c>
      <c r="H1467" t="s">
        <v>590</v>
      </c>
      <c r="I1467" t="s">
        <v>1462</v>
      </c>
      <c r="L1467">
        <v>10</v>
      </c>
      <c r="M1467">
        <v>430</v>
      </c>
      <c r="N1467">
        <v>-10</v>
      </c>
      <c r="O1467">
        <v>-430</v>
      </c>
      <c r="Z1467" s="3">
        <f t="shared" si="22"/>
        <v>43</v>
      </c>
    </row>
    <row r="1468" spans="1:26" hidden="1">
      <c r="A1468" t="s">
        <v>706</v>
      </c>
      <c r="B1468" s="6">
        <v>44287</v>
      </c>
      <c r="C1468" s="6">
        <v>44651</v>
      </c>
      <c r="D1468">
        <v>20210401</v>
      </c>
      <c r="E1468">
        <v>20220331</v>
      </c>
      <c r="F1468" t="s">
        <v>3722</v>
      </c>
      <c r="G1468" t="s">
        <v>3723</v>
      </c>
      <c r="H1468" t="s">
        <v>613</v>
      </c>
      <c r="I1468" t="s">
        <v>1462</v>
      </c>
      <c r="L1468">
        <v>42</v>
      </c>
      <c r="M1468">
        <v>6720</v>
      </c>
      <c r="N1468">
        <v>-42</v>
      </c>
      <c r="O1468">
        <v>-6720</v>
      </c>
      <c r="Z1468" s="3">
        <f t="shared" si="22"/>
        <v>160</v>
      </c>
    </row>
    <row r="1469" spans="1:26" hidden="1">
      <c r="A1469" t="s">
        <v>706</v>
      </c>
      <c r="B1469" s="6">
        <v>44287</v>
      </c>
      <c r="C1469" s="6">
        <v>44651</v>
      </c>
      <c r="D1469">
        <v>20210401</v>
      </c>
      <c r="E1469">
        <v>20220331</v>
      </c>
      <c r="F1469" t="s">
        <v>3724</v>
      </c>
      <c r="G1469" t="s">
        <v>3725</v>
      </c>
      <c r="H1469" t="s">
        <v>590</v>
      </c>
      <c r="I1469" t="s">
        <v>805</v>
      </c>
      <c r="J1469">
        <v>6</v>
      </c>
      <c r="K1469">
        <v>18141.79</v>
      </c>
      <c r="N1469">
        <v>-6</v>
      </c>
      <c r="O1469">
        <v>-18141.8</v>
      </c>
      <c r="Y1469">
        <v>-0.01</v>
      </c>
      <c r="Z1469" s="3">
        <f t="shared" si="22"/>
        <v>3023.6333333333332</v>
      </c>
    </row>
    <row r="1470" spans="1:26" hidden="1">
      <c r="A1470" t="s">
        <v>706</v>
      </c>
      <c r="B1470" s="6">
        <v>44287</v>
      </c>
      <c r="C1470" s="6">
        <v>44651</v>
      </c>
      <c r="D1470">
        <v>20210401</v>
      </c>
      <c r="E1470">
        <v>20220331</v>
      </c>
      <c r="F1470" t="s">
        <v>3726</v>
      </c>
      <c r="G1470" t="s">
        <v>3727</v>
      </c>
      <c r="H1470" t="s">
        <v>613</v>
      </c>
      <c r="I1470" t="s">
        <v>1462</v>
      </c>
      <c r="J1470">
        <v>89.8</v>
      </c>
      <c r="K1470">
        <v>2716.45</v>
      </c>
      <c r="N1470">
        <v>-89.8</v>
      </c>
      <c r="O1470">
        <v>-2716.45</v>
      </c>
      <c r="Z1470" s="3">
        <f t="shared" si="22"/>
        <v>30.25</v>
      </c>
    </row>
    <row r="1471" spans="1:26" hidden="1">
      <c r="A1471" t="s">
        <v>706</v>
      </c>
      <c r="B1471" s="6">
        <v>44287</v>
      </c>
      <c r="C1471" s="6">
        <v>44651</v>
      </c>
      <c r="D1471">
        <v>20210401</v>
      </c>
      <c r="E1471">
        <v>20220331</v>
      </c>
      <c r="F1471" t="s">
        <v>3728</v>
      </c>
      <c r="G1471" t="s">
        <v>3729</v>
      </c>
      <c r="H1471" t="s">
        <v>590</v>
      </c>
      <c r="I1471" t="s">
        <v>1462</v>
      </c>
      <c r="L1471">
        <v>2</v>
      </c>
      <c r="M1471">
        <v>480</v>
      </c>
      <c r="N1471">
        <v>-2</v>
      </c>
      <c r="O1471">
        <v>-480</v>
      </c>
      <c r="Z1471" s="3">
        <f t="shared" si="22"/>
        <v>240</v>
      </c>
    </row>
    <row r="1472" spans="1:26" hidden="1">
      <c r="A1472" t="s">
        <v>706</v>
      </c>
      <c r="B1472" s="6">
        <v>44287</v>
      </c>
      <c r="C1472" s="6">
        <v>44651</v>
      </c>
      <c r="D1472">
        <v>20210401</v>
      </c>
      <c r="E1472">
        <v>20220331</v>
      </c>
      <c r="F1472" t="s">
        <v>3730</v>
      </c>
      <c r="G1472" t="s">
        <v>3731</v>
      </c>
      <c r="H1472" t="s">
        <v>590</v>
      </c>
      <c r="I1472" t="s">
        <v>1462</v>
      </c>
      <c r="K1472">
        <v>29.34</v>
      </c>
      <c r="L1472">
        <v>133</v>
      </c>
      <c r="M1472">
        <v>4105</v>
      </c>
      <c r="N1472">
        <v>-142</v>
      </c>
      <c r="O1472">
        <v>-4375</v>
      </c>
      <c r="P1472">
        <v>9</v>
      </c>
      <c r="Q1472">
        <v>270</v>
      </c>
      <c r="Y1472">
        <v>29.34</v>
      </c>
      <c r="Z1472" s="3">
        <f t="shared" si="22"/>
        <v>30.86466165413534</v>
      </c>
    </row>
    <row r="1473" spans="1:26" hidden="1">
      <c r="A1473" t="s">
        <v>706</v>
      </c>
      <c r="B1473" s="6">
        <v>44287</v>
      </c>
      <c r="C1473" s="6">
        <v>44651</v>
      </c>
      <c r="D1473">
        <v>20210401</v>
      </c>
      <c r="E1473">
        <v>20220331</v>
      </c>
      <c r="F1473" t="s">
        <v>3732</v>
      </c>
      <c r="G1473" t="s">
        <v>3733</v>
      </c>
      <c r="H1473" t="s">
        <v>590</v>
      </c>
      <c r="I1473" t="s">
        <v>805</v>
      </c>
      <c r="L1473">
        <v>240</v>
      </c>
      <c r="M1473">
        <v>22272</v>
      </c>
      <c r="N1473">
        <v>-240</v>
      </c>
      <c r="O1473">
        <v>-22272</v>
      </c>
      <c r="Z1473" s="3">
        <f t="shared" si="22"/>
        <v>92.8</v>
      </c>
    </row>
    <row r="1474" spans="1:26" hidden="1">
      <c r="A1474" t="s">
        <v>706</v>
      </c>
      <c r="B1474" s="6">
        <v>44287</v>
      </c>
      <c r="C1474" s="6">
        <v>44651</v>
      </c>
      <c r="D1474">
        <v>20210401</v>
      </c>
      <c r="E1474">
        <v>20220331</v>
      </c>
      <c r="F1474" t="s">
        <v>3734</v>
      </c>
      <c r="G1474" t="s">
        <v>3735</v>
      </c>
      <c r="H1474" t="s">
        <v>1267</v>
      </c>
      <c r="I1474" t="s">
        <v>1462</v>
      </c>
      <c r="L1474">
        <v>7</v>
      </c>
      <c r="M1474">
        <v>1300</v>
      </c>
      <c r="N1474">
        <v>-9</v>
      </c>
      <c r="O1474">
        <v>-1720</v>
      </c>
      <c r="P1474">
        <v>2</v>
      </c>
      <c r="Q1474">
        <v>420</v>
      </c>
      <c r="Z1474" s="3">
        <f t="shared" si="22"/>
        <v>185.71428571428572</v>
      </c>
    </row>
    <row r="1475" spans="1:26" hidden="1">
      <c r="A1475" t="s">
        <v>706</v>
      </c>
      <c r="B1475" s="6">
        <v>44287</v>
      </c>
      <c r="C1475" s="6">
        <v>44651</v>
      </c>
      <c r="D1475">
        <v>20210401</v>
      </c>
      <c r="E1475">
        <v>20220331</v>
      </c>
      <c r="F1475" t="s">
        <v>3736</v>
      </c>
      <c r="G1475" t="s">
        <v>3737</v>
      </c>
      <c r="H1475" t="s">
        <v>613</v>
      </c>
      <c r="I1475" t="s">
        <v>1462</v>
      </c>
      <c r="L1475">
        <v>26</v>
      </c>
      <c r="M1475">
        <v>4010</v>
      </c>
      <c r="N1475">
        <v>-31</v>
      </c>
      <c r="O1475">
        <v>-4760</v>
      </c>
      <c r="P1475">
        <v>5</v>
      </c>
      <c r="Q1475">
        <v>750</v>
      </c>
      <c r="Z1475" s="3">
        <f t="shared" ref="Z1475:Z1538" si="23">IFERROR((O1475+Q1475)/(N1475+P1475),Y1475/X1475)</f>
        <v>154.23076923076923</v>
      </c>
    </row>
    <row r="1476" spans="1:26" hidden="1">
      <c r="A1476" t="s">
        <v>706</v>
      </c>
      <c r="B1476" s="6">
        <v>44287</v>
      </c>
      <c r="C1476" s="6">
        <v>44651</v>
      </c>
      <c r="D1476">
        <v>20210401</v>
      </c>
      <c r="E1476">
        <v>20220331</v>
      </c>
      <c r="F1476" t="s">
        <v>3738</v>
      </c>
      <c r="G1476" t="s">
        <v>3739</v>
      </c>
      <c r="H1476" t="s">
        <v>613</v>
      </c>
      <c r="I1476" t="s">
        <v>1462</v>
      </c>
      <c r="N1476">
        <v>-50</v>
      </c>
      <c r="O1476">
        <v>-4200</v>
      </c>
      <c r="P1476">
        <v>50</v>
      </c>
      <c r="Q1476">
        <v>4200</v>
      </c>
      <c r="Z1476" s="3" t="e">
        <f t="shared" si="23"/>
        <v>#DIV/0!</v>
      </c>
    </row>
    <row r="1477" spans="1:26" hidden="1">
      <c r="A1477" t="s">
        <v>706</v>
      </c>
      <c r="B1477" s="6">
        <v>44287</v>
      </c>
      <c r="C1477" s="6">
        <v>44651</v>
      </c>
      <c r="D1477">
        <v>20210401</v>
      </c>
      <c r="E1477">
        <v>20220331</v>
      </c>
      <c r="F1477" t="s">
        <v>3740</v>
      </c>
      <c r="G1477" t="s">
        <v>3741</v>
      </c>
      <c r="H1477" t="s">
        <v>590</v>
      </c>
      <c r="I1477" t="s">
        <v>1462</v>
      </c>
      <c r="L1477">
        <v>3</v>
      </c>
      <c r="M1477">
        <v>660</v>
      </c>
      <c r="N1477">
        <v>-4</v>
      </c>
      <c r="O1477">
        <v>-880</v>
      </c>
      <c r="P1477">
        <v>1</v>
      </c>
      <c r="Q1477">
        <v>220</v>
      </c>
      <c r="Z1477" s="3">
        <f t="shared" si="23"/>
        <v>220</v>
      </c>
    </row>
    <row r="1478" spans="1:26" hidden="1">
      <c r="A1478" t="s">
        <v>706</v>
      </c>
      <c r="B1478" s="6">
        <v>44287</v>
      </c>
      <c r="C1478" s="6">
        <v>44651</v>
      </c>
      <c r="D1478">
        <v>20210401</v>
      </c>
      <c r="E1478">
        <v>20220331</v>
      </c>
      <c r="F1478" t="s">
        <v>3742</v>
      </c>
      <c r="G1478" t="s">
        <v>3743</v>
      </c>
      <c r="H1478" t="s">
        <v>613</v>
      </c>
      <c r="I1478" t="s">
        <v>1462</v>
      </c>
      <c r="J1478">
        <v>1</v>
      </c>
      <c r="K1478">
        <v>9500</v>
      </c>
      <c r="N1478">
        <v>-1</v>
      </c>
      <c r="O1478">
        <v>-9500</v>
      </c>
      <c r="Z1478" s="3">
        <f t="shared" si="23"/>
        <v>9500</v>
      </c>
    </row>
    <row r="1479" spans="1:26" hidden="1">
      <c r="A1479" t="s">
        <v>706</v>
      </c>
      <c r="B1479" s="6">
        <v>44287</v>
      </c>
      <c r="C1479" s="6">
        <v>44651</v>
      </c>
      <c r="D1479">
        <v>20210401</v>
      </c>
      <c r="E1479">
        <v>20220331</v>
      </c>
      <c r="F1479" t="s">
        <v>3744</v>
      </c>
      <c r="G1479" t="s">
        <v>3745</v>
      </c>
      <c r="H1479" t="s">
        <v>590</v>
      </c>
      <c r="I1479" t="s">
        <v>1462</v>
      </c>
      <c r="K1479">
        <v>0.01</v>
      </c>
      <c r="Y1479">
        <v>0.01</v>
      </c>
      <c r="Z1479" s="3" t="e">
        <f t="shared" si="23"/>
        <v>#DIV/0!</v>
      </c>
    </row>
    <row r="1480" spans="1:26" hidden="1">
      <c r="A1480" t="s">
        <v>706</v>
      </c>
      <c r="B1480" s="6">
        <v>44287</v>
      </c>
      <c r="C1480" s="6">
        <v>44651</v>
      </c>
      <c r="D1480">
        <v>20210401</v>
      </c>
      <c r="E1480">
        <v>20220331</v>
      </c>
      <c r="F1480" t="s">
        <v>3746</v>
      </c>
      <c r="G1480" t="s">
        <v>3747</v>
      </c>
      <c r="H1480" t="s">
        <v>2073</v>
      </c>
      <c r="I1480" t="s">
        <v>1462</v>
      </c>
      <c r="L1480">
        <v>10</v>
      </c>
      <c r="M1480">
        <v>1750</v>
      </c>
      <c r="N1480">
        <v>-10</v>
      </c>
      <c r="O1480">
        <v>-1750</v>
      </c>
      <c r="Z1480" s="3">
        <f t="shared" si="23"/>
        <v>175</v>
      </c>
    </row>
    <row r="1481" spans="1:26" hidden="1">
      <c r="A1481" t="s">
        <v>706</v>
      </c>
      <c r="B1481" s="6">
        <v>44287</v>
      </c>
      <c r="C1481" s="6">
        <v>44651</v>
      </c>
      <c r="D1481">
        <v>20210401</v>
      </c>
      <c r="E1481">
        <v>20220331</v>
      </c>
      <c r="F1481" t="s">
        <v>3748</v>
      </c>
      <c r="G1481" t="s">
        <v>3749</v>
      </c>
      <c r="H1481" t="s">
        <v>2073</v>
      </c>
      <c r="I1481" t="s">
        <v>1462</v>
      </c>
      <c r="L1481">
        <v>90</v>
      </c>
      <c r="M1481">
        <v>2250</v>
      </c>
      <c r="N1481">
        <v>-90</v>
      </c>
      <c r="O1481">
        <v>-2250</v>
      </c>
      <c r="Z1481" s="3">
        <f t="shared" si="23"/>
        <v>25</v>
      </c>
    </row>
    <row r="1482" spans="1:26" hidden="1">
      <c r="A1482" t="s">
        <v>706</v>
      </c>
      <c r="B1482" s="6">
        <v>44287</v>
      </c>
      <c r="C1482" s="6">
        <v>44651</v>
      </c>
      <c r="D1482">
        <v>20210401</v>
      </c>
      <c r="E1482">
        <v>20220331</v>
      </c>
      <c r="F1482" t="s">
        <v>3750</v>
      </c>
      <c r="G1482" t="s">
        <v>3751</v>
      </c>
      <c r="H1482" t="s">
        <v>2073</v>
      </c>
      <c r="I1482" t="s">
        <v>1462</v>
      </c>
      <c r="L1482">
        <v>30</v>
      </c>
      <c r="M1482">
        <v>1230</v>
      </c>
      <c r="N1482">
        <v>-30</v>
      </c>
      <c r="O1482">
        <v>-1230</v>
      </c>
      <c r="Z1482" s="3">
        <f t="shared" si="23"/>
        <v>41</v>
      </c>
    </row>
    <row r="1483" spans="1:26" hidden="1">
      <c r="A1483" t="s">
        <v>706</v>
      </c>
      <c r="B1483" s="6">
        <v>44287</v>
      </c>
      <c r="C1483" s="6">
        <v>44651</v>
      </c>
      <c r="D1483">
        <v>20210401</v>
      </c>
      <c r="E1483">
        <v>20220331</v>
      </c>
      <c r="F1483" t="s">
        <v>3752</v>
      </c>
      <c r="G1483" t="s">
        <v>3753</v>
      </c>
      <c r="H1483" t="s">
        <v>590</v>
      </c>
      <c r="I1483" t="s">
        <v>1462</v>
      </c>
      <c r="L1483">
        <v>260</v>
      </c>
      <c r="M1483">
        <v>4380</v>
      </c>
      <c r="N1483">
        <v>-260</v>
      </c>
      <c r="O1483">
        <v>-4380.01</v>
      </c>
      <c r="Y1483">
        <v>-0.01</v>
      </c>
      <c r="Z1483" s="3">
        <f t="shared" si="23"/>
        <v>16.846192307692309</v>
      </c>
    </row>
    <row r="1484" spans="1:26" hidden="1">
      <c r="A1484" t="s">
        <v>706</v>
      </c>
      <c r="B1484" s="6">
        <v>44287</v>
      </c>
      <c r="C1484" s="6">
        <v>44651</v>
      </c>
      <c r="D1484">
        <v>20210401</v>
      </c>
      <c r="E1484">
        <v>20220331</v>
      </c>
      <c r="F1484" t="s">
        <v>3754</v>
      </c>
      <c r="G1484" t="s">
        <v>3755</v>
      </c>
      <c r="H1484" t="s">
        <v>2073</v>
      </c>
      <c r="I1484" t="s">
        <v>1462</v>
      </c>
      <c r="L1484">
        <v>6</v>
      </c>
      <c r="M1484">
        <v>2100</v>
      </c>
      <c r="N1484">
        <v>-6</v>
      </c>
      <c r="O1484">
        <v>-2100</v>
      </c>
      <c r="Z1484" s="3">
        <f t="shared" si="23"/>
        <v>350</v>
      </c>
    </row>
    <row r="1485" spans="1:26" hidden="1">
      <c r="A1485" t="s">
        <v>706</v>
      </c>
      <c r="B1485" s="6">
        <v>44287</v>
      </c>
      <c r="C1485" s="6">
        <v>44651</v>
      </c>
      <c r="D1485">
        <v>20210401</v>
      </c>
      <c r="E1485">
        <v>20220331</v>
      </c>
      <c r="F1485" t="s">
        <v>3756</v>
      </c>
      <c r="G1485" t="s">
        <v>3757</v>
      </c>
      <c r="H1485" t="s">
        <v>2073</v>
      </c>
      <c r="I1485" t="s">
        <v>1462</v>
      </c>
      <c r="L1485">
        <v>10</v>
      </c>
      <c r="M1485">
        <v>750</v>
      </c>
      <c r="N1485">
        <v>-10</v>
      </c>
      <c r="O1485">
        <v>-750</v>
      </c>
      <c r="Z1485" s="3">
        <f t="shared" si="23"/>
        <v>75</v>
      </c>
    </row>
    <row r="1486" spans="1:26" hidden="1">
      <c r="A1486" t="s">
        <v>706</v>
      </c>
      <c r="B1486" s="6">
        <v>44287</v>
      </c>
      <c r="C1486" s="6">
        <v>44651</v>
      </c>
      <c r="D1486">
        <v>20210401</v>
      </c>
      <c r="E1486">
        <v>20220331</v>
      </c>
      <c r="F1486" t="s">
        <v>3758</v>
      </c>
      <c r="G1486" t="s">
        <v>3759</v>
      </c>
      <c r="H1486" t="s">
        <v>2073</v>
      </c>
      <c r="I1486" t="s">
        <v>1462</v>
      </c>
      <c r="L1486">
        <v>20</v>
      </c>
      <c r="M1486">
        <v>1100</v>
      </c>
      <c r="N1486">
        <v>-20</v>
      </c>
      <c r="O1486">
        <v>-1100</v>
      </c>
      <c r="Z1486" s="3">
        <f t="shared" si="23"/>
        <v>55</v>
      </c>
    </row>
    <row r="1487" spans="1:26" hidden="1">
      <c r="A1487" t="s">
        <v>706</v>
      </c>
      <c r="B1487" s="6">
        <v>44287</v>
      </c>
      <c r="C1487" s="6">
        <v>44651</v>
      </c>
      <c r="D1487">
        <v>20210401</v>
      </c>
      <c r="E1487">
        <v>20220331</v>
      </c>
      <c r="F1487" t="s">
        <v>3760</v>
      </c>
      <c r="G1487" t="s">
        <v>3761</v>
      </c>
      <c r="H1487" t="s">
        <v>2073</v>
      </c>
      <c r="I1487" t="s">
        <v>1462</v>
      </c>
      <c r="L1487">
        <v>10</v>
      </c>
      <c r="M1487">
        <v>550</v>
      </c>
      <c r="N1487">
        <v>-10</v>
      </c>
      <c r="O1487">
        <v>-550</v>
      </c>
      <c r="Z1487" s="3">
        <f t="shared" si="23"/>
        <v>55</v>
      </c>
    </row>
    <row r="1488" spans="1:26" hidden="1">
      <c r="A1488" t="s">
        <v>706</v>
      </c>
      <c r="B1488" s="6">
        <v>44287</v>
      </c>
      <c r="C1488" s="6">
        <v>44651</v>
      </c>
      <c r="D1488">
        <v>20210401</v>
      </c>
      <c r="E1488">
        <v>20220331</v>
      </c>
      <c r="F1488" t="s">
        <v>3762</v>
      </c>
      <c r="G1488" t="s">
        <v>3763</v>
      </c>
      <c r="H1488" t="s">
        <v>2073</v>
      </c>
      <c r="I1488" t="s">
        <v>1462</v>
      </c>
      <c r="L1488">
        <v>10</v>
      </c>
      <c r="M1488">
        <v>850</v>
      </c>
      <c r="N1488">
        <v>-10</v>
      </c>
      <c r="O1488">
        <v>-850</v>
      </c>
      <c r="Z1488" s="3">
        <f t="shared" si="23"/>
        <v>85</v>
      </c>
    </row>
    <row r="1489" spans="1:26" hidden="1">
      <c r="A1489" t="s">
        <v>706</v>
      </c>
      <c r="B1489" s="6">
        <v>44287</v>
      </c>
      <c r="C1489" s="6">
        <v>44651</v>
      </c>
      <c r="D1489">
        <v>20210401</v>
      </c>
      <c r="E1489">
        <v>20220331</v>
      </c>
      <c r="F1489" t="s">
        <v>3764</v>
      </c>
      <c r="G1489" t="s">
        <v>3765</v>
      </c>
      <c r="H1489" t="s">
        <v>2073</v>
      </c>
      <c r="I1489" t="s">
        <v>1462</v>
      </c>
      <c r="L1489">
        <v>10</v>
      </c>
      <c r="M1489">
        <v>1250</v>
      </c>
      <c r="N1489">
        <v>-10</v>
      </c>
      <c r="O1489">
        <v>-1250</v>
      </c>
      <c r="Z1489" s="3">
        <f t="shared" si="23"/>
        <v>125</v>
      </c>
    </row>
    <row r="1490" spans="1:26" hidden="1">
      <c r="A1490" t="s">
        <v>706</v>
      </c>
      <c r="B1490" s="6">
        <v>44287</v>
      </c>
      <c r="C1490" s="6">
        <v>44651</v>
      </c>
      <c r="D1490">
        <v>20210401</v>
      </c>
      <c r="E1490">
        <v>20220331</v>
      </c>
      <c r="F1490" t="s">
        <v>3766</v>
      </c>
      <c r="G1490" t="s">
        <v>3767</v>
      </c>
      <c r="H1490" t="s">
        <v>2073</v>
      </c>
      <c r="I1490" t="s">
        <v>1462</v>
      </c>
      <c r="L1490">
        <v>10</v>
      </c>
      <c r="M1490">
        <v>3150</v>
      </c>
      <c r="N1490">
        <v>-10</v>
      </c>
      <c r="O1490">
        <v>-3150</v>
      </c>
      <c r="Z1490" s="3">
        <f t="shared" si="23"/>
        <v>315</v>
      </c>
    </row>
    <row r="1491" spans="1:26" hidden="1">
      <c r="A1491" t="s">
        <v>706</v>
      </c>
      <c r="B1491" s="6">
        <v>44287</v>
      </c>
      <c r="C1491" s="6">
        <v>44651</v>
      </c>
      <c r="D1491">
        <v>20210401</v>
      </c>
      <c r="E1491">
        <v>20220331</v>
      </c>
      <c r="F1491" t="s">
        <v>3768</v>
      </c>
      <c r="G1491" t="s">
        <v>3769</v>
      </c>
      <c r="H1491" t="s">
        <v>2073</v>
      </c>
      <c r="I1491" t="s">
        <v>1462</v>
      </c>
      <c r="L1491">
        <v>5</v>
      </c>
      <c r="M1491">
        <v>1800</v>
      </c>
      <c r="N1491">
        <v>-5</v>
      </c>
      <c r="O1491">
        <v>-1800</v>
      </c>
      <c r="Z1491" s="3">
        <f t="shared" si="23"/>
        <v>360</v>
      </c>
    </row>
    <row r="1492" spans="1:26" hidden="1">
      <c r="A1492" t="s">
        <v>706</v>
      </c>
      <c r="B1492" s="6">
        <v>44287</v>
      </c>
      <c r="C1492" s="6">
        <v>44651</v>
      </c>
      <c r="D1492">
        <v>20210401</v>
      </c>
      <c r="E1492">
        <v>20220331</v>
      </c>
      <c r="F1492" t="s">
        <v>3770</v>
      </c>
      <c r="G1492" t="s">
        <v>3771</v>
      </c>
      <c r="H1492" t="s">
        <v>2073</v>
      </c>
      <c r="I1492" t="s">
        <v>1462</v>
      </c>
      <c r="L1492">
        <v>10</v>
      </c>
      <c r="M1492">
        <v>2500</v>
      </c>
      <c r="N1492">
        <v>-10</v>
      </c>
      <c r="O1492">
        <v>-2500</v>
      </c>
      <c r="Z1492" s="3">
        <f t="shared" si="23"/>
        <v>250</v>
      </c>
    </row>
    <row r="1493" spans="1:26" hidden="1">
      <c r="A1493" t="s">
        <v>706</v>
      </c>
      <c r="B1493" s="6">
        <v>44287</v>
      </c>
      <c r="C1493" s="6">
        <v>44651</v>
      </c>
      <c r="D1493">
        <v>20210401</v>
      </c>
      <c r="E1493">
        <v>20220331</v>
      </c>
      <c r="F1493" t="s">
        <v>3772</v>
      </c>
      <c r="G1493" t="s">
        <v>3773</v>
      </c>
      <c r="H1493" t="s">
        <v>2073</v>
      </c>
      <c r="I1493" t="s">
        <v>1462</v>
      </c>
      <c r="L1493">
        <v>20</v>
      </c>
      <c r="M1493">
        <v>3500</v>
      </c>
      <c r="N1493">
        <v>-20</v>
      </c>
      <c r="O1493">
        <v>-3500</v>
      </c>
      <c r="Z1493" s="3">
        <f t="shared" si="23"/>
        <v>175</v>
      </c>
    </row>
    <row r="1494" spans="1:26" hidden="1">
      <c r="A1494" t="s">
        <v>706</v>
      </c>
      <c r="B1494" s="6">
        <v>44287</v>
      </c>
      <c r="C1494" s="6">
        <v>44651</v>
      </c>
      <c r="D1494">
        <v>20210401</v>
      </c>
      <c r="E1494">
        <v>20220331</v>
      </c>
      <c r="F1494" t="s">
        <v>3774</v>
      </c>
      <c r="G1494" t="s">
        <v>3775</v>
      </c>
      <c r="H1494" t="s">
        <v>590</v>
      </c>
      <c r="I1494" t="s">
        <v>1462</v>
      </c>
      <c r="L1494">
        <v>10</v>
      </c>
      <c r="M1494">
        <v>1050</v>
      </c>
      <c r="N1494">
        <v>-10</v>
      </c>
      <c r="O1494">
        <v>-1050</v>
      </c>
      <c r="Z1494" s="3">
        <f t="shared" si="23"/>
        <v>105</v>
      </c>
    </row>
    <row r="1495" spans="1:26" hidden="1">
      <c r="A1495" t="s">
        <v>706</v>
      </c>
      <c r="B1495" s="6">
        <v>44287</v>
      </c>
      <c r="C1495" s="6">
        <v>44651</v>
      </c>
      <c r="D1495">
        <v>20210401</v>
      </c>
      <c r="E1495">
        <v>20220331</v>
      </c>
      <c r="F1495" t="s">
        <v>3776</v>
      </c>
      <c r="G1495" t="s">
        <v>3777</v>
      </c>
      <c r="H1495" t="s">
        <v>590</v>
      </c>
      <c r="I1495" t="s">
        <v>1462</v>
      </c>
      <c r="L1495">
        <v>50</v>
      </c>
      <c r="M1495">
        <v>21896.26</v>
      </c>
      <c r="N1495">
        <v>-50</v>
      </c>
      <c r="O1495">
        <v>-21896.26</v>
      </c>
      <c r="Z1495" s="3">
        <f t="shared" si="23"/>
        <v>437.92519999999996</v>
      </c>
    </row>
    <row r="1496" spans="1:26" hidden="1">
      <c r="A1496" t="s">
        <v>706</v>
      </c>
      <c r="B1496" s="6">
        <v>44287</v>
      </c>
      <c r="C1496" s="6">
        <v>44651</v>
      </c>
      <c r="D1496">
        <v>20210401</v>
      </c>
      <c r="E1496">
        <v>20220331</v>
      </c>
      <c r="F1496" t="s">
        <v>3778</v>
      </c>
      <c r="G1496" t="s">
        <v>3779</v>
      </c>
      <c r="H1496" t="s">
        <v>2073</v>
      </c>
      <c r="I1496" t="s">
        <v>1462</v>
      </c>
      <c r="L1496">
        <v>253</v>
      </c>
      <c r="M1496">
        <v>28965</v>
      </c>
      <c r="N1496">
        <v>-263</v>
      </c>
      <c r="O1496">
        <v>-30015</v>
      </c>
      <c r="P1496">
        <v>10</v>
      </c>
      <c r="Q1496">
        <v>1050</v>
      </c>
      <c r="Z1496" s="3">
        <f t="shared" si="23"/>
        <v>114.48616600790514</v>
      </c>
    </row>
    <row r="1497" spans="1:26" hidden="1">
      <c r="A1497" t="s">
        <v>706</v>
      </c>
      <c r="B1497" s="6">
        <v>44287</v>
      </c>
      <c r="C1497" s="6">
        <v>44651</v>
      </c>
      <c r="D1497">
        <v>20210401</v>
      </c>
      <c r="E1497">
        <v>20220331</v>
      </c>
      <c r="F1497" t="s">
        <v>3780</v>
      </c>
      <c r="G1497" t="s">
        <v>3781</v>
      </c>
      <c r="H1497" t="s">
        <v>2834</v>
      </c>
      <c r="I1497" t="s">
        <v>1462</v>
      </c>
      <c r="L1497">
        <v>61</v>
      </c>
      <c r="M1497">
        <v>10830</v>
      </c>
      <c r="N1497">
        <v>-61</v>
      </c>
      <c r="O1497">
        <v>-10830</v>
      </c>
      <c r="Z1497" s="3">
        <f t="shared" si="23"/>
        <v>177.54098360655738</v>
      </c>
    </row>
    <row r="1498" spans="1:26" hidden="1">
      <c r="A1498" t="s">
        <v>706</v>
      </c>
      <c r="B1498" s="6">
        <v>44287</v>
      </c>
      <c r="C1498" s="6">
        <v>44651</v>
      </c>
      <c r="D1498">
        <v>20210401</v>
      </c>
      <c r="E1498">
        <v>20220331</v>
      </c>
      <c r="F1498" t="s">
        <v>3782</v>
      </c>
      <c r="G1498" t="s">
        <v>3783</v>
      </c>
      <c r="I1498" t="s">
        <v>1462</v>
      </c>
      <c r="L1498">
        <v>20</v>
      </c>
      <c r="M1498">
        <v>387</v>
      </c>
      <c r="N1498">
        <v>-20</v>
      </c>
      <c r="O1498">
        <v>-387</v>
      </c>
      <c r="Z1498" s="3">
        <f t="shared" si="23"/>
        <v>19.350000000000001</v>
      </c>
    </row>
    <row r="1499" spans="1:26" hidden="1">
      <c r="A1499" t="s">
        <v>706</v>
      </c>
      <c r="B1499" s="6">
        <v>44287</v>
      </c>
      <c r="C1499" s="6">
        <v>44651</v>
      </c>
      <c r="D1499">
        <v>20210401</v>
      </c>
      <c r="E1499">
        <v>20220331</v>
      </c>
      <c r="F1499" t="s">
        <v>3784</v>
      </c>
      <c r="G1499" t="s">
        <v>3785</v>
      </c>
      <c r="H1499" t="s">
        <v>590</v>
      </c>
      <c r="I1499" t="s">
        <v>1462</v>
      </c>
      <c r="L1499">
        <v>90</v>
      </c>
      <c r="M1499">
        <v>1830</v>
      </c>
      <c r="N1499">
        <v>-90</v>
      </c>
      <c r="O1499">
        <v>-1830</v>
      </c>
      <c r="Z1499" s="3">
        <f t="shared" si="23"/>
        <v>20.333333333333332</v>
      </c>
    </row>
    <row r="1500" spans="1:26" hidden="1">
      <c r="A1500" t="s">
        <v>706</v>
      </c>
      <c r="B1500" s="6">
        <v>44287</v>
      </c>
      <c r="C1500" s="6">
        <v>44651</v>
      </c>
      <c r="D1500">
        <v>20210401</v>
      </c>
      <c r="E1500">
        <v>20220331</v>
      </c>
      <c r="F1500" t="s">
        <v>3786</v>
      </c>
      <c r="G1500" t="s">
        <v>3787</v>
      </c>
      <c r="H1500" t="s">
        <v>590</v>
      </c>
      <c r="I1500" t="s">
        <v>1462</v>
      </c>
      <c r="K1500">
        <v>0.01</v>
      </c>
      <c r="N1500">
        <v>-12</v>
      </c>
      <c r="O1500">
        <v>-492</v>
      </c>
      <c r="P1500">
        <v>12</v>
      </c>
      <c r="Q1500">
        <v>492</v>
      </c>
      <c r="Y1500">
        <v>0.01</v>
      </c>
      <c r="Z1500" s="3" t="e">
        <f t="shared" si="23"/>
        <v>#DIV/0!</v>
      </c>
    </row>
    <row r="1501" spans="1:26" hidden="1">
      <c r="A1501" t="s">
        <v>706</v>
      </c>
      <c r="B1501" s="6">
        <v>44287</v>
      </c>
      <c r="C1501" s="6">
        <v>44651</v>
      </c>
      <c r="D1501">
        <v>20210401</v>
      </c>
      <c r="E1501">
        <v>20220331</v>
      </c>
      <c r="F1501" t="s">
        <v>3788</v>
      </c>
      <c r="G1501" t="s">
        <v>3789</v>
      </c>
      <c r="H1501" t="s">
        <v>590</v>
      </c>
      <c r="I1501" t="s">
        <v>1462</v>
      </c>
      <c r="K1501">
        <v>0.31</v>
      </c>
      <c r="L1501">
        <v>315</v>
      </c>
      <c r="M1501">
        <v>13090</v>
      </c>
      <c r="N1501">
        <v>-315</v>
      </c>
      <c r="O1501">
        <v>-12970</v>
      </c>
      <c r="P1501">
        <v>20</v>
      </c>
      <c r="Q1501">
        <v>720</v>
      </c>
      <c r="X1501">
        <v>20</v>
      </c>
      <c r="Y1501">
        <v>840.31</v>
      </c>
      <c r="Z1501" s="3">
        <f t="shared" si="23"/>
        <v>41.525423728813557</v>
      </c>
    </row>
    <row r="1502" spans="1:26" hidden="1">
      <c r="A1502" t="s">
        <v>706</v>
      </c>
      <c r="B1502" s="6">
        <v>44287</v>
      </c>
      <c r="C1502" s="6">
        <v>44651</v>
      </c>
      <c r="D1502">
        <v>20210401</v>
      </c>
      <c r="E1502">
        <v>20220331</v>
      </c>
      <c r="F1502" t="s">
        <v>3790</v>
      </c>
      <c r="G1502" t="s">
        <v>3791</v>
      </c>
      <c r="H1502" t="s">
        <v>590</v>
      </c>
      <c r="I1502" t="s">
        <v>1462</v>
      </c>
      <c r="L1502">
        <v>80</v>
      </c>
      <c r="M1502">
        <v>3520</v>
      </c>
      <c r="N1502">
        <v>-90</v>
      </c>
      <c r="O1502">
        <v>-3900</v>
      </c>
      <c r="P1502">
        <v>10</v>
      </c>
      <c r="Q1502">
        <v>380</v>
      </c>
      <c r="Z1502" s="3">
        <f t="shared" si="23"/>
        <v>44</v>
      </c>
    </row>
    <row r="1503" spans="1:26" hidden="1">
      <c r="A1503" t="s">
        <v>706</v>
      </c>
      <c r="B1503" s="6">
        <v>44287</v>
      </c>
      <c r="C1503" s="6">
        <v>44651</v>
      </c>
      <c r="D1503">
        <v>20210401</v>
      </c>
      <c r="E1503">
        <v>20220331</v>
      </c>
      <c r="F1503" t="s">
        <v>3792</v>
      </c>
      <c r="G1503" t="s">
        <v>3793</v>
      </c>
      <c r="H1503" t="s">
        <v>590</v>
      </c>
      <c r="I1503" t="s">
        <v>1462</v>
      </c>
      <c r="L1503">
        <v>130</v>
      </c>
      <c r="M1503">
        <v>6150</v>
      </c>
      <c r="N1503">
        <v>-145</v>
      </c>
      <c r="O1503">
        <v>-6795</v>
      </c>
      <c r="P1503">
        <v>15</v>
      </c>
      <c r="Q1503">
        <v>645</v>
      </c>
      <c r="Z1503" s="3">
        <f t="shared" si="23"/>
        <v>47.307692307692307</v>
      </c>
    </row>
    <row r="1504" spans="1:26" hidden="1">
      <c r="A1504" t="s">
        <v>706</v>
      </c>
      <c r="B1504" s="6">
        <v>44287</v>
      </c>
      <c r="C1504" s="6">
        <v>44651</v>
      </c>
      <c r="D1504">
        <v>20210401</v>
      </c>
      <c r="E1504">
        <v>20220331</v>
      </c>
      <c r="F1504" t="s">
        <v>3794</v>
      </c>
      <c r="G1504" t="s">
        <v>3795</v>
      </c>
      <c r="H1504" t="s">
        <v>590</v>
      </c>
      <c r="I1504" t="s">
        <v>1462</v>
      </c>
      <c r="K1504">
        <v>0.04</v>
      </c>
      <c r="L1504">
        <v>20</v>
      </c>
      <c r="M1504">
        <v>1040</v>
      </c>
      <c r="N1504">
        <v>-20</v>
      </c>
      <c r="O1504">
        <v>-1040</v>
      </c>
      <c r="Y1504">
        <v>0.04</v>
      </c>
      <c r="Z1504" s="3">
        <f t="shared" si="23"/>
        <v>52</v>
      </c>
    </row>
    <row r="1505" spans="1:26" hidden="1">
      <c r="A1505" t="s">
        <v>706</v>
      </c>
      <c r="B1505" s="6">
        <v>44287</v>
      </c>
      <c r="C1505" s="6">
        <v>44651</v>
      </c>
      <c r="D1505">
        <v>20210401</v>
      </c>
      <c r="E1505">
        <v>20220331</v>
      </c>
      <c r="F1505" t="s">
        <v>3796</v>
      </c>
      <c r="G1505" t="s">
        <v>3797</v>
      </c>
      <c r="H1505" t="s">
        <v>590</v>
      </c>
      <c r="I1505" t="s">
        <v>1462</v>
      </c>
      <c r="L1505">
        <v>20</v>
      </c>
      <c r="M1505">
        <v>1140</v>
      </c>
      <c r="N1505">
        <v>-20</v>
      </c>
      <c r="O1505">
        <v>-1140</v>
      </c>
      <c r="Z1505" s="3">
        <f t="shared" si="23"/>
        <v>57</v>
      </c>
    </row>
    <row r="1506" spans="1:26" hidden="1">
      <c r="A1506" t="s">
        <v>706</v>
      </c>
      <c r="B1506" s="6">
        <v>44287</v>
      </c>
      <c r="C1506" s="6">
        <v>44651</v>
      </c>
      <c r="D1506">
        <v>20210401</v>
      </c>
      <c r="E1506">
        <v>20220331</v>
      </c>
      <c r="F1506" t="s">
        <v>3798</v>
      </c>
      <c r="G1506" t="s">
        <v>3799</v>
      </c>
      <c r="H1506" t="s">
        <v>590</v>
      </c>
      <c r="I1506" t="s">
        <v>1462</v>
      </c>
      <c r="L1506">
        <v>15</v>
      </c>
      <c r="M1506">
        <v>750</v>
      </c>
      <c r="N1506">
        <v>-15</v>
      </c>
      <c r="O1506">
        <v>-750</v>
      </c>
      <c r="Z1506" s="3">
        <f t="shared" si="23"/>
        <v>50</v>
      </c>
    </row>
    <row r="1507" spans="1:26" hidden="1">
      <c r="A1507" t="s">
        <v>706</v>
      </c>
      <c r="B1507" s="6">
        <v>44287</v>
      </c>
      <c r="C1507" s="6">
        <v>44651</v>
      </c>
      <c r="D1507">
        <v>20210401</v>
      </c>
      <c r="E1507">
        <v>20220331</v>
      </c>
      <c r="F1507" t="s">
        <v>3800</v>
      </c>
      <c r="G1507" t="s">
        <v>3801</v>
      </c>
      <c r="H1507" t="s">
        <v>590</v>
      </c>
      <c r="I1507" t="s">
        <v>1462</v>
      </c>
      <c r="N1507">
        <v>-8</v>
      </c>
      <c r="O1507">
        <v>-376</v>
      </c>
      <c r="P1507">
        <v>8</v>
      </c>
      <c r="Q1507">
        <v>376</v>
      </c>
      <c r="Z1507" s="3" t="e">
        <f t="shared" si="23"/>
        <v>#DIV/0!</v>
      </c>
    </row>
    <row r="1508" spans="1:26" hidden="1">
      <c r="A1508" t="s">
        <v>706</v>
      </c>
      <c r="B1508" s="6">
        <v>44287</v>
      </c>
      <c r="C1508" s="6">
        <v>44651</v>
      </c>
      <c r="D1508">
        <v>20210401</v>
      </c>
      <c r="E1508">
        <v>20220331</v>
      </c>
      <c r="F1508" t="s">
        <v>3802</v>
      </c>
      <c r="G1508" t="s">
        <v>3803</v>
      </c>
      <c r="H1508" t="s">
        <v>590</v>
      </c>
      <c r="I1508" t="s">
        <v>1462</v>
      </c>
      <c r="N1508">
        <v>-1</v>
      </c>
      <c r="P1508">
        <v>1</v>
      </c>
      <c r="Z1508" s="3" t="e">
        <f t="shared" si="23"/>
        <v>#DIV/0!</v>
      </c>
    </row>
    <row r="1509" spans="1:26" hidden="1">
      <c r="A1509" t="s">
        <v>706</v>
      </c>
      <c r="B1509" s="6">
        <v>44287</v>
      </c>
      <c r="C1509" s="6">
        <v>44651</v>
      </c>
      <c r="D1509">
        <v>20210401</v>
      </c>
      <c r="E1509">
        <v>20220331</v>
      </c>
      <c r="F1509" t="s">
        <v>3804</v>
      </c>
      <c r="G1509" t="s">
        <v>3805</v>
      </c>
      <c r="H1509" t="s">
        <v>590</v>
      </c>
      <c r="I1509" t="s">
        <v>805</v>
      </c>
      <c r="K1509">
        <v>10.08</v>
      </c>
      <c r="Y1509">
        <v>10.08</v>
      </c>
      <c r="Z1509" s="3" t="e">
        <f t="shared" si="23"/>
        <v>#DIV/0!</v>
      </c>
    </row>
    <row r="1510" spans="1:26" hidden="1">
      <c r="A1510" t="s">
        <v>706</v>
      </c>
      <c r="B1510" s="6">
        <v>44287</v>
      </c>
      <c r="C1510" s="6">
        <v>44651</v>
      </c>
      <c r="D1510">
        <v>20210401</v>
      </c>
      <c r="E1510">
        <v>20220331</v>
      </c>
      <c r="F1510" t="s">
        <v>3806</v>
      </c>
      <c r="G1510" t="s">
        <v>3807</v>
      </c>
      <c r="H1510" t="s">
        <v>590</v>
      </c>
      <c r="I1510" t="s">
        <v>1462</v>
      </c>
      <c r="K1510">
        <v>0.01</v>
      </c>
      <c r="L1510">
        <v>10</v>
      </c>
      <c r="M1510">
        <v>21947.200000000001</v>
      </c>
      <c r="N1510">
        <v>-10</v>
      </c>
      <c r="O1510">
        <v>-21947.200000000001</v>
      </c>
      <c r="Y1510">
        <v>0.01</v>
      </c>
      <c r="Z1510" s="3">
        <f t="shared" si="23"/>
        <v>2194.7200000000003</v>
      </c>
    </row>
    <row r="1511" spans="1:26" hidden="1">
      <c r="A1511" t="s">
        <v>706</v>
      </c>
      <c r="B1511" s="6">
        <v>44287</v>
      </c>
      <c r="C1511" s="6">
        <v>44651</v>
      </c>
      <c r="D1511">
        <v>20210401</v>
      </c>
      <c r="E1511">
        <v>20220331</v>
      </c>
      <c r="F1511" t="s">
        <v>3808</v>
      </c>
      <c r="G1511" t="s">
        <v>3809</v>
      </c>
      <c r="H1511" t="s">
        <v>590</v>
      </c>
      <c r="I1511" t="s">
        <v>1462</v>
      </c>
      <c r="L1511">
        <v>8</v>
      </c>
      <c r="M1511">
        <v>8086</v>
      </c>
      <c r="N1511">
        <v>-8</v>
      </c>
      <c r="O1511">
        <v>-8086</v>
      </c>
      <c r="Z1511" s="3">
        <f t="shared" si="23"/>
        <v>1010.75</v>
      </c>
    </row>
    <row r="1512" spans="1:26" hidden="1">
      <c r="A1512" t="s">
        <v>706</v>
      </c>
      <c r="B1512" s="6">
        <v>44287</v>
      </c>
      <c r="C1512" s="6">
        <v>44651</v>
      </c>
      <c r="D1512">
        <v>20210401</v>
      </c>
      <c r="E1512">
        <v>20220331</v>
      </c>
      <c r="F1512" t="s">
        <v>3810</v>
      </c>
      <c r="G1512" t="s">
        <v>3811</v>
      </c>
      <c r="H1512" t="s">
        <v>590</v>
      </c>
      <c r="I1512" t="s">
        <v>805</v>
      </c>
      <c r="L1512">
        <v>4</v>
      </c>
      <c r="M1512">
        <v>2120</v>
      </c>
      <c r="N1512">
        <v>-4</v>
      </c>
      <c r="O1512">
        <v>-2120</v>
      </c>
      <c r="Z1512" s="3">
        <f t="shared" si="23"/>
        <v>530</v>
      </c>
    </row>
    <row r="1513" spans="1:26" hidden="1">
      <c r="A1513" t="s">
        <v>706</v>
      </c>
      <c r="B1513" s="6">
        <v>44287</v>
      </c>
      <c r="C1513" s="6">
        <v>44651</v>
      </c>
      <c r="D1513">
        <v>20210401</v>
      </c>
      <c r="E1513">
        <v>20220331</v>
      </c>
      <c r="F1513" t="s">
        <v>3812</v>
      </c>
      <c r="G1513" t="s">
        <v>3813</v>
      </c>
      <c r="H1513" t="s">
        <v>590</v>
      </c>
      <c r="I1513" t="s">
        <v>805</v>
      </c>
      <c r="L1513">
        <v>4</v>
      </c>
      <c r="M1513">
        <v>3400</v>
      </c>
      <c r="N1513">
        <v>-4</v>
      </c>
      <c r="O1513">
        <v>-3400</v>
      </c>
      <c r="Z1513" s="3">
        <f t="shared" si="23"/>
        <v>850</v>
      </c>
    </row>
    <row r="1514" spans="1:26" hidden="1">
      <c r="A1514" t="s">
        <v>706</v>
      </c>
      <c r="B1514" s="6">
        <v>44287</v>
      </c>
      <c r="C1514" s="6">
        <v>44651</v>
      </c>
      <c r="D1514">
        <v>20210401</v>
      </c>
      <c r="E1514">
        <v>20220331</v>
      </c>
      <c r="F1514" t="s">
        <v>3814</v>
      </c>
      <c r="G1514" t="s">
        <v>3815</v>
      </c>
      <c r="H1514" t="s">
        <v>590</v>
      </c>
      <c r="I1514" t="s">
        <v>805</v>
      </c>
      <c r="K1514">
        <v>0.01</v>
      </c>
      <c r="Y1514">
        <v>0.01</v>
      </c>
      <c r="Z1514" s="3" t="e">
        <f t="shared" si="23"/>
        <v>#DIV/0!</v>
      </c>
    </row>
    <row r="1515" spans="1:26" hidden="1">
      <c r="A1515" t="s">
        <v>706</v>
      </c>
      <c r="B1515" s="6">
        <v>44287</v>
      </c>
      <c r="C1515" s="6">
        <v>44651</v>
      </c>
      <c r="D1515">
        <v>20210401</v>
      </c>
      <c r="E1515">
        <v>20220331</v>
      </c>
      <c r="F1515" t="s">
        <v>3816</v>
      </c>
      <c r="G1515" t="s">
        <v>3817</v>
      </c>
      <c r="H1515" t="s">
        <v>590</v>
      </c>
      <c r="I1515" t="s">
        <v>805</v>
      </c>
      <c r="L1515">
        <v>6</v>
      </c>
      <c r="M1515">
        <v>8700</v>
      </c>
      <c r="N1515">
        <v>-6</v>
      </c>
      <c r="O1515">
        <v>-8700</v>
      </c>
      <c r="Z1515" s="3">
        <f t="shared" si="23"/>
        <v>1450</v>
      </c>
    </row>
    <row r="1516" spans="1:26" hidden="1">
      <c r="A1516" t="s">
        <v>706</v>
      </c>
      <c r="B1516" s="6">
        <v>44287</v>
      </c>
      <c r="C1516" s="6">
        <v>44651</v>
      </c>
      <c r="D1516">
        <v>20210401</v>
      </c>
      <c r="E1516">
        <v>20220331</v>
      </c>
      <c r="F1516" t="s">
        <v>3818</v>
      </c>
      <c r="G1516" t="s">
        <v>3819</v>
      </c>
      <c r="H1516" t="s">
        <v>590</v>
      </c>
      <c r="I1516" t="s">
        <v>805</v>
      </c>
      <c r="J1516">
        <v>2</v>
      </c>
      <c r="K1516">
        <v>2</v>
      </c>
      <c r="N1516">
        <v>-2</v>
      </c>
      <c r="O1516">
        <v>-2</v>
      </c>
      <c r="Z1516" s="3">
        <f t="shared" si="23"/>
        <v>1</v>
      </c>
    </row>
    <row r="1517" spans="1:26" hidden="1">
      <c r="A1517" t="s">
        <v>706</v>
      </c>
      <c r="B1517" s="6">
        <v>44287</v>
      </c>
      <c r="C1517" s="6">
        <v>44651</v>
      </c>
      <c r="D1517">
        <v>20210401</v>
      </c>
      <c r="E1517">
        <v>20220331</v>
      </c>
      <c r="F1517" t="s">
        <v>3820</v>
      </c>
      <c r="G1517" t="s">
        <v>3821</v>
      </c>
      <c r="H1517" t="s">
        <v>590</v>
      </c>
      <c r="I1517" t="s">
        <v>1462</v>
      </c>
      <c r="L1517">
        <v>32</v>
      </c>
      <c r="M1517">
        <v>40000</v>
      </c>
      <c r="N1517">
        <v>-32</v>
      </c>
      <c r="O1517">
        <v>-40000</v>
      </c>
      <c r="Z1517" s="3">
        <f t="shared" si="23"/>
        <v>1250</v>
      </c>
    </row>
    <row r="1518" spans="1:26" hidden="1">
      <c r="A1518" t="s">
        <v>706</v>
      </c>
      <c r="B1518" s="6">
        <v>44287</v>
      </c>
      <c r="C1518" s="6">
        <v>44651</v>
      </c>
      <c r="D1518">
        <v>20210401</v>
      </c>
      <c r="E1518">
        <v>20220331</v>
      </c>
      <c r="F1518" t="s">
        <v>3822</v>
      </c>
      <c r="G1518" t="s">
        <v>3823</v>
      </c>
      <c r="H1518" t="s">
        <v>590</v>
      </c>
      <c r="I1518" t="s">
        <v>1462</v>
      </c>
      <c r="L1518">
        <v>26</v>
      </c>
      <c r="M1518">
        <v>24220</v>
      </c>
      <c r="N1518">
        <v>-26</v>
      </c>
      <c r="O1518">
        <v>-24220</v>
      </c>
      <c r="Z1518" s="3">
        <f t="shared" si="23"/>
        <v>931.53846153846155</v>
      </c>
    </row>
    <row r="1519" spans="1:26" hidden="1">
      <c r="A1519" t="s">
        <v>706</v>
      </c>
      <c r="B1519" s="6">
        <v>44287</v>
      </c>
      <c r="C1519" s="6">
        <v>44651</v>
      </c>
      <c r="D1519">
        <v>20210401</v>
      </c>
      <c r="E1519">
        <v>20220331</v>
      </c>
      <c r="F1519" t="s">
        <v>3824</v>
      </c>
      <c r="G1519" t="s">
        <v>3825</v>
      </c>
      <c r="H1519" t="s">
        <v>590</v>
      </c>
      <c r="I1519" t="s">
        <v>1462</v>
      </c>
      <c r="L1519">
        <v>4</v>
      </c>
      <c r="M1519">
        <v>1240</v>
      </c>
      <c r="N1519">
        <v>-4</v>
      </c>
      <c r="O1519">
        <v>-1240</v>
      </c>
      <c r="Z1519" s="3">
        <f t="shared" si="23"/>
        <v>310</v>
      </c>
    </row>
    <row r="1520" spans="1:26" hidden="1">
      <c r="A1520" t="s">
        <v>706</v>
      </c>
      <c r="B1520" s="6">
        <v>44287</v>
      </c>
      <c r="C1520" s="6">
        <v>44651</v>
      </c>
      <c r="D1520">
        <v>20210401</v>
      </c>
      <c r="E1520">
        <v>20220331</v>
      </c>
      <c r="F1520" t="s">
        <v>3826</v>
      </c>
      <c r="G1520" t="s">
        <v>3827</v>
      </c>
      <c r="H1520" t="s">
        <v>590</v>
      </c>
      <c r="I1520" t="s">
        <v>1462</v>
      </c>
      <c r="L1520">
        <v>26</v>
      </c>
      <c r="M1520">
        <v>25980</v>
      </c>
      <c r="N1520">
        <v>-26</v>
      </c>
      <c r="O1520">
        <v>-25980</v>
      </c>
      <c r="Z1520" s="3">
        <f t="shared" si="23"/>
        <v>999.23076923076928</v>
      </c>
    </row>
    <row r="1521" spans="1:26" hidden="1">
      <c r="A1521" t="s">
        <v>706</v>
      </c>
      <c r="B1521" s="6">
        <v>44287</v>
      </c>
      <c r="C1521" s="6">
        <v>44651</v>
      </c>
      <c r="D1521">
        <v>20210401</v>
      </c>
      <c r="E1521">
        <v>20220331</v>
      </c>
      <c r="F1521" t="s">
        <v>3828</v>
      </c>
      <c r="G1521" t="s">
        <v>3827</v>
      </c>
      <c r="H1521" t="s">
        <v>590</v>
      </c>
      <c r="I1521" t="s">
        <v>1462</v>
      </c>
      <c r="L1521">
        <v>26</v>
      </c>
      <c r="M1521">
        <v>16900</v>
      </c>
      <c r="N1521">
        <v>-26</v>
      </c>
      <c r="O1521">
        <v>-16900</v>
      </c>
      <c r="Z1521" s="3">
        <f t="shared" si="23"/>
        <v>650</v>
      </c>
    </row>
    <row r="1522" spans="1:26" hidden="1">
      <c r="A1522" t="s">
        <v>706</v>
      </c>
      <c r="B1522" s="6">
        <v>44287</v>
      </c>
      <c r="C1522" s="6">
        <v>44651</v>
      </c>
      <c r="D1522">
        <v>20210401</v>
      </c>
      <c r="E1522">
        <v>20220331</v>
      </c>
      <c r="F1522" t="s">
        <v>3829</v>
      </c>
      <c r="G1522" t="s">
        <v>3830</v>
      </c>
      <c r="H1522" t="s">
        <v>1973</v>
      </c>
      <c r="I1522" t="s">
        <v>1462</v>
      </c>
      <c r="L1522">
        <v>10</v>
      </c>
      <c r="M1522">
        <v>7300</v>
      </c>
      <c r="N1522">
        <v>-10</v>
      </c>
      <c r="O1522">
        <v>-7300</v>
      </c>
      <c r="Z1522" s="3">
        <f t="shared" si="23"/>
        <v>730</v>
      </c>
    </row>
    <row r="1523" spans="1:26" hidden="1">
      <c r="A1523" t="s">
        <v>706</v>
      </c>
      <c r="B1523" s="6">
        <v>44287</v>
      </c>
      <c r="C1523" s="6">
        <v>44651</v>
      </c>
      <c r="D1523">
        <v>20210401</v>
      </c>
      <c r="E1523">
        <v>20220331</v>
      </c>
      <c r="F1523" t="s">
        <v>3831</v>
      </c>
      <c r="G1523" t="s">
        <v>3832</v>
      </c>
      <c r="H1523" t="s">
        <v>590</v>
      </c>
      <c r="I1523" t="s">
        <v>1462</v>
      </c>
      <c r="L1523">
        <v>20</v>
      </c>
      <c r="M1523">
        <v>180</v>
      </c>
      <c r="N1523">
        <v>-20</v>
      </c>
      <c r="O1523">
        <v>-180</v>
      </c>
      <c r="Z1523" s="3">
        <f t="shared" si="23"/>
        <v>9</v>
      </c>
    </row>
    <row r="1524" spans="1:26" hidden="1">
      <c r="A1524" t="s">
        <v>706</v>
      </c>
      <c r="B1524" s="6">
        <v>44287</v>
      </c>
      <c r="C1524" s="6">
        <v>44651</v>
      </c>
      <c r="D1524">
        <v>20210401</v>
      </c>
      <c r="E1524">
        <v>20220331</v>
      </c>
      <c r="F1524" t="s">
        <v>3833</v>
      </c>
      <c r="G1524" t="s">
        <v>3834</v>
      </c>
      <c r="H1524" t="s">
        <v>2073</v>
      </c>
      <c r="I1524" t="s">
        <v>1462</v>
      </c>
      <c r="L1524">
        <v>60</v>
      </c>
      <c r="M1524">
        <v>1920</v>
      </c>
      <c r="N1524">
        <v>-72</v>
      </c>
      <c r="O1524">
        <v>-2316</v>
      </c>
      <c r="P1524">
        <v>12</v>
      </c>
      <c r="Q1524">
        <v>396</v>
      </c>
      <c r="Z1524" s="3">
        <f t="shared" si="23"/>
        <v>32</v>
      </c>
    </row>
    <row r="1525" spans="1:26" hidden="1">
      <c r="A1525" t="s">
        <v>706</v>
      </c>
      <c r="B1525" s="6">
        <v>44287</v>
      </c>
      <c r="C1525" s="6">
        <v>44651</v>
      </c>
      <c r="D1525">
        <v>20210401</v>
      </c>
      <c r="E1525">
        <v>20220331</v>
      </c>
      <c r="F1525" t="s">
        <v>3835</v>
      </c>
      <c r="G1525" t="s">
        <v>3836</v>
      </c>
      <c r="H1525" t="s">
        <v>590</v>
      </c>
      <c r="I1525" t="s">
        <v>1462</v>
      </c>
      <c r="N1525">
        <v>-1</v>
      </c>
      <c r="O1525">
        <v>-2204.5100000000002</v>
      </c>
      <c r="P1525">
        <v>1</v>
      </c>
      <c r="Q1525">
        <v>2204.5100000000002</v>
      </c>
      <c r="Z1525" s="3" t="e">
        <f t="shared" si="23"/>
        <v>#DIV/0!</v>
      </c>
    </row>
    <row r="1526" spans="1:26" hidden="1">
      <c r="A1526" t="s">
        <v>706</v>
      </c>
      <c r="B1526" s="6">
        <v>44287</v>
      </c>
      <c r="C1526" s="6">
        <v>44651</v>
      </c>
      <c r="D1526">
        <v>20210401</v>
      </c>
      <c r="E1526">
        <v>20220331</v>
      </c>
      <c r="F1526" t="s">
        <v>3837</v>
      </c>
      <c r="G1526" t="s">
        <v>3838</v>
      </c>
      <c r="H1526" t="s">
        <v>590</v>
      </c>
      <c r="I1526" t="s">
        <v>1462</v>
      </c>
      <c r="L1526">
        <v>32</v>
      </c>
      <c r="M1526">
        <v>9154</v>
      </c>
      <c r="N1526">
        <v>-38</v>
      </c>
      <c r="O1526">
        <v>-10863.5</v>
      </c>
      <c r="P1526">
        <v>6</v>
      </c>
      <c r="Q1526">
        <v>1709.5</v>
      </c>
      <c r="Z1526" s="3">
        <f t="shared" si="23"/>
        <v>286.0625</v>
      </c>
    </row>
    <row r="1527" spans="1:26" hidden="1">
      <c r="A1527" t="s">
        <v>706</v>
      </c>
      <c r="B1527" s="6">
        <v>44287</v>
      </c>
      <c r="C1527" s="6">
        <v>44651</v>
      </c>
      <c r="D1527">
        <v>20210401</v>
      </c>
      <c r="E1527">
        <v>20220331</v>
      </c>
      <c r="F1527" t="s">
        <v>3839</v>
      </c>
      <c r="G1527" t="s">
        <v>3840</v>
      </c>
      <c r="H1527" t="s">
        <v>590</v>
      </c>
      <c r="I1527" t="s">
        <v>1462</v>
      </c>
      <c r="L1527">
        <v>2</v>
      </c>
      <c r="M1527">
        <v>3200</v>
      </c>
      <c r="N1527">
        <v>-2</v>
      </c>
      <c r="O1527">
        <v>-3200</v>
      </c>
      <c r="Z1527" s="3">
        <f t="shared" si="23"/>
        <v>1600</v>
      </c>
    </row>
    <row r="1528" spans="1:26" hidden="1">
      <c r="A1528" t="s">
        <v>706</v>
      </c>
      <c r="B1528" s="6">
        <v>44287</v>
      </c>
      <c r="C1528" s="6">
        <v>44651</v>
      </c>
      <c r="D1528">
        <v>20210401</v>
      </c>
      <c r="E1528">
        <v>20220331</v>
      </c>
      <c r="F1528" t="s">
        <v>3841</v>
      </c>
      <c r="G1528" t="s">
        <v>3842</v>
      </c>
      <c r="H1528" t="s">
        <v>590</v>
      </c>
      <c r="I1528" t="s">
        <v>1462</v>
      </c>
      <c r="N1528">
        <v>-2</v>
      </c>
      <c r="O1528">
        <v>-1400</v>
      </c>
      <c r="P1528">
        <v>2</v>
      </c>
      <c r="Q1528">
        <v>1400</v>
      </c>
      <c r="Z1528" s="3" t="e">
        <f t="shared" si="23"/>
        <v>#DIV/0!</v>
      </c>
    </row>
    <row r="1529" spans="1:26" hidden="1">
      <c r="A1529" t="s">
        <v>706</v>
      </c>
      <c r="B1529" s="6">
        <v>44287</v>
      </c>
      <c r="C1529" s="6">
        <v>44651</v>
      </c>
      <c r="D1529">
        <v>20210401</v>
      </c>
      <c r="E1529">
        <v>20220331</v>
      </c>
      <c r="F1529" t="s">
        <v>3843</v>
      </c>
      <c r="G1529" t="s">
        <v>3844</v>
      </c>
      <c r="H1529" t="s">
        <v>590</v>
      </c>
      <c r="I1529" t="s">
        <v>1462</v>
      </c>
      <c r="L1529">
        <v>3</v>
      </c>
      <c r="M1529">
        <v>1650</v>
      </c>
      <c r="N1529">
        <v>-4</v>
      </c>
      <c r="O1529">
        <v>-1875</v>
      </c>
      <c r="P1529">
        <v>1</v>
      </c>
      <c r="Q1529">
        <v>225</v>
      </c>
      <c r="Z1529" s="3">
        <f t="shared" si="23"/>
        <v>550</v>
      </c>
    </row>
    <row r="1530" spans="1:26" hidden="1">
      <c r="A1530" t="s">
        <v>706</v>
      </c>
      <c r="B1530" s="6">
        <v>44287</v>
      </c>
      <c r="C1530" s="6">
        <v>44651</v>
      </c>
      <c r="D1530">
        <v>20210401</v>
      </c>
      <c r="E1530">
        <v>20220331</v>
      </c>
      <c r="F1530" t="s">
        <v>3845</v>
      </c>
      <c r="G1530" t="s">
        <v>3846</v>
      </c>
      <c r="H1530" t="s">
        <v>3847</v>
      </c>
      <c r="I1530" t="s">
        <v>1462</v>
      </c>
      <c r="L1530">
        <v>1</v>
      </c>
      <c r="M1530">
        <v>6150</v>
      </c>
      <c r="N1530">
        <v>-1</v>
      </c>
      <c r="O1530">
        <v>-6150</v>
      </c>
      <c r="Z1530" s="3">
        <f t="shared" si="23"/>
        <v>6150</v>
      </c>
    </row>
    <row r="1531" spans="1:26" hidden="1">
      <c r="A1531" t="s">
        <v>706</v>
      </c>
      <c r="B1531" s="6">
        <v>44287</v>
      </c>
      <c r="C1531" s="6">
        <v>44651</v>
      </c>
      <c r="D1531">
        <v>20210401</v>
      </c>
      <c r="E1531">
        <v>20220331</v>
      </c>
      <c r="F1531" t="s">
        <v>3848</v>
      </c>
      <c r="G1531" t="s">
        <v>3849</v>
      </c>
      <c r="H1531" t="s">
        <v>590</v>
      </c>
      <c r="I1531" t="s">
        <v>1462</v>
      </c>
      <c r="L1531">
        <v>8</v>
      </c>
      <c r="M1531">
        <v>5000</v>
      </c>
      <c r="N1531">
        <v>-10</v>
      </c>
      <c r="O1531">
        <v>-6134.29</v>
      </c>
      <c r="P1531">
        <v>2</v>
      </c>
      <c r="Q1531">
        <v>1134.29</v>
      </c>
      <c r="Z1531" s="3">
        <f t="shared" si="23"/>
        <v>625</v>
      </c>
    </row>
    <row r="1532" spans="1:26" hidden="1">
      <c r="A1532" t="s">
        <v>706</v>
      </c>
      <c r="B1532" s="6">
        <v>44287</v>
      </c>
      <c r="C1532" s="6">
        <v>44651</v>
      </c>
      <c r="D1532">
        <v>20210401</v>
      </c>
      <c r="E1532">
        <v>20220331</v>
      </c>
      <c r="F1532" t="s">
        <v>3850</v>
      </c>
      <c r="G1532" t="s">
        <v>3851</v>
      </c>
      <c r="H1532" t="s">
        <v>590</v>
      </c>
      <c r="I1532" t="s">
        <v>1462</v>
      </c>
      <c r="J1532">
        <v>7</v>
      </c>
      <c r="K1532">
        <v>7</v>
      </c>
      <c r="N1532">
        <v>-7</v>
      </c>
      <c r="O1532">
        <v>-7</v>
      </c>
      <c r="Z1532" s="3">
        <f t="shared" si="23"/>
        <v>1</v>
      </c>
    </row>
    <row r="1533" spans="1:26" hidden="1">
      <c r="A1533" t="s">
        <v>706</v>
      </c>
      <c r="B1533" s="6">
        <v>44287</v>
      </c>
      <c r="C1533" s="6">
        <v>44651</v>
      </c>
      <c r="D1533">
        <v>20210401</v>
      </c>
      <c r="E1533">
        <v>20220331</v>
      </c>
      <c r="F1533" t="s">
        <v>3852</v>
      </c>
      <c r="G1533" t="s">
        <v>3853</v>
      </c>
      <c r="H1533" t="s">
        <v>590</v>
      </c>
      <c r="I1533" t="s">
        <v>1462</v>
      </c>
      <c r="L1533">
        <v>2</v>
      </c>
      <c r="M1533">
        <v>7100</v>
      </c>
      <c r="N1533">
        <v>-2</v>
      </c>
      <c r="O1533">
        <v>-7100</v>
      </c>
      <c r="Z1533" s="3">
        <f t="shared" si="23"/>
        <v>3550</v>
      </c>
    </row>
    <row r="1534" spans="1:26" hidden="1">
      <c r="A1534" t="s">
        <v>706</v>
      </c>
      <c r="B1534" s="6">
        <v>44287</v>
      </c>
      <c r="C1534" s="6">
        <v>44651</v>
      </c>
      <c r="D1534">
        <v>20210401</v>
      </c>
      <c r="E1534">
        <v>20220331</v>
      </c>
      <c r="F1534" t="s">
        <v>3854</v>
      </c>
      <c r="G1534" t="s">
        <v>3855</v>
      </c>
      <c r="H1534" t="s">
        <v>590</v>
      </c>
      <c r="I1534" t="s">
        <v>1462</v>
      </c>
      <c r="N1534">
        <v>-10</v>
      </c>
      <c r="O1534">
        <v>-12200</v>
      </c>
      <c r="P1534">
        <v>10</v>
      </c>
      <c r="Q1534">
        <v>12200</v>
      </c>
      <c r="Z1534" s="3" t="e">
        <f t="shared" si="23"/>
        <v>#DIV/0!</v>
      </c>
    </row>
    <row r="1535" spans="1:26" hidden="1">
      <c r="A1535" t="s">
        <v>706</v>
      </c>
      <c r="B1535" s="6">
        <v>44287</v>
      </c>
      <c r="C1535" s="6">
        <v>44651</v>
      </c>
      <c r="D1535">
        <v>20210401</v>
      </c>
      <c r="E1535">
        <v>20220331</v>
      </c>
      <c r="F1535" t="s">
        <v>3856</v>
      </c>
      <c r="G1535" t="s">
        <v>3857</v>
      </c>
      <c r="H1535" t="s">
        <v>590</v>
      </c>
      <c r="I1535" t="s">
        <v>1462</v>
      </c>
      <c r="N1535">
        <v>-8</v>
      </c>
      <c r="O1535">
        <v>-8800</v>
      </c>
      <c r="P1535">
        <v>8</v>
      </c>
      <c r="Q1535">
        <v>8800</v>
      </c>
      <c r="Z1535" s="3" t="e">
        <f t="shared" si="23"/>
        <v>#DIV/0!</v>
      </c>
    </row>
    <row r="1536" spans="1:26" hidden="1">
      <c r="A1536" t="s">
        <v>706</v>
      </c>
      <c r="B1536" s="6">
        <v>44287</v>
      </c>
      <c r="C1536" s="6">
        <v>44651</v>
      </c>
      <c r="D1536">
        <v>20210401</v>
      </c>
      <c r="E1536">
        <v>20220331</v>
      </c>
      <c r="F1536" t="s">
        <v>3858</v>
      </c>
      <c r="G1536" t="s">
        <v>3859</v>
      </c>
      <c r="H1536" t="s">
        <v>590</v>
      </c>
      <c r="I1536" t="s">
        <v>1462</v>
      </c>
      <c r="L1536">
        <v>4</v>
      </c>
      <c r="M1536">
        <v>2600</v>
      </c>
      <c r="N1536">
        <v>-4</v>
      </c>
      <c r="O1536">
        <v>-2600</v>
      </c>
      <c r="Z1536" s="3">
        <f t="shared" si="23"/>
        <v>650</v>
      </c>
    </row>
    <row r="1537" spans="1:26" hidden="1">
      <c r="A1537" t="s">
        <v>706</v>
      </c>
      <c r="B1537" s="6">
        <v>44287</v>
      </c>
      <c r="C1537" s="6">
        <v>44651</v>
      </c>
      <c r="D1537">
        <v>20210401</v>
      </c>
      <c r="E1537">
        <v>20220331</v>
      </c>
      <c r="F1537" t="s">
        <v>3860</v>
      </c>
      <c r="G1537" t="s">
        <v>3861</v>
      </c>
      <c r="H1537" t="s">
        <v>590</v>
      </c>
      <c r="I1537" t="s">
        <v>1462</v>
      </c>
      <c r="L1537">
        <v>6</v>
      </c>
      <c r="M1537">
        <v>3474</v>
      </c>
      <c r="N1537">
        <v>-6</v>
      </c>
      <c r="O1537">
        <v>-3474</v>
      </c>
      <c r="Z1537" s="3">
        <f t="shared" si="23"/>
        <v>579</v>
      </c>
    </row>
    <row r="1538" spans="1:26" hidden="1">
      <c r="A1538" t="s">
        <v>706</v>
      </c>
      <c r="B1538" s="6">
        <v>44287</v>
      </c>
      <c r="C1538" s="6">
        <v>44651</v>
      </c>
      <c r="D1538">
        <v>20210401</v>
      </c>
      <c r="E1538">
        <v>20220331</v>
      </c>
      <c r="F1538" t="s">
        <v>3862</v>
      </c>
      <c r="G1538" t="s">
        <v>3863</v>
      </c>
      <c r="H1538" t="s">
        <v>590</v>
      </c>
      <c r="I1538" t="s">
        <v>1462</v>
      </c>
      <c r="L1538">
        <v>2</v>
      </c>
      <c r="M1538">
        <v>5950</v>
      </c>
      <c r="N1538">
        <v>-2</v>
      </c>
      <c r="O1538">
        <v>-5950</v>
      </c>
      <c r="Z1538" s="3">
        <f t="shared" si="23"/>
        <v>2975</v>
      </c>
    </row>
    <row r="1539" spans="1:26" hidden="1">
      <c r="A1539" t="s">
        <v>706</v>
      </c>
      <c r="B1539" s="6">
        <v>44287</v>
      </c>
      <c r="C1539" s="6">
        <v>44651</v>
      </c>
      <c r="D1539">
        <v>20210401</v>
      </c>
      <c r="E1539">
        <v>20220331</v>
      </c>
      <c r="F1539" t="s">
        <v>3864</v>
      </c>
      <c r="G1539" t="s">
        <v>3865</v>
      </c>
      <c r="H1539" t="s">
        <v>590</v>
      </c>
      <c r="I1539" t="s">
        <v>1462</v>
      </c>
      <c r="L1539">
        <v>2</v>
      </c>
      <c r="M1539">
        <v>6000</v>
      </c>
      <c r="N1539">
        <v>-2</v>
      </c>
      <c r="O1539">
        <v>-6000</v>
      </c>
      <c r="Z1539" s="3">
        <f t="shared" ref="Z1539:Z1602" si="24">IFERROR((O1539+Q1539)/(N1539+P1539),Y1539/X1539)</f>
        <v>3000</v>
      </c>
    </row>
    <row r="1540" spans="1:26" hidden="1">
      <c r="A1540" t="s">
        <v>706</v>
      </c>
      <c r="B1540" s="6">
        <v>44287</v>
      </c>
      <c r="C1540" s="6">
        <v>44651</v>
      </c>
      <c r="D1540">
        <v>20210401</v>
      </c>
      <c r="E1540">
        <v>20220331</v>
      </c>
      <c r="F1540" t="s">
        <v>3866</v>
      </c>
      <c r="G1540" t="s">
        <v>3867</v>
      </c>
      <c r="H1540" t="s">
        <v>590</v>
      </c>
      <c r="I1540" t="s">
        <v>1462</v>
      </c>
      <c r="L1540">
        <v>4</v>
      </c>
      <c r="M1540">
        <v>5100</v>
      </c>
      <c r="N1540">
        <v>-4</v>
      </c>
      <c r="O1540">
        <v>-5100</v>
      </c>
      <c r="Z1540" s="3">
        <f t="shared" si="24"/>
        <v>1275</v>
      </c>
    </row>
    <row r="1541" spans="1:26" hidden="1">
      <c r="A1541" t="s">
        <v>706</v>
      </c>
      <c r="B1541" s="6">
        <v>44287</v>
      </c>
      <c r="C1541" s="6">
        <v>44651</v>
      </c>
      <c r="D1541">
        <v>20210401</v>
      </c>
      <c r="E1541">
        <v>20220331</v>
      </c>
      <c r="F1541" t="s">
        <v>3868</v>
      </c>
      <c r="G1541" t="s">
        <v>3869</v>
      </c>
      <c r="H1541" t="s">
        <v>613</v>
      </c>
      <c r="I1541" t="s">
        <v>805</v>
      </c>
      <c r="J1541">
        <v>20</v>
      </c>
      <c r="L1541">
        <v>300</v>
      </c>
      <c r="M1541">
        <v>21300</v>
      </c>
      <c r="N1541">
        <v>-300</v>
      </c>
      <c r="O1541">
        <v>-21425.99</v>
      </c>
      <c r="X1541">
        <v>20</v>
      </c>
      <c r="Y1541">
        <v>-125.99</v>
      </c>
      <c r="Z1541" s="3">
        <f t="shared" si="24"/>
        <v>71.419966666666667</v>
      </c>
    </row>
    <row r="1542" spans="1:26" hidden="1">
      <c r="A1542" t="s">
        <v>706</v>
      </c>
      <c r="B1542" s="6">
        <v>44287</v>
      </c>
      <c r="C1542" s="6">
        <v>44651</v>
      </c>
      <c r="D1542">
        <v>20210401</v>
      </c>
      <c r="E1542">
        <v>20220331</v>
      </c>
      <c r="F1542" t="s">
        <v>3870</v>
      </c>
      <c r="G1542" t="s">
        <v>3871</v>
      </c>
      <c r="H1542" t="s">
        <v>590</v>
      </c>
      <c r="I1542" t="s">
        <v>805</v>
      </c>
      <c r="J1542">
        <v>14</v>
      </c>
      <c r="K1542">
        <v>2129.94</v>
      </c>
      <c r="N1542">
        <v>-14</v>
      </c>
      <c r="O1542">
        <v>-2129.94</v>
      </c>
      <c r="Z1542" s="3">
        <f t="shared" si="24"/>
        <v>152.13857142857142</v>
      </c>
    </row>
    <row r="1543" spans="1:26" hidden="1">
      <c r="A1543" t="s">
        <v>706</v>
      </c>
      <c r="B1543" s="6">
        <v>44287</v>
      </c>
      <c r="C1543" s="6">
        <v>44651</v>
      </c>
      <c r="D1543">
        <v>20210401</v>
      </c>
      <c r="E1543">
        <v>20220331</v>
      </c>
      <c r="F1543" t="s">
        <v>3872</v>
      </c>
      <c r="G1543" t="s">
        <v>3873</v>
      </c>
      <c r="H1543" t="s">
        <v>590</v>
      </c>
      <c r="I1543" t="s">
        <v>805</v>
      </c>
      <c r="J1543">
        <v>2</v>
      </c>
      <c r="K1543">
        <v>23</v>
      </c>
      <c r="N1543">
        <v>-2</v>
      </c>
      <c r="O1543">
        <v>-23</v>
      </c>
      <c r="Z1543" s="3">
        <f t="shared" si="24"/>
        <v>11.5</v>
      </c>
    </row>
    <row r="1544" spans="1:26" hidden="1">
      <c r="A1544" t="s">
        <v>706</v>
      </c>
      <c r="B1544" s="6">
        <v>44287</v>
      </c>
      <c r="C1544" s="6">
        <v>44651</v>
      </c>
      <c r="D1544">
        <v>20210401</v>
      </c>
      <c r="E1544">
        <v>20220331</v>
      </c>
      <c r="F1544" t="s">
        <v>3874</v>
      </c>
      <c r="G1544" t="s">
        <v>3875</v>
      </c>
      <c r="H1544" t="s">
        <v>613</v>
      </c>
      <c r="I1544" t="s">
        <v>1462</v>
      </c>
      <c r="L1544">
        <v>8</v>
      </c>
      <c r="M1544">
        <v>1840</v>
      </c>
      <c r="N1544">
        <v>-11</v>
      </c>
      <c r="O1544">
        <v>-2530</v>
      </c>
      <c r="P1544">
        <v>3</v>
      </c>
      <c r="Q1544">
        <v>690</v>
      </c>
      <c r="Z1544" s="3">
        <f t="shared" si="24"/>
        <v>230</v>
      </c>
    </row>
    <row r="1545" spans="1:26" hidden="1">
      <c r="A1545" t="s">
        <v>706</v>
      </c>
      <c r="B1545" s="6">
        <v>44287</v>
      </c>
      <c r="C1545" s="6">
        <v>44651</v>
      </c>
      <c r="D1545">
        <v>20210401</v>
      </c>
      <c r="E1545">
        <v>20220331</v>
      </c>
      <c r="F1545" t="s">
        <v>3876</v>
      </c>
      <c r="G1545" t="s">
        <v>3877</v>
      </c>
      <c r="H1545" t="s">
        <v>590</v>
      </c>
      <c r="I1545" t="s">
        <v>1462</v>
      </c>
      <c r="J1545">
        <v>1</v>
      </c>
      <c r="K1545">
        <v>35.57</v>
      </c>
      <c r="L1545">
        <v>69</v>
      </c>
      <c r="M1545">
        <v>8280</v>
      </c>
      <c r="N1545">
        <v>-57</v>
      </c>
      <c r="O1545">
        <v>-6755.54</v>
      </c>
      <c r="P1545">
        <v>1</v>
      </c>
      <c r="Q1545">
        <v>120</v>
      </c>
      <c r="X1545">
        <v>14</v>
      </c>
      <c r="Y1545">
        <v>1680.03</v>
      </c>
      <c r="Z1545" s="3">
        <f t="shared" si="24"/>
        <v>118.49178571428571</v>
      </c>
    </row>
    <row r="1546" spans="1:26" hidden="1">
      <c r="A1546" t="s">
        <v>706</v>
      </c>
      <c r="B1546" s="6">
        <v>44287</v>
      </c>
      <c r="C1546" s="6">
        <v>44651</v>
      </c>
      <c r="D1546">
        <v>20210401</v>
      </c>
      <c r="E1546">
        <v>20220331</v>
      </c>
      <c r="F1546" t="s">
        <v>3878</v>
      </c>
      <c r="G1546" t="s">
        <v>3879</v>
      </c>
      <c r="H1546" t="s">
        <v>590</v>
      </c>
      <c r="I1546" t="s">
        <v>805</v>
      </c>
      <c r="J1546">
        <v>1</v>
      </c>
      <c r="K1546">
        <v>4911.8599999999997</v>
      </c>
      <c r="N1546">
        <v>-1</v>
      </c>
      <c r="O1546">
        <v>-4911.8599999999997</v>
      </c>
      <c r="Z1546" s="3">
        <f t="shared" si="24"/>
        <v>4911.8599999999997</v>
      </c>
    </row>
    <row r="1547" spans="1:26" hidden="1">
      <c r="A1547" t="s">
        <v>706</v>
      </c>
      <c r="B1547" s="6">
        <v>44287</v>
      </c>
      <c r="C1547" s="6">
        <v>44651</v>
      </c>
      <c r="D1547">
        <v>20210401</v>
      </c>
      <c r="E1547">
        <v>20220331</v>
      </c>
      <c r="F1547" t="s">
        <v>3880</v>
      </c>
      <c r="G1547" t="s">
        <v>3881</v>
      </c>
      <c r="H1547" t="s">
        <v>590</v>
      </c>
      <c r="I1547" t="s">
        <v>805</v>
      </c>
      <c r="J1547">
        <v>1</v>
      </c>
      <c r="K1547">
        <v>1069.93</v>
      </c>
      <c r="N1547">
        <v>-1</v>
      </c>
      <c r="O1547">
        <v>-1069.94</v>
      </c>
      <c r="Y1547">
        <v>-0.01</v>
      </c>
      <c r="Z1547" s="3">
        <f t="shared" si="24"/>
        <v>1069.94</v>
      </c>
    </row>
    <row r="1548" spans="1:26" hidden="1">
      <c r="A1548" t="s">
        <v>706</v>
      </c>
      <c r="B1548" s="6">
        <v>44287</v>
      </c>
      <c r="C1548" s="6">
        <v>44651</v>
      </c>
      <c r="D1548">
        <v>20210401</v>
      </c>
      <c r="E1548">
        <v>20220331</v>
      </c>
      <c r="F1548" t="s">
        <v>3882</v>
      </c>
      <c r="G1548" t="s">
        <v>3883</v>
      </c>
      <c r="H1548" t="s">
        <v>590</v>
      </c>
      <c r="I1548" t="s">
        <v>805</v>
      </c>
      <c r="L1548">
        <v>4</v>
      </c>
      <c r="M1548">
        <v>1000</v>
      </c>
      <c r="N1548">
        <v>-4</v>
      </c>
      <c r="O1548">
        <v>-1000</v>
      </c>
      <c r="Z1548" s="3">
        <f t="shared" si="24"/>
        <v>250</v>
      </c>
    </row>
    <row r="1549" spans="1:26" hidden="1">
      <c r="A1549" t="s">
        <v>706</v>
      </c>
      <c r="B1549" s="6">
        <v>44287</v>
      </c>
      <c r="C1549" s="6">
        <v>44651</v>
      </c>
      <c r="D1549">
        <v>20210401</v>
      </c>
      <c r="E1549">
        <v>20220331</v>
      </c>
      <c r="F1549" t="s">
        <v>3884</v>
      </c>
      <c r="G1549" t="s">
        <v>3885</v>
      </c>
      <c r="H1549" t="s">
        <v>590</v>
      </c>
      <c r="I1549" t="s">
        <v>1462</v>
      </c>
      <c r="L1549">
        <v>6</v>
      </c>
      <c r="M1549">
        <v>3900</v>
      </c>
      <c r="N1549">
        <v>-6</v>
      </c>
      <c r="O1549">
        <v>-3900</v>
      </c>
      <c r="Z1549" s="3">
        <f t="shared" si="24"/>
        <v>650</v>
      </c>
    </row>
    <row r="1550" spans="1:26" hidden="1">
      <c r="A1550" t="s">
        <v>706</v>
      </c>
      <c r="B1550" s="6">
        <v>44287</v>
      </c>
      <c r="C1550" s="6">
        <v>44651</v>
      </c>
      <c r="D1550">
        <v>20210401</v>
      </c>
      <c r="E1550">
        <v>20220331</v>
      </c>
      <c r="F1550" t="s">
        <v>3886</v>
      </c>
      <c r="G1550" t="s">
        <v>3887</v>
      </c>
      <c r="H1550" t="s">
        <v>590</v>
      </c>
      <c r="I1550" t="s">
        <v>1462</v>
      </c>
      <c r="K1550">
        <v>0.04</v>
      </c>
      <c r="Y1550">
        <v>0.04</v>
      </c>
      <c r="Z1550" s="3" t="e">
        <f t="shared" si="24"/>
        <v>#DIV/0!</v>
      </c>
    </row>
    <row r="1551" spans="1:26" hidden="1">
      <c r="A1551" t="s">
        <v>706</v>
      </c>
      <c r="B1551" s="6">
        <v>44287</v>
      </c>
      <c r="C1551" s="6">
        <v>44651</v>
      </c>
      <c r="D1551">
        <v>20210401</v>
      </c>
      <c r="E1551">
        <v>20220331</v>
      </c>
      <c r="F1551" t="s">
        <v>3888</v>
      </c>
      <c r="G1551" t="s">
        <v>3889</v>
      </c>
      <c r="H1551" t="s">
        <v>590</v>
      </c>
      <c r="I1551" t="s">
        <v>1462</v>
      </c>
      <c r="L1551">
        <v>1</v>
      </c>
      <c r="M1551">
        <v>250</v>
      </c>
      <c r="N1551">
        <v>-1</v>
      </c>
      <c r="O1551">
        <v>-250</v>
      </c>
      <c r="Z1551" s="3">
        <f t="shared" si="24"/>
        <v>250</v>
      </c>
    </row>
    <row r="1552" spans="1:26" hidden="1">
      <c r="A1552" t="s">
        <v>706</v>
      </c>
      <c r="B1552" s="6">
        <v>44287</v>
      </c>
      <c r="C1552" s="6">
        <v>44651</v>
      </c>
      <c r="D1552">
        <v>20210401</v>
      </c>
      <c r="E1552">
        <v>20220331</v>
      </c>
      <c r="F1552" t="s">
        <v>3890</v>
      </c>
      <c r="G1552" t="s">
        <v>3891</v>
      </c>
      <c r="H1552" t="s">
        <v>590</v>
      </c>
      <c r="I1552" t="s">
        <v>805</v>
      </c>
      <c r="J1552">
        <v>1</v>
      </c>
      <c r="K1552">
        <v>880.07</v>
      </c>
      <c r="N1552">
        <v>-1</v>
      </c>
      <c r="O1552">
        <v>-880.04</v>
      </c>
      <c r="Y1552">
        <v>0.03</v>
      </c>
      <c r="Z1552" s="3">
        <f t="shared" si="24"/>
        <v>880.04</v>
      </c>
    </row>
    <row r="1553" spans="1:26" hidden="1">
      <c r="A1553" t="s">
        <v>706</v>
      </c>
      <c r="B1553" s="6">
        <v>44287</v>
      </c>
      <c r="C1553" s="6">
        <v>44651</v>
      </c>
      <c r="D1553">
        <v>20210401</v>
      </c>
      <c r="E1553">
        <v>20220331</v>
      </c>
      <c r="F1553" t="s">
        <v>3892</v>
      </c>
      <c r="G1553" t="s">
        <v>3893</v>
      </c>
      <c r="H1553" t="s">
        <v>590</v>
      </c>
      <c r="I1553" t="s">
        <v>1462</v>
      </c>
      <c r="N1553">
        <v>-1</v>
      </c>
      <c r="O1553">
        <v>-170</v>
      </c>
      <c r="P1553">
        <v>1</v>
      </c>
      <c r="Q1553">
        <v>170</v>
      </c>
      <c r="Z1553" s="3" t="e">
        <f t="shared" si="24"/>
        <v>#DIV/0!</v>
      </c>
    </row>
    <row r="1554" spans="1:26" hidden="1">
      <c r="A1554" t="s">
        <v>706</v>
      </c>
      <c r="B1554" s="6">
        <v>44287</v>
      </c>
      <c r="C1554" s="6">
        <v>44651</v>
      </c>
      <c r="D1554">
        <v>20210401</v>
      </c>
      <c r="E1554">
        <v>20220331</v>
      </c>
      <c r="F1554" t="s">
        <v>3894</v>
      </c>
      <c r="G1554" t="s">
        <v>3895</v>
      </c>
      <c r="H1554" t="s">
        <v>590</v>
      </c>
      <c r="I1554" t="s">
        <v>1462</v>
      </c>
      <c r="L1554">
        <v>3</v>
      </c>
      <c r="M1554">
        <v>3900</v>
      </c>
      <c r="N1554">
        <v>-3</v>
      </c>
      <c r="O1554">
        <v>-3900</v>
      </c>
      <c r="Z1554" s="3">
        <f t="shared" si="24"/>
        <v>1300</v>
      </c>
    </row>
    <row r="1555" spans="1:26" hidden="1">
      <c r="A1555" t="s">
        <v>706</v>
      </c>
      <c r="B1555" s="6">
        <v>44287</v>
      </c>
      <c r="C1555" s="6">
        <v>44651</v>
      </c>
      <c r="D1555">
        <v>20210401</v>
      </c>
      <c r="E1555">
        <v>20220331</v>
      </c>
      <c r="F1555" t="s">
        <v>3896</v>
      </c>
      <c r="G1555" t="s">
        <v>3897</v>
      </c>
      <c r="H1555" t="s">
        <v>590</v>
      </c>
      <c r="I1555" t="s">
        <v>1462</v>
      </c>
      <c r="L1555">
        <v>4</v>
      </c>
      <c r="M1555">
        <v>1000</v>
      </c>
      <c r="N1555">
        <v>-4</v>
      </c>
      <c r="O1555">
        <v>-1000</v>
      </c>
      <c r="Z1555" s="3">
        <f t="shared" si="24"/>
        <v>250</v>
      </c>
    </row>
    <row r="1556" spans="1:26" hidden="1">
      <c r="A1556" t="s">
        <v>706</v>
      </c>
      <c r="B1556" s="6">
        <v>44287</v>
      </c>
      <c r="C1556" s="6">
        <v>44651</v>
      </c>
      <c r="D1556">
        <v>20210401</v>
      </c>
      <c r="E1556">
        <v>20220331</v>
      </c>
      <c r="F1556" t="s">
        <v>3898</v>
      </c>
      <c r="G1556" t="s">
        <v>3899</v>
      </c>
      <c r="H1556" t="s">
        <v>590</v>
      </c>
      <c r="I1556" t="s">
        <v>805</v>
      </c>
      <c r="L1556">
        <v>2</v>
      </c>
      <c r="M1556">
        <v>1400</v>
      </c>
      <c r="N1556">
        <v>-2</v>
      </c>
      <c r="O1556">
        <v>-1400</v>
      </c>
      <c r="Z1556" s="3">
        <f t="shared" si="24"/>
        <v>700</v>
      </c>
    </row>
    <row r="1557" spans="1:26" hidden="1">
      <c r="A1557" t="s">
        <v>706</v>
      </c>
      <c r="B1557" s="6">
        <v>44287</v>
      </c>
      <c r="C1557" s="6">
        <v>44651</v>
      </c>
      <c r="D1557">
        <v>20210401</v>
      </c>
      <c r="E1557">
        <v>20220331</v>
      </c>
      <c r="F1557" t="s">
        <v>3900</v>
      </c>
      <c r="G1557" t="s">
        <v>3901</v>
      </c>
      <c r="H1557" t="s">
        <v>590</v>
      </c>
      <c r="I1557" t="s">
        <v>805</v>
      </c>
      <c r="J1557">
        <v>1</v>
      </c>
      <c r="K1557">
        <v>550</v>
      </c>
      <c r="N1557">
        <v>-1</v>
      </c>
      <c r="O1557">
        <v>-550</v>
      </c>
      <c r="Z1557" s="3">
        <f t="shared" si="24"/>
        <v>550</v>
      </c>
    </row>
    <row r="1558" spans="1:26" hidden="1">
      <c r="A1558" t="s">
        <v>706</v>
      </c>
      <c r="B1558" s="6">
        <v>44287</v>
      </c>
      <c r="C1558" s="6">
        <v>44651</v>
      </c>
      <c r="D1558">
        <v>20210401</v>
      </c>
      <c r="E1558">
        <v>20220331</v>
      </c>
      <c r="F1558" t="s">
        <v>3902</v>
      </c>
      <c r="G1558" t="s">
        <v>3903</v>
      </c>
      <c r="H1558" t="s">
        <v>590</v>
      </c>
      <c r="I1558" t="s">
        <v>805</v>
      </c>
      <c r="J1558">
        <v>8</v>
      </c>
      <c r="K1558">
        <v>9396.4500000000007</v>
      </c>
      <c r="L1558">
        <v>83</v>
      </c>
      <c r="M1558">
        <v>99650</v>
      </c>
      <c r="N1558">
        <v>-68</v>
      </c>
      <c r="O1558">
        <v>-79727.77</v>
      </c>
      <c r="X1558">
        <v>23</v>
      </c>
      <c r="Y1558">
        <v>29318.68</v>
      </c>
      <c r="Z1558" s="3">
        <f t="shared" si="24"/>
        <v>1172.467205882353</v>
      </c>
    </row>
    <row r="1559" spans="1:26" hidden="1">
      <c r="A1559" t="s">
        <v>706</v>
      </c>
      <c r="B1559" s="6">
        <v>44287</v>
      </c>
      <c r="C1559" s="6">
        <v>44651</v>
      </c>
      <c r="D1559">
        <v>20210401</v>
      </c>
      <c r="E1559">
        <v>20220331</v>
      </c>
      <c r="F1559" t="s">
        <v>3904</v>
      </c>
      <c r="G1559" t="s">
        <v>3905</v>
      </c>
      <c r="H1559" t="s">
        <v>590</v>
      </c>
      <c r="I1559" t="s">
        <v>805</v>
      </c>
      <c r="J1559">
        <v>2</v>
      </c>
      <c r="K1559">
        <v>1350</v>
      </c>
      <c r="N1559">
        <v>-2</v>
      </c>
      <c r="O1559">
        <v>-1350</v>
      </c>
      <c r="Z1559" s="3">
        <f t="shared" si="24"/>
        <v>675</v>
      </c>
    </row>
    <row r="1560" spans="1:26" hidden="1">
      <c r="A1560" t="s">
        <v>706</v>
      </c>
      <c r="B1560" s="6">
        <v>44287</v>
      </c>
      <c r="C1560" s="6">
        <v>44651</v>
      </c>
      <c r="D1560">
        <v>20210401</v>
      </c>
      <c r="E1560">
        <v>20220331</v>
      </c>
      <c r="F1560" t="s">
        <v>3906</v>
      </c>
      <c r="G1560" t="s">
        <v>3907</v>
      </c>
      <c r="H1560" t="s">
        <v>590</v>
      </c>
      <c r="I1560" t="s">
        <v>805</v>
      </c>
      <c r="K1560">
        <v>0.02</v>
      </c>
      <c r="L1560">
        <v>9</v>
      </c>
      <c r="M1560">
        <v>11250</v>
      </c>
      <c r="N1560">
        <v>-9</v>
      </c>
      <c r="O1560">
        <v>-11250</v>
      </c>
      <c r="Y1560">
        <v>0.02</v>
      </c>
      <c r="Z1560" s="3">
        <f t="shared" si="24"/>
        <v>1250</v>
      </c>
    </row>
    <row r="1561" spans="1:26" hidden="1">
      <c r="A1561" t="s">
        <v>706</v>
      </c>
      <c r="B1561" s="6">
        <v>44287</v>
      </c>
      <c r="C1561" s="6">
        <v>44651</v>
      </c>
      <c r="D1561">
        <v>20210401</v>
      </c>
      <c r="E1561">
        <v>20220331</v>
      </c>
      <c r="F1561" t="s">
        <v>3908</v>
      </c>
      <c r="G1561" t="s">
        <v>3909</v>
      </c>
      <c r="H1561" t="s">
        <v>590</v>
      </c>
      <c r="I1561" t="s">
        <v>805</v>
      </c>
      <c r="J1561">
        <v>48</v>
      </c>
      <c r="K1561">
        <v>6871.62</v>
      </c>
      <c r="L1561">
        <v>919</v>
      </c>
      <c r="M1561">
        <v>32165</v>
      </c>
      <c r="N1561">
        <v>-967</v>
      </c>
      <c r="O1561">
        <v>-39036.68</v>
      </c>
      <c r="Y1561">
        <v>-0.06</v>
      </c>
      <c r="Z1561" s="3">
        <f t="shared" si="24"/>
        <v>40.368852119958632</v>
      </c>
    </row>
    <row r="1562" spans="1:26" hidden="1">
      <c r="A1562" t="s">
        <v>706</v>
      </c>
      <c r="B1562" s="6">
        <v>44287</v>
      </c>
      <c r="C1562" s="6">
        <v>44651</v>
      </c>
      <c r="D1562">
        <v>20210401</v>
      </c>
      <c r="E1562">
        <v>20220331</v>
      </c>
      <c r="F1562" t="s">
        <v>3910</v>
      </c>
      <c r="G1562" t="s">
        <v>3911</v>
      </c>
      <c r="H1562" t="s">
        <v>590</v>
      </c>
      <c r="I1562" t="s">
        <v>1462</v>
      </c>
      <c r="L1562">
        <v>250</v>
      </c>
      <c r="M1562">
        <v>1500</v>
      </c>
      <c r="N1562">
        <v>-250</v>
      </c>
      <c r="O1562">
        <v>-1500</v>
      </c>
      <c r="Z1562" s="3">
        <f t="shared" si="24"/>
        <v>6</v>
      </c>
    </row>
    <row r="1563" spans="1:26" hidden="1">
      <c r="A1563" t="s">
        <v>706</v>
      </c>
      <c r="B1563" s="6">
        <v>44287</v>
      </c>
      <c r="C1563" s="6">
        <v>44651</v>
      </c>
      <c r="D1563">
        <v>20210401</v>
      </c>
      <c r="E1563">
        <v>20220331</v>
      </c>
      <c r="F1563" t="s">
        <v>3912</v>
      </c>
      <c r="G1563" t="s">
        <v>3913</v>
      </c>
      <c r="H1563" t="s">
        <v>590</v>
      </c>
      <c r="I1563" t="s">
        <v>1462</v>
      </c>
      <c r="J1563">
        <v>10</v>
      </c>
      <c r="K1563">
        <v>4000</v>
      </c>
      <c r="L1563">
        <v>16</v>
      </c>
      <c r="M1563">
        <v>6400</v>
      </c>
      <c r="N1563">
        <v>-26</v>
      </c>
      <c r="O1563">
        <v>-10400</v>
      </c>
      <c r="Z1563" s="3">
        <f t="shared" si="24"/>
        <v>400</v>
      </c>
    </row>
    <row r="1564" spans="1:26" hidden="1">
      <c r="A1564" t="s">
        <v>706</v>
      </c>
      <c r="B1564" s="6">
        <v>44287</v>
      </c>
      <c r="C1564" s="6">
        <v>44651</v>
      </c>
      <c r="D1564">
        <v>20210401</v>
      </c>
      <c r="E1564">
        <v>20220331</v>
      </c>
      <c r="F1564" t="s">
        <v>3914</v>
      </c>
      <c r="G1564" t="s">
        <v>3915</v>
      </c>
      <c r="H1564" t="s">
        <v>3847</v>
      </c>
      <c r="I1564" t="s">
        <v>1462</v>
      </c>
      <c r="L1564">
        <v>4</v>
      </c>
      <c r="M1564">
        <v>5000</v>
      </c>
      <c r="N1564">
        <v>-4</v>
      </c>
      <c r="O1564">
        <v>-5000</v>
      </c>
      <c r="Z1564" s="3">
        <f t="shared" si="24"/>
        <v>1250</v>
      </c>
    </row>
    <row r="1565" spans="1:26" hidden="1">
      <c r="A1565" t="s">
        <v>706</v>
      </c>
      <c r="B1565" s="6">
        <v>44287</v>
      </c>
      <c r="C1565" s="6">
        <v>44651</v>
      </c>
      <c r="D1565">
        <v>20210401</v>
      </c>
      <c r="E1565">
        <v>20220331</v>
      </c>
      <c r="F1565" t="s">
        <v>3916</v>
      </c>
      <c r="G1565" t="s">
        <v>3917</v>
      </c>
      <c r="H1565" t="s">
        <v>590</v>
      </c>
      <c r="I1565" t="s">
        <v>1462</v>
      </c>
      <c r="J1565">
        <v>1</v>
      </c>
      <c r="K1565">
        <v>100</v>
      </c>
      <c r="L1565">
        <v>3</v>
      </c>
      <c r="M1565">
        <v>60442.37</v>
      </c>
      <c r="N1565">
        <v>-4</v>
      </c>
      <c r="O1565">
        <v>-60542.37</v>
      </c>
      <c r="Z1565" s="3">
        <f t="shared" si="24"/>
        <v>15135.592500000001</v>
      </c>
    </row>
    <row r="1566" spans="1:26" hidden="1">
      <c r="A1566" t="s">
        <v>706</v>
      </c>
      <c r="B1566" s="6">
        <v>44287</v>
      </c>
      <c r="C1566" s="6">
        <v>44651</v>
      </c>
      <c r="D1566">
        <v>20210401</v>
      </c>
      <c r="E1566">
        <v>20220331</v>
      </c>
      <c r="F1566" t="s">
        <v>3918</v>
      </c>
      <c r="G1566" t="s">
        <v>3919</v>
      </c>
      <c r="H1566" t="s">
        <v>613</v>
      </c>
      <c r="I1566" t="s">
        <v>805</v>
      </c>
      <c r="J1566">
        <v>186</v>
      </c>
      <c r="K1566">
        <v>7253.32</v>
      </c>
      <c r="L1566">
        <v>2400</v>
      </c>
      <c r="M1566">
        <v>93600</v>
      </c>
      <c r="N1566">
        <v>-2481.5</v>
      </c>
      <c r="O1566">
        <v>-96778.5</v>
      </c>
      <c r="P1566">
        <v>20</v>
      </c>
      <c r="Q1566">
        <v>780</v>
      </c>
      <c r="X1566">
        <v>124.5</v>
      </c>
      <c r="Y1566">
        <v>4854.82</v>
      </c>
      <c r="Z1566" s="3">
        <f t="shared" si="24"/>
        <v>39</v>
      </c>
    </row>
    <row r="1567" spans="1:26" hidden="1">
      <c r="A1567" t="s">
        <v>706</v>
      </c>
      <c r="B1567" s="6">
        <v>44287</v>
      </c>
      <c r="C1567" s="6">
        <v>44651</v>
      </c>
      <c r="D1567">
        <v>20210401</v>
      </c>
      <c r="E1567">
        <v>20220331</v>
      </c>
      <c r="F1567" t="s">
        <v>3920</v>
      </c>
      <c r="G1567" t="s">
        <v>3921</v>
      </c>
      <c r="H1567" t="s">
        <v>2073</v>
      </c>
      <c r="I1567" t="s">
        <v>1462</v>
      </c>
      <c r="L1567">
        <v>2100</v>
      </c>
      <c r="M1567">
        <v>138720</v>
      </c>
      <c r="N1567">
        <v>-1850</v>
      </c>
      <c r="O1567">
        <v>-124310.87</v>
      </c>
      <c r="X1567">
        <v>250</v>
      </c>
      <c r="Y1567">
        <v>14409.13</v>
      </c>
      <c r="Z1567" s="3">
        <f t="shared" si="24"/>
        <v>67.195064864864861</v>
      </c>
    </row>
    <row r="1568" spans="1:26" hidden="1">
      <c r="A1568" t="s">
        <v>706</v>
      </c>
      <c r="B1568" s="6">
        <v>44287</v>
      </c>
      <c r="C1568" s="6">
        <v>44651</v>
      </c>
      <c r="D1568">
        <v>20210401</v>
      </c>
      <c r="E1568">
        <v>20220331</v>
      </c>
      <c r="F1568" t="s">
        <v>3922</v>
      </c>
      <c r="G1568" t="s">
        <v>3923</v>
      </c>
      <c r="H1568" t="s">
        <v>590</v>
      </c>
      <c r="I1568" t="s">
        <v>1462</v>
      </c>
      <c r="L1568">
        <v>3</v>
      </c>
      <c r="M1568">
        <v>14400</v>
      </c>
      <c r="N1568">
        <v>-2</v>
      </c>
      <c r="O1568">
        <v>-9400</v>
      </c>
      <c r="P1568">
        <v>1</v>
      </c>
      <c r="Q1568">
        <v>4600</v>
      </c>
      <c r="X1568">
        <v>2</v>
      </c>
      <c r="Y1568">
        <v>9600</v>
      </c>
      <c r="Z1568" s="3">
        <f t="shared" si="24"/>
        <v>4800</v>
      </c>
    </row>
    <row r="1569" spans="1:26" hidden="1">
      <c r="A1569" t="s">
        <v>706</v>
      </c>
      <c r="B1569" s="6">
        <v>44287</v>
      </c>
      <c r="C1569" s="6">
        <v>44651</v>
      </c>
      <c r="D1569">
        <v>20210401</v>
      </c>
      <c r="E1569">
        <v>20220331</v>
      </c>
      <c r="F1569" t="s">
        <v>3924</v>
      </c>
      <c r="G1569" t="s">
        <v>3925</v>
      </c>
      <c r="H1569" t="s">
        <v>590</v>
      </c>
      <c r="I1569" t="s">
        <v>805</v>
      </c>
      <c r="L1569">
        <v>2</v>
      </c>
      <c r="M1569">
        <v>1800</v>
      </c>
      <c r="N1569">
        <v>-2</v>
      </c>
      <c r="O1569">
        <v>-1800</v>
      </c>
      <c r="Z1569" s="3">
        <f t="shared" si="24"/>
        <v>900</v>
      </c>
    </row>
    <row r="1570" spans="1:26" hidden="1">
      <c r="A1570" t="s">
        <v>706</v>
      </c>
      <c r="B1570" s="6">
        <v>44287</v>
      </c>
      <c r="C1570" s="6">
        <v>44651</v>
      </c>
      <c r="D1570">
        <v>20210401</v>
      </c>
      <c r="E1570">
        <v>20220331</v>
      </c>
      <c r="F1570" t="s">
        <v>3926</v>
      </c>
      <c r="G1570" t="s">
        <v>3927</v>
      </c>
      <c r="H1570" t="s">
        <v>590</v>
      </c>
      <c r="I1570" t="s">
        <v>805</v>
      </c>
      <c r="L1570">
        <v>4</v>
      </c>
      <c r="M1570">
        <v>320</v>
      </c>
      <c r="N1570">
        <v>-4</v>
      </c>
      <c r="O1570">
        <v>-320</v>
      </c>
      <c r="Z1570" s="3">
        <f t="shared" si="24"/>
        <v>80</v>
      </c>
    </row>
    <row r="1571" spans="1:26" hidden="1">
      <c r="A1571" t="s">
        <v>706</v>
      </c>
      <c r="B1571" s="6">
        <v>44287</v>
      </c>
      <c r="C1571" s="6">
        <v>44651</v>
      </c>
      <c r="D1571">
        <v>20210401</v>
      </c>
      <c r="E1571">
        <v>20220331</v>
      </c>
      <c r="F1571" t="s">
        <v>3928</v>
      </c>
      <c r="G1571" t="s">
        <v>3929</v>
      </c>
      <c r="H1571" t="s">
        <v>590</v>
      </c>
      <c r="I1571" t="s">
        <v>1462</v>
      </c>
      <c r="L1571">
        <v>10</v>
      </c>
      <c r="M1571">
        <v>4000</v>
      </c>
      <c r="N1571">
        <v>-10</v>
      </c>
      <c r="O1571">
        <v>-4000</v>
      </c>
      <c r="Z1571" s="3">
        <f t="shared" si="24"/>
        <v>400</v>
      </c>
    </row>
    <row r="1572" spans="1:26" hidden="1">
      <c r="A1572" t="s">
        <v>706</v>
      </c>
      <c r="B1572" s="6">
        <v>44287</v>
      </c>
      <c r="C1572" s="6">
        <v>44651</v>
      </c>
      <c r="D1572">
        <v>20210401</v>
      </c>
      <c r="E1572">
        <v>20220331</v>
      </c>
      <c r="F1572" t="s">
        <v>3930</v>
      </c>
      <c r="G1572" t="s">
        <v>3931</v>
      </c>
      <c r="H1572" t="s">
        <v>590</v>
      </c>
      <c r="I1572" t="s">
        <v>1462</v>
      </c>
      <c r="L1572">
        <v>10</v>
      </c>
      <c r="M1572">
        <v>450</v>
      </c>
      <c r="N1572">
        <v>-10</v>
      </c>
      <c r="O1572">
        <v>-450</v>
      </c>
      <c r="Z1572" s="3">
        <f t="shared" si="24"/>
        <v>45</v>
      </c>
    </row>
    <row r="1573" spans="1:26" hidden="1">
      <c r="A1573" t="s">
        <v>706</v>
      </c>
      <c r="B1573" s="6">
        <v>44287</v>
      </c>
      <c r="C1573" s="6">
        <v>44651</v>
      </c>
      <c r="D1573">
        <v>20210401</v>
      </c>
      <c r="E1573">
        <v>20220331</v>
      </c>
      <c r="F1573" t="s">
        <v>3932</v>
      </c>
      <c r="G1573" t="s">
        <v>3933</v>
      </c>
      <c r="H1573" t="s">
        <v>590</v>
      </c>
      <c r="I1573" t="s">
        <v>1462</v>
      </c>
      <c r="L1573">
        <v>1</v>
      </c>
      <c r="M1573">
        <v>97</v>
      </c>
      <c r="N1573">
        <v>-1</v>
      </c>
      <c r="O1573">
        <v>-97</v>
      </c>
      <c r="Z1573" s="3">
        <f t="shared" si="24"/>
        <v>97</v>
      </c>
    </row>
    <row r="1574" spans="1:26" hidden="1">
      <c r="A1574" t="s">
        <v>706</v>
      </c>
      <c r="B1574" s="6">
        <v>44287</v>
      </c>
      <c r="C1574" s="6">
        <v>44651</v>
      </c>
      <c r="D1574">
        <v>20210401</v>
      </c>
      <c r="E1574">
        <v>20220331</v>
      </c>
      <c r="F1574" t="s">
        <v>3934</v>
      </c>
      <c r="G1574" t="s">
        <v>3935</v>
      </c>
      <c r="H1574" t="s">
        <v>590</v>
      </c>
      <c r="I1574" t="s">
        <v>1462</v>
      </c>
      <c r="J1574">
        <v>1</v>
      </c>
      <c r="K1574">
        <v>1200</v>
      </c>
      <c r="N1574">
        <v>-1</v>
      </c>
      <c r="O1574">
        <v>-1200</v>
      </c>
      <c r="Z1574" s="3">
        <f t="shared" si="24"/>
        <v>1200</v>
      </c>
    </row>
    <row r="1575" spans="1:26" hidden="1">
      <c r="A1575" t="s">
        <v>706</v>
      </c>
      <c r="B1575" s="6">
        <v>44287</v>
      </c>
      <c r="C1575" s="6">
        <v>44651</v>
      </c>
      <c r="D1575">
        <v>20210401</v>
      </c>
      <c r="E1575">
        <v>20220331</v>
      </c>
      <c r="F1575" t="s">
        <v>3936</v>
      </c>
      <c r="G1575" t="s">
        <v>3937</v>
      </c>
      <c r="H1575" t="s">
        <v>590</v>
      </c>
      <c r="I1575" t="s">
        <v>1462</v>
      </c>
      <c r="N1575">
        <v>-1</v>
      </c>
      <c r="O1575">
        <v>-239</v>
      </c>
      <c r="P1575">
        <v>1</v>
      </c>
      <c r="Q1575">
        <v>239</v>
      </c>
      <c r="Z1575" s="3" t="e">
        <f t="shared" si="24"/>
        <v>#DIV/0!</v>
      </c>
    </row>
    <row r="1576" spans="1:26" hidden="1">
      <c r="A1576" t="s">
        <v>706</v>
      </c>
      <c r="B1576" s="6">
        <v>44287</v>
      </c>
      <c r="C1576" s="6">
        <v>44651</v>
      </c>
      <c r="D1576">
        <v>20210401</v>
      </c>
      <c r="E1576">
        <v>20220331</v>
      </c>
      <c r="F1576" t="s">
        <v>3938</v>
      </c>
      <c r="G1576" t="s">
        <v>3939</v>
      </c>
      <c r="H1576" t="s">
        <v>590</v>
      </c>
      <c r="I1576" t="s">
        <v>1462</v>
      </c>
      <c r="L1576">
        <v>100</v>
      </c>
      <c r="M1576">
        <v>1800</v>
      </c>
      <c r="N1576">
        <v>-100</v>
      </c>
      <c r="O1576">
        <v>-1800</v>
      </c>
      <c r="Z1576" s="3">
        <f t="shared" si="24"/>
        <v>18</v>
      </c>
    </row>
    <row r="1577" spans="1:26" hidden="1">
      <c r="A1577" t="s">
        <v>706</v>
      </c>
      <c r="B1577" s="6">
        <v>44287</v>
      </c>
      <c r="C1577" s="6">
        <v>44651</v>
      </c>
      <c r="D1577">
        <v>20210401</v>
      </c>
      <c r="E1577">
        <v>20220331</v>
      </c>
      <c r="F1577" t="s">
        <v>3940</v>
      </c>
      <c r="G1577" t="s">
        <v>3941</v>
      </c>
      <c r="H1577" t="s">
        <v>613</v>
      </c>
      <c r="I1577" t="s">
        <v>1462</v>
      </c>
      <c r="L1577">
        <v>2</v>
      </c>
      <c r="M1577">
        <v>500</v>
      </c>
      <c r="N1577">
        <v>-2</v>
      </c>
      <c r="O1577">
        <v>-500</v>
      </c>
      <c r="Z1577" s="3">
        <f t="shared" si="24"/>
        <v>250</v>
      </c>
    </row>
    <row r="1578" spans="1:26" hidden="1">
      <c r="A1578" t="s">
        <v>706</v>
      </c>
      <c r="B1578" s="6">
        <v>44287</v>
      </c>
      <c r="C1578" s="6">
        <v>44651</v>
      </c>
      <c r="D1578">
        <v>20210401</v>
      </c>
      <c r="E1578">
        <v>20220331</v>
      </c>
      <c r="F1578" t="s">
        <v>3942</v>
      </c>
      <c r="G1578" t="s">
        <v>3943</v>
      </c>
      <c r="H1578" t="s">
        <v>613</v>
      </c>
      <c r="I1578" t="s">
        <v>1462</v>
      </c>
      <c r="K1578">
        <v>0.01</v>
      </c>
      <c r="Y1578">
        <v>0.01</v>
      </c>
      <c r="Z1578" s="3" t="e">
        <f t="shared" si="24"/>
        <v>#DIV/0!</v>
      </c>
    </row>
    <row r="1579" spans="1:26" hidden="1">
      <c r="A1579" t="s">
        <v>706</v>
      </c>
      <c r="B1579" s="6">
        <v>44287</v>
      </c>
      <c r="C1579" s="6">
        <v>44651</v>
      </c>
      <c r="D1579">
        <v>20210401</v>
      </c>
      <c r="E1579">
        <v>20220331</v>
      </c>
      <c r="F1579" t="s">
        <v>3944</v>
      </c>
      <c r="G1579" t="s">
        <v>3945</v>
      </c>
      <c r="H1579" t="s">
        <v>590</v>
      </c>
      <c r="I1579" t="s">
        <v>1462</v>
      </c>
      <c r="L1579">
        <v>6</v>
      </c>
      <c r="M1579">
        <v>5252</v>
      </c>
      <c r="N1579">
        <v>-6</v>
      </c>
      <c r="O1579">
        <v>-5252</v>
      </c>
      <c r="Z1579" s="3">
        <f t="shared" si="24"/>
        <v>875.33333333333337</v>
      </c>
    </row>
    <row r="1580" spans="1:26" hidden="1">
      <c r="A1580" t="s">
        <v>706</v>
      </c>
      <c r="B1580" s="6">
        <v>44287</v>
      </c>
      <c r="C1580" s="6">
        <v>44651</v>
      </c>
      <c r="D1580">
        <v>20210401</v>
      </c>
      <c r="E1580">
        <v>20220331</v>
      </c>
      <c r="F1580" t="s">
        <v>3946</v>
      </c>
      <c r="G1580" t="s">
        <v>3947</v>
      </c>
      <c r="H1580" t="s">
        <v>590</v>
      </c>
      <c r="I1580" t="s">
        <v>1462</v>
      </c>
      <c r="L1580">
        <v>1</v>
      </c>
      <c r="M1580">
        <v>1800</v>
      </c>
      <c r="N1580">
        <v>-1</v>
      </c>
      <c r="O1580">
        <v>-1800</v>
      </c>
      <c r="Z1580" s="3">
        <f t="shared" si="24"/>
        <v>1800</v>
      </c>
    </row>
    <row r="1581" spans="1:26" hidden="1">
      <c r="A1581" t="s">
        <v>706</v>
      </c>
      <c r="B1581" s="6">
        <v>44287</v>
      </c>
      <c r="C1581" s="6">
        <v>44651</v>
      </c>
      <c r="D1581">
        <v>20210401</v>
      </c>
      <c r="E1581">
        <v>20220331</v>
      </c>
      <c r="F1581" t="s">
        <v>3948</v>
      </c>
      <c r="G1581" t="s">
        <v>3949</v>
      </c>
      <c r="H1581" t="s">
        <v>590</v>
      </c>
      <c r="I1581" t="s">
        <v>1462</v>
      </c>
      <c r="N1581">
        <v>-1</v>
      </c>
      <c r="O1581">
        <v>-30815</v>
      </c>
      <c r="P1581">
        <v>1</v>
      </c>
      <c r="Q1581">
        <v>30815</v>
      </c>
      <c r="Z1581" s="3" t="e">
        <f t="shared" si="24"/>
        <v>#DIV/0!</v>
      </c>
    </row>
    <row r="1582" spans="1:26" hidden="1">
      <c r="A1582" t="s">
        <v>706</v>
      </c>
      <c r="B1582" s="6">
        <v>44287</v>
      </c>
      <c r="C1582" s="6">
        <v>44651</v>
      </c>
      <c r="D1582">
        <v>20210401</v>
      </c>
      <c r="E1582">
        <v>20220331</v>
      </c>
      <c r="F1582" t="s">
        <v>3950</v>
      </c>
      <c r="G1582" t="s">
        <v>3951</v>
      </c>
      <c r="H1582" t="s">
        <v>590</v>
      </c>
      <c r="I1582" t="s">
        <v>1462</v>
      </c>
      <c r="L1582">
        <v>110</v>
      </c>
      <c r="M1582">
        <v>1166</v>
      </c>
      <c r="N1582">
        <v>-110</v>
      </c>
      <c r="O1582">
        <v>-1166</v>
      </c>
      <c r="Z1582" s="3">
        <f t="shared" si="24"/>
        <v>10.6</v>
      </c>
    </row>
    <row r="1583" spans="1:26" hidden="1">
      <c r="A1583" t="s">
        <v>706</v>
      </c>
      <c r="B1583" s="6">
        <v>44287</v>
      </c>
      <c r="C1583" s="6">
        <v>44651</v>
      </c>
      <c r="D1583">
        <v>20210401</v>
      </c>
      <c r="E1583">
        <v>20220331</v>
      </c>
      <c r="F1583" t="s">
        <v>3952</v>
      </c>
      <c r="G1583" t="s">
        <v>3953</v>
      </c>
      <c r="H1583" t="s">
        <v>590</v>
      </c>
      <c r="I1583" t="s">
        <v>1462</v>
      </c>
      <c r="K1583">
        <v>0.01</v>
      </c>
      <c r="L1583">
        <v>48</v>
      </c>
      <c r="M1583">
        <v>2880</v>
      </c>
      <c r="N1583">
        <v>-48</v>
      </c>
      <c r="O1583">
        <v>-2880</v>
      </c>
      <c r="Y1583">
        <v>0.01</v>
      </c>
      <c r="Z1583" s="3">
        <f t="shared" si="24"/>
        <v>60</v>
      </c>
    </row>
    <row r="1584" spans="1:26" hidden="1">
      <c r="A1584" t="s">
        <v>706</v>
      </c>
      <c r="B1584" s="6">
        <v>44287</v>
      </c>
      <c r="C1584" s="6">
        <v>44651</v>
      </c>
      <c r="D1584">
        <v>20210401</v>
      </c>
      <c r="E1584">
        <v>20220331</v>
      </c>
      <c r="F1584" t="s">
        <v>3954</v>
      </c>
      <c r="G1584" t="s">
        <v>3955</v>
      </c>
      <c r="H1584" t="s">
        <v>590</v>
      </c>
      <c r="I1584" t="s">
        <v>1462</v>
      </c>
      <c r="L1584">
        <v>1</v>
      </c>
      <c r="M1584">
        <v>2758.38</v>
      </c>
      <c r="N1584">
        <v>-1</v>
      </c>
      <c r="O1584">
        <v>-2758.38</v>
      </c>
      <c r="Z1584" s="3">
        <f t="shared" si="24"/>
        <v>2758.38</v>
      </c>
    </row>
    <row r="1585" spans="1:26" hidden="1">
      <c r="A1585" t="s">
        <v>706</v>
      </c>
      <c r="B1585" s="6">
        <v>44287</v>
      </c>
      <c r="C1585" s="6">
        <v>44651</v>
      </c>
      <c r="D1585">
        <v>20210401</v>
      </c>
      <c r="E1585">
        <v>20220331</v>
      </c>
      <c r="F1585" t="s">
        <v>3956</v>
      </c>
      <c r="G1585" t="s">
        <v>3957</v>
      </c>
      <c r="H1585" t="s">
        <v>613</v>
      </c>
      <c r="I1585" t="s">
        <v>875</v>
      </c>
      <c r="J1585">
        <v>5</v>
      </c>
      <c r="K1585">
        <v>625</v>
      </c>
      <c r="L1585">
        <v>5</v>
      </c>
      <c r="M1585">
        <v>625</v>
      </c>
      <c r="N1585">
        <v>-10</v>
      </c>
      <c r="O1585">
        <v>-1250</v>
      </c>
      <c r="Z1585" s="3">
        <f t="shared" si="24"/>
        <v>125</v>
      </c>
    </row>
    <row r="1586" spans="1:26" hidden="1">
      <c r="A1586" t="s">
        <v>706</v>
      </c>
      <c r="B1586" s="6">
        <v>44287</v>
      </c>
      <c r="C1586" s="6">
        <v>44651</v>
      </c>
      <c r="D1586">
        <v>20210401</v>
      </c>
      <c r="E1586">
        <v>20220331</v>
      </c>
      <c r="F1586" t="s">
        <v>3958</v>
      </c>
      <c r="G1586" t="s">
        <v>3959</v>
      </c>
      <c r="H1586" t="s">
        <v>590</v>
      </c>
      <c r="I1586" t="s">
        <v>1462</v>
      </c>
      <c r="L1586">
        <v>1</v>
      </c>
      <c r="M1586">
        <v>1900</v>
      </c>
      <c r="N1586">
        <v>-1</v>
      </c>
      <c r="O1586">
        <v>-1900</v>
      </c>
      <c r="Z1586" s="3">
        <f t="shared" si="24"/>
        <v>1900</v>
      </c>
    </row>
    <row r="1587" spans="1:26" hidden="1">
      <c r="A1587" t="s">
        <v>706</v>
      </c>
      <c r="B1587" s="6">
        <v>44287</v>
      </c>
      <c r="C1587" s="6">
        <v>44651</v>
      </c>
      <c r="D1587">
        <v>20210401</v>
      </c>
      <c r="E1587">
        <v>20220331</v>
      </c>
      <c r="F1587" t="s">
        <v>3960</v>
      </c>
      <c r="G1587" t="s">
        <v>3961</v>
      </c>
      <c r="H1587" t="s">
        <v>590</v>
      </c>
      <c r="I1587" t="s">
        <v>1462</v>
      </c>
      <c r="L1587">
        <v>2</v>
      </c>
      <c r="M1587">
        <v>1668.42</v>
      </c>
      <c r="N1587">
        <v>-2</v>
      </c>
      <c r="O1587">
        <v>-1668.42</v>
      </c>
      <c r="Z1587" s="3">
        <f t="shared" si="24"/>
        <v>834.21</v>
      </c>
    </row>
    <row r="1588" spans="1:26" hidden="1">
      <c r="A1588" t="s">
        <v>706</v>
      </c>
      <c r="B1588" s="6">
        <v>44287</v>
      </c>
      <c r="C1588" s="6">
        <v>44651</v>
      </c>
      <c r="D1588">
        <v>20210401</v>
      </c>
      <c r="E1588">
        <v>20220331</v>
      </c>
      <c r="F1588" t="s">
        <v>3962</v>
      </c>
      <c r="G1588" t="s">
        <v>3963</v>
      </c>
      <c r="H1588" t="s">
        <v>590</v>
      </c>
      <c r="I1588" t="s">
        <v>1462</v>
      </c>
      <c r="L1588">
        <v>10</v>
      </c>
      <c r="M1588">
        <v>1572.5</v>
      </c>
      <c r="N1588">
        <v>-10</v>
      </c>
      <c r="O1588">
        <v>-1572.5</v>
      </c>
      <c r="Z1588" s="3">
        <f t="shared" si="24"/>
        <v>157.25</v>
      </c>
    </row>
    <row r="1589" spans="1:26" hidden="1">
      <c r="A1589" t="s">
        <v>706</v>
      </c>
      <c r="B1589" s="6">
        <v>44287</v>
      </c>
      <c r="C1589" s="6">
        <v>44651</v>
      </c>
      <c r="D1589">
        <v>20210401</v>
      </c>
      <c r="E1589">
        <v>20220331</v>
      </c>
      <c r="F1589" t="s">
        <v>3964</v>
      </c>
      <c r="G1589" t="s">
        <v>3965</v>
      </c>
      <c r="H1589" t="s">
        <v>590</v>
      </c>
      <c r="I1589" t="s">
        <v>1462</v>
      </c>
      <c r="N1589">
        <v>-3</v>
      </c>
      <c r="O1589">
        <v>-7950</v>
      </c>
      <c r="P1589">
        <v>3</v>
      </c>
      <c r="Q1589">
        <v>7950</v>
      </c>
      <c r="Z1589" s="3" t="e">
        <f t="shared" si="24"/>
        <v>#DIV/0!</v>
      </c>
    </row>
    <row r="1590" spans="1:26" hidden="1">
      <c r="A1590" t="s">
        <v>706</v>
      </c>
      <c r="B1590" s="6">
        <v>44287</v>
      </c>
      <c r="C1590" s="6">
        <v>44651</v>
      </c>
      <c r="D1590">
        <v>20210401</v>
      </c>
      <c r="E1590">
        <v>20220331</v>
      </c>
      <c r="F1590" t="s">
        <v>3966</v>
      </c>
      <c r="G1590" t="s">
        <v>3967</v>
      </c>
      <c r="H1590" t="s">
        <v>590</v>
      </c>
      <c r="I1590" t="s">
        <v>1462</v>
      </c>
      <c r="L1590">
        <v>50</v>
      </c>
      <c r="M1590">
        <v>925</v>
      </c>
      <c r="N1590">
        <v>-50</v>
      </c>
      <c r="O1590">
        <v>-925</v>
      </c>
      <c r="Z1590" s="3">
        <f t="shared" si="24"/>
        <v>18.5</v>
      </c>
    </row>
    <row r="1591" spans="1:26" hidden="1">
      <c r="A1591" t="s">
        <v>706</v>
      </c>
      <c r="B1591" s="6">
        <v>44287</v>
      </c>
      <c r="C1591" s="6">
        <v>44651</v>
      </c>
      <c r="D1591">
        <v>20210401</v>
      </c>
      <c r="E1591">
        <v>20220331</v>
      </c>
      <c r="F1591" t="s">
        <v>3968</v>
      </c>
      <c r="G1591" t="s">
        <v>3969</v>
      </c>
      <c r="H1591" t="s">
        <v>590</v>
      </c>
      <c r="I1591" t="s">
        <v>1462</v>
      </c>
      <c r="L1591">
        <v>5</v>
      </c>
      <c r="M1591">
        <v>2750</v>
      </c>
      <c r="N1591">
        <v>-5</v>
      </c>
      <c r="O1591">
        <v>-2750</v>
      </c>
      <c r="Z1591" s="3">
        <f t="shared" si="24"/>
        <v>550</v>
      </c>
    </row>
    <row r="1592" spans="1:26" hidden="1">
      <c r="A1592" t="s">
        <v>706</v>
      </c>
      <c r="B1592" s="6">
        <v>44287</v>
      </c>
      <c r="C1592" s="6">
        <v>44651</v>
      </c>
      <c r="D1592">
        <v>20210401</v>
      </c>
      <c r="E1592">
        <v>20220331</v>
      </c>
      <c r="F1592" t="s">
        <v>3970</v>
      </c>
      <c r="G1592" t="s">
        <v>3971</v>
      </c>
      <c r="H1592" t="s">
        <v>590</v>
      </c>
      <c r="I1592" t="s">
        <v>1462</v>
      </c>
      <c r="L1592">
        <v>30</v>
      </c>
      <c r="M1592">
        <v>405</v>
      </c>
      <c r="N1592">
        <v>-30</v>
      </c>
      <c r="O1592">
        <v>-405</v>
      </c>
      <c r="Z1592" s="3">
        <f t="shared" si="24"/>
        <v>13.5</v>
      </c>
    </row>
    <row r="1593" spans="1:26" hidden="1">
      <c r="A1593" t="s">
        <v>706</v>
      </c>
      <c r="B1593" s="6">
        <v>44287</v>
      </c>
      <c r="C1593" s="6">
        <v>44651</v>
      </c>
      <c r="D1593">
        <v>20210401</v>
      </c>
      <c r="E1593">
        <v>20220331</v>
      </c>
      <c r="F1593" t="s">
        <v>3972</v>
      </c>
      <c r="G1593" t="s">
        <v>3973</v>
      </c>
      <c r="H1593" t="s">
        <v>590</v>
      </c>
      <c r="I1593" t="s">
        <v>1462</v>
      </c>
      <c r="L1593">
        <v>100</v>
      </c>
      <c r="M1593">
        <v>10500</v>
      </c>
      <c r="N1593">
        <v>-100</v>
      </c>
      <c r="O1593">
        <v>-10500</v>
      </c>
      <c r="Z1593" s="3">
        <f t="shared" si="24"/>
        <v>105</v>
      </c>
    </row>
    <row r="1594" spans="1:26" hidden="1">
      <c r="A1594" t="s">
        <v>706</v>
      </c>
      <c r="B1594" s="6">
        <v>44287</v>
      </c>
      <c r="C1594" s="6">
        <v>44651</v>
      </c>
      <c r="D1594">
        <v>20210401</v>
      </c>
      <c r="E1594">
        <v>20220331</v>
      </c>
      <c r="F1594" t="s">
        <v>3974</v>
      </c>
      <c r="G1594" t="s">
        <v>3975</v>
      </c>
      <c r="H1594" t="s">
        <v>590</v>
      </c>
      <c r="I1594" t="s">
        <v>805</v>
      </c>
      <c r="L1594">
        <v>4</v>
      </c>
      <c r="M1594">
        <v>260</v>
      </c>
      <c r="N1594">
        <v>-4</v>
      </c>
      <c r="O1594">
        <v>-260</v>
      </c>
      <c r="Z1594" s="3">
        <f t="shared" si="24"/>
        <v>65</v>
      </c>
    </row>
    <row r="1595" spans="1:26" hidden="1">
      <c r="A1595" t="s">
        <v>706</v>
      </c>
      <c r="B1595" s="6">
        <v>44287</v>
      </c>
      <c r="C1595" s="6">
        <v>44651</v>
      </c>
      <c r="D1595">
        <v>20210401</v>
      </c>
      <c r="E1595">
        <v>20220331</v>
      </c>
      <c r="F1595" t="s">
        <v>3976</v>
      </c>
      <c r="G1595" t="s">
        <v>3977</v>
      </c>
      <c r="H1595" t="s">
        <v>590</v>
      </c>
      <c r="I1595" t="s">
        <v>1462</v>
      </c>
      <c r="L1595">
        <v>75</v>
      </c>
      <c r="M1595">
        <v>900</v>
      </c>
      <c r="N1595">
        <v>-75</v>
      </c>
      <c r="O1595">
        <v>-900</v>
      </c>
      <c r="Z1595" s="3">
        <f t="shared" si="24"/>
        <v>12</v>
      </c>
    </row>
    <row r="1596" spans="1:26" hidden="1">
      <c r="A1596" t="s">
        <v>706</v>
      </c>
      <c r="B1596" s="6">
        <v>44287</v>
      </c>
      <c r="C1596" s="6">
        <v>44651</v>
      </c>
      <c r="D1596">
        <v>20210401</v>
      </c>
      <c r="E1596">
        <v>20220331</v>
      </c>
      <c r="F1596" t="s">
        <v>3978</v>
      </c>
      <c r="G1596" t="s">
        <v>3979</v>
      </c>
      <c r="H1596" t="s">
        <v>590</v>
      </c>
      <c r="I1596" t="s">
        <v>805</v>
      </c>
      <c r="J1596">
        <v>3</v>
      </c>
      <c r="K1596">
        <v>659.96</v>
      </c>
      <c r="L1596">
        <v>9</v>
      </c>
      <c r="M1596">
        <v>1890</v>
      </c>
      <c r="N1596">
        <v>-11</v>
      </c>
      <c r="O1596">
        <v>-2319.9899999999998</v>
      </c>
      <c r="X1596">
        <v>1</v>
      </c>
      <c r="Y1596">
        <v>229.97</v>
      </c>
      <c r="Z1596" s="3">
        <f t="shared" si="24"/>
        <v>210.90818181818179</v>
      </c>
    </row>
    <row r="1597" spans="1:26" hidden="1">
      <c r="A1597" t="s">
        <v>706</v>
      </c>
      <c r="B1597" s="6">
        <v>44287</v>
      </c>
      <c r="C1597" s="6">
        <v>44651</v>
      </c>
      <c r="D1597">
        <v>20210401</v>
      </c>
      <c r="E1597">
        <v>20220331</v>
      </c>
      <c r="F1597" t="s">
        <v>3980</v>
      </c>
      <c r="G1597" t="s">
        <v>3981</v>
      </c>
      <c r="H1597" t="s">
        <v>590</v>
      </c>
      <c r="I1597" t="s">
        <v>1462</v>
      </c>
      <c r="L1597">
        <v>2</v>
      </c>
      <c r="M1597">
        <v>482</v>
      </c>
      <c r="N1597">
        <v>-2</v>
      </c>
      <c r="O1597">
        <v>-482</v>
      </c>
      <c r="Z1597" s="3">
        <f t="shared" si="24"/>
        <v>241</v>
      </c>
    </row>
    <row r="1598" spans="1:26" hidden="1">
      <c r="A1598" t="s">
        <v>706</v>
      </c>
      <c r="B1598" s="6">
        <v>44287</v>
      </c>
      <c r="C1598" s="6">
        <v>44651</v>
      </c>
      <c r="D1598">
        <v>20210401</v>
      </c>
      <c r="E1598">
        <v>20220331</v>
      </c>
      <c r="F1598" t="s">
        <v>3982</v>
      </c>
      <c r="G1598" t="s">
        <v>3983</v>
      </c>
      <c r="H1598" t="s">
        <v>590</v>
      </c>
      <c r="I1598" t="s">
        <v>805</v>
      </c>
      <c r="J1598">
        <v>3</v>
      </c>
      <c r="K1598">
        <v>2415</v>
      </c>
      <c r="N1598">
        <v>-3</v>
      </c>
      <c r="O1598">
        <v>-2415</v>
      </c>
      <c r="Z1598" s="3">
        <f t="shared" si="24"/>
        <v>805</v>
      </c>
    </row>
    <row r="1599" spans="1:26" hidden="1">
      <c r="A1599" t="s">
        <v>706</v>
      </c>
      <c r="B1599" s="6">
        <v>44287</v>
      </c>
      <c r="C1599" s="6">
        <v>44651</v>
      </c>
      <c r="D1599">
        <v>20210401</v>
      </c>
      <c r="E1599">
        <v>20220331</v>
      </c>
      <c r="F1599" t="s">
        <v>3984</v>
      </c>
      <c r="G1599" t="s">
        <v>3985</v>
      </c>
      <c r="H1599" t="s">
        <v>590</v>
      </c>
      <c r="I1599" t="s">
        <v>1462</v>
      </c>
      <c r="L1599">
        <v>10</v>
      </c>
      <c r="M1599">
        <v>33750</v>
      </c>
      <c r="N1599">
        <v>-10</v>
      </c>
      <c r="O1599">
        <v>-33750</v>
      </c>
      <c r="Z1599" s="3">
        <f t="shared" si="24"/>
        <v>3375</v>
      </c>
    </row>
    <row r="1600" spans="1:26" hidden="1">
      <c r="A1600" t="s">
        <v>706</v>
      </c>
      <c r="B1600" s="6">
        <v>44287</v>
      </c>
      <c r="C1600" s="6">
        <v>44651</v>
      </c>
      <c r="D1600">
        <v>20210401</v>
      </c>
      <c r="E1600">
        <v>20220331</v>
      </c>
      <c r="F1600" t="s">
        <v>3986</v>
      </c>
      <c r="G1600" t="s">
        <v>3987</v>
      </c>
      <c r="H1600" t="s">
        <v>590</v>
      </c>
      <c r="I1600" t="s">
        <v>1462</v>
      </c>
      <c r="L1600">
        <v>3</v>
      </c>
      <c r="M1600">
        <v>10991.67</v>
      </c>
      <c r="N1600">
        <v>-3</v>
      </c>
      <c r="O1600">
        <v>-10991.67</v>
      </c>
      <c r="Z1600" s="3">
        <f t="shared" si="24"/>
        <v>3663.89</v>
      </c>
    </row>
    <row r="1601" spans="1:26" hidden="1">
      <c r="A1601" t="s">
        <v>706</v>
      </c>
      <c r="B1601" s="6">
        <v>44287</v>
      </c>
      <c r="C1601" s="6">
        <v>44651</v>
      </c>
      <c r="D1601">
        <v>20210401</v>
      </c>
      <c r="E1601">
        <v>20220331</v>
      </c>
      <c r="F1601" t="s">
        <v>3988</v>
      </c>
      <c r="G1601" t="s">
        <v>3989</v>
      </c>
      <c r="H1601" t="s">
        <v>590</v>
      </c>
      <c r="I1601" t="s">
        <v>1462</v>
      </c>
      <c r="L1601">
        <v>288</v>
      </c>
      <c r="M1601">
        <v>1948.9</v>
      </c>
      <c r="N1601">
        <v>-288</v>
      </c>
      <c r="O1601">
        <v>-1948.9</v>
      </c>
      <c r="Z1601" s="3">
        <f t="shared" si="24"/>
        <v>6.7670138888888891</v>
      </c>
    </row>
    <row r="1602" spans="1:26" hidden="1">
      <c r="A1602" t="s">
        <v>706</v>
      </c>
      <c r="B1602" s="6">
        <v>44287</v>
      </c>
      <c r="C1602" s="6">
        <v>44651</v>
      </c>
      <c r="D1602">
        <v>20210401</v>
      </c>
      <c r="E1602">
        <v>20220331</v>
      </c>
      <c r="F1602" t="s">
        <v>3990</v>
      </c>
      <c r="G1602" t="s">
        <v>3991</v>
      </c>
      <c r="H1602" t="s">
        <v>590</v>
      </c>
      <c r="I1602" t="s">
        <v>1462</v>
      </c>
      <c r="L1602">
        <v>2</v>
      </c>
      <c r="M1602">
        <v>12711.86</v>
      </c>
      <c r="N1602">
        <v>-2</v>
      </c>
      <c r="O1602">
        <v>-12711.86</v>
      </c>
      <c r="Z1602" s="3">
        <f t="shared" si="24"/>
        <v>6355.93</v>
      </c>
    </row>
    <row r="1603" spans="1:26" hidden="1">
      <c r="A1603" t="s">
        <v>706</v>
      </c>
      <c r="B1603" s="6">
        <v>44287</v>
      </c>
      <c r="C1603" s="6">
        <v>44651</v>
      </c>
      <c r="D1603">
        <v>20210401</v>
      </c>
      <c r="E1603">
        <v>20220331</v>
      </c>
      <c r="F1603" t="s">
        <v>3992</v>
      </c>
      <c r="G1603" t="s">
        <v>3993</v>
      </c>
      <c r="H1603" t="s">
        <v>590</v>
      </c>
      <c r="I1603" t="s">
        <v>1462</v>
      </c>
      <c r="L1603">
        <v>50</v>
      </c>
      <c r="M1603">
        <v>423.5</v>
      </c>
      <c r="N1603">
        <v>-50</v>
      </c>
      <c r="O1603">
        <v>-423.5</v>
      </c>
      <c r="Z1603" s="3">
        <f t="shared" ref="Z1603:Z1666" si="25">IFERROR((O1603+Q1603)/(N1603+P1603),Y1603/X1603)</f>
        <v>8.4700000000000006</v>
      </c>
    </row>
    <row r="1604" spans="1:26" hidden="1">
      <c r="A1604" t="s">
        <v>706</v>
      </c>
      <c r="B1604" s="6">
        <v>44287</v>
      </c>
      <c r="C1604" s="6">
        <v>44651</v>
      </c>
      <c r="D1604">
        <v>20210401</v>
      </c>
      <c r="E1604">
        <v>20220331</v>
      </c>
      <c r="F1604" t="s">
        <v>3994</v>
      </c>
      <c r="G1604" t="s">
        <v>3995</v>
      </c>
      <c r="H1604" t="s">
        <v>590</v>
      </c>
      <c r="I1604" t="s">
        <v>805</v>
      </c>
      <c r="L1604">
        <v>100</v>
      </c>
      <c r="M1604">
        <v>847</v>
      </c>
      <c r="N1604">
        <v>-100</v>
      </c>
      <c r="O1604">
        <v>-847</v>
      </c>
      <c r="Z1604" s="3">
        <f t="shared" si="25"/>
        <v>8.4700000000000006</v>
      </c>
    </row>
    <row r="1605" spans="1:26" hidden="1">
      <c r="A1605" t="s">
        <v>706</v>
      </c>
      <c r="B1605" s="6">
        <v>44287</v>
      </c>
      <c r="C1605" s="6">
        <v>44651</v>
      </c>
      <c r="D1605">
        <v>20210401</v>
      </c>
      <c r="E1605">
        <v>20220331</v>
      </c>
      <c r="F1605" t="s">
        <v>3996</v>
      </c>
      <c r="G1605" t="s">
        <v>3997</v>
      </c>
      <c r="H1605" t="s">
        <v>590</v>
      </c>
      <c r="I1605" t="s">
        <v>1462</v>
      </c>
      <c r="L1605">
        <v>20</v>
      </c>
      <c r="M1605">
        <v>9152.6</v>
      </c>
      <c r="N1605">
        <v>-20</v>
      </c>
      <c r="O1605">
        <v>-9152.6</v>
      </c>
      <c r="Z1605" s="3">
        <f t="shared" si="25"/>
        <v>457.63</v>
      </c>
    </row>
    <row r="1606" spans="1:26" hidden="1">
      <c r="A1606" t="s">
        <v>706</v>
      </c>
      <c r="B1606" s="6">
        <v>44287</v>
      </c>
      <c r="C1606" s="6">
        <v>44651</v>
      </c>
      <c r="D1606">
        <v>20210401</v>
      </c>
      <c r="E1606">
        <v>20220331</v>
      </c>
      <c r="F1606" t="s">
        <v>3998</v>
      </c>
      <c r="G1606" t="s">
        <v>3999</v>
      </c>
      <c r="H1606" t="s">
        <v>2073</v>
      </c>
      <c r="I1606" t="s">
        <v>1462</v>
      </c>
      <c r="K1606">
        <v>900</v>
      </c>
      <c r="Y1606">
        <v>900</v>
      </c>
      <c r="Z1606" s="3" t="e">
        <f t="shared" si="25"/>
        <v>#DIV/0!</v>
      </c>
    </row>
    <row r="1607" spans="1:26" hidden="1">
      <c r="A1607" t="s">
        <v>706</v>
      </c>
      <c r="B1607" s="6">
        <v>44287</v>
      </c>
      <c r="C1607" s="6">
        <v>44651</v>
      </c>
      <c r="D1607">
        <v>20210401</v>
      </c>
      <c r="E1607">
        <v>20220331</v>
      </c>
      <c r="F1607" t="s">
        <v>4000</v>
      </c>
      <c r="G1607" t="s">
        <v>4001</v>
      </c>
      <c r="H1607" t="s">
        <v>1173</v>
      </c>
      <c r="I1607" t="s">
        <v>1462</v>
      </c>
      <c r="L1607">
        <v>8</v>
      </c>
      <c r="M1607">
        <v>271.2</v>
      </c>
      <c r="N1607">
        <v>-8</v>
      </c>
      <c r="O1607">
        <v>-271.2</v>
      </c>
      <c r="Z1607" s="3">
        <f t="shared" si="25"/>
        <v>33.9</v>
      </c>
    </row>
    <row r="1608" spans="1:26" hidden="1">
      <c r="A1608" t="s">
        <v>706</v>
      </c>
      <c r="B1608" s="6">
        <v>44287</v>
      </c>
      <c r="C1608" s="6">
        <v>44651</v>
      </c>
      <c r="D1608">
        <v>20210401</v>
      </c>
      <c r="E1608">
        <v>20220331</v>
      </c>
      <c r="F1608" t="s">
        <v>4002</v>
      </c>
      <c r="G1608" t="s">
        <v>4003</v>
      </c>
      <c r="H1608" t="s">
        <v>590</v>
      </c>
      <c r="I1608" t="s">
        <v>1462</v>
      </c>
      <c r="L1608">
        <v>2</v>
      </c>
      <c r="M1608">
        <v>1948</v>
      </c>
      <c r="N1608">
        <v>-2</v>
      </c>
      <c r="O1608">
        <v>-1948</v>
      </c>
      <c r="Z1608" s="3">
        <f t="shared" si="25"/>
        <v>974</v>
      </c>
    </row>
    <row r="1609" spans="1:26" hidden="1">
      <c r="A1609" t="s">
        <v>706</v>
      </c>
      <c r="B1609" s="6">
        <v>44287</v>
      </c>
      <c r="C1609" s="6">
        <v>44651</v>
      </c>
      <c r="D1609">
        <v>20210401</v>
      </c>
      <c r="E1609">
        <v>20220331</v>
      </c>
      <c r="F1609" t="s">
        <v>4004</v>
      </c>
      <c r="G1609" t="s">
        <v>4005</v>
      </c>
      <c r="H1609" t="s">
        <v>590</v>
      </c>
      <c r="I1609" t="s">
        <v>805</v>
      </c>
      <c r="L1609">
        <v>3</v>
      </c>
      <c r="M1609">
        <v>2085</v>
      </c>
      <c r="N1609">
        <v>-3</v>
      </c>
      <c r="O1609">
        <v>-2085</v>
      </c>
      <c r="Z1609" s="3">
        <f t="shared" si="25"/>
        <v>695</v>
      </c>
    </row>
    <row r="1610" spans="1:26" hidden="1">
      <c r="A1610" t="s">
        <v>706</v>
      </c>
      <c r="B1610" s="6">
        <v>44287</v>
      </c>
      <c r="C1610" s="6">
        <v>44651</v>
      </c>
      <c r="D1610">
        <v>20210401</v>
      </c>
      <c r="E1610">
        <v>20220331</v>
      </c>
      <c r="F1610" t="s">
        <v>4006</v>
      </c>
      <c r="G1610" t="s">
        <v>4007</v>
      </c>
      <c r="H1610" t="s">
        <v>2073</v>
      </c>
      <c r="I1610" t="s">
        <v>1462</v>
      </c>
      <c r="L1610">
        <v>20</v>
      </c>
      <c r="M1610">
        <v>3500</v>
      </c>
      <c r="N1610">
        <v>-20</v>
      </c>
      <c r="O1610">
        <v>-3500</v>
      </c>
      <c r="Z1610" s="3">
        <f t="shared" si="25"/>
        <v>175</v>
      </c>
    </row>
    <row r="1611" spans="1:26" hidden="1">
      <c r="A1611" t="s">
        <v>706</v>
      </c>
      <c r="B1611" s="6">
        <v>44287</v>
      </c>
      <c r="C1611" s="6">
        <v>44651</v>
      </c>
      <c r="D1611">
        <v>20210401</v>
      </c>
      <c r="E1611">
        <v>20220331</v>
      </c>
      <c r="F1611" t="s">
        <v>4008</v>
      </c>
      <c r="G1611" t="s">
        <v>4009</v>
      </c>
      <c r="H1611" t="s">
        <v>590</v>
      </c>
      <c r="I1611" t="s">
        <v>1462</v>
      </c>
      <c r="L1611">
        <v>2</v>
      </c>
      <c r="M1611">
        <v>3000</v>
      </c>
      <c r="X1611">
        <v>2</v>
      </c>
      <c r="Y1611">
        <v>3000</v>
      </c>
      <c r="Z1611" s="3">
        <f t="shared" si="25"/>
        <v>1500</v>
      </c>
    </row>
    <row r="1612" spans="1:26" hidden="1">
      <c r="A1612" t="s">
        <v>706</v>
      </c>
      <c r="B1612" s="6">
        <v>44287</v>
      </c>
      <c r="C1612" s="6">
        <v>44651</v>
      </c>
      <c r="D1612">
        <v>20210401</v>
      </c>
      <c r="E1612">
        <v>20220331</v>
      </c>
      <c r="F1612" t="s">
        <v>4010</v>
      </c>
      <c r="G1612" t="s">
        <v>4011</v>
      </c>
      <c r="H1612" t="s">
        <v>590</v>
      </c>
      <c r="I1612" t="s">
        <v>805</v>
      </c>
      <c r="L1612">
        <v>6</v>
      </c>
      <c r="M1612">
        <v>27000</v>
      </c>
      <c r="N1612">
        <v>-6</v>
      </c>
      <c r="O1612">
        <v>-27000</v>
      </c>
      <c r="Z1612" s="3">
        <f t="shared" si="25"/>
        <v>4500</v>
      </c>
    </row>
    <row r="1613" spans="1:26" hidden="1">
      <c r="A1613" t="s">
        <v>706</v>
      </c>
      <c r="B1613" s="6">
        <v>44287</v>
      </c>
      <c r="C1613" s="6">
        <v>44651</v>
      </c>
      <c r="D1613">
        <v>20210401</v>
      </c>
      <c r="E1613">
        <v>20220331</v>
      </c>
      <c r="F1613" t="s">
        <v>4012</v>
      </c>
      <c r="G1613" t="s">
        <v>4013</v>
      </c>
      <c r="H1613" t="s">
        <v>590</v>
      </c>
      <c r="I1613" t="s">
        <v>805</v>
      </c>
      <c r="J1613">
        <v>2</v>
      </c>
      <c r="K1613">
        <v>50</v>
      </c>
      <c r="N1613">
        <v>-2</v>
      </c>
      <c r="O1613">
        <v>-50</v>
      </c>
      <c r="Z1613" s="3">
        <f t="shared" si="25"/>
        <v>25</v>
      </c>
    </row>
    <row r="1614" spans="1:26" hidden="1">
      <c r="A1614" t="s">
        <v>706</v>
      </c>
      <c r="B1614" s="6">
        <v>44287</v>
      </c>
      <c r="C1614" s="6">
        <v>44651</v>
      </c>
      <c r="D1614">
        <v>20210401</v>
      </c>
      <c r="E1614">
        <v>20220331</v>
      </c>
      <c r="F1614" t="s">
        <v>4014</v>
      </c>
      <c r="G1614" t="s">
        <v>4015</v>
      </c>
      <c r="H1614" t="s">
        <v>590</v>
      </c>
      <c r="I1614" t="s">
        <v>805</v>
      </c>
      <c r="J1614">
        <v>5</v>
      </c>
      <c r="K1614">
        <v>1614.35</v>
      </c>
      <c r="N1614">
        <v>-5</v>
      </c>
      <c r="O1614">
        <v>-1614.35</v>
      </c>
      <c r="Z1614" s="3">
        <f t="shared" si="25"/>
        <v>322.87</v>
      </c>
    </row>
    <row r="1615" spans="1:26" hidden="1">
      <c r="A1615" t="s">
        <v>706</v>
      </c>
      <c r="B1615" s="6">
        <v>44287</v>
      </c>
      <c r="C1615" s="6">
        <v>44651</v>
      </c>
      <c r="D1615">
        <v>20210401</v>
      </c>
      <c r="E1615">
        <v>20220331</v>
      </c>
      <c r="F1615" t="s">
        <v>4016</v>
      </c>
      <c r="G1615" t="s">
        <v>4017</v>
      </c>
      <c r="H1615" t="s">
        <v>590</v>
      </c>
      <c r="I1615" t="s">
        <v>1462</v>
      </c>
      <c r="L1615">
        <v>6</v>
      </c>
      <c r="M1615">
        <v>25632</v>
      </c>
      <c r="N1615">
        <v>-6</v>
      </c>
      <c r="O1615">
        <v>-25632</v>
      </c>
      <c r="Z1615" s="3">
        <f t="shared" si="25"/>
        <v>4272</v>
      </c>
    </row>
    <row r="1616" spans="1:26" hidden="1">
      <c r="A1616" t="s">
        <v>706</v>
      </c>
      <c r="B1616" s="6">
        <v>44287</v>
      </c>
      <c r="C1616" s="6">
        <v>44651</v>
      </c>
      <c r="D1616">
        <v>20210401</v>
      </c>
      <c r="E1616">
        <v>20220331</v>
      </c>
      <c r="F1616" t="s">
        <v>4018</v>
      </c>
      <c r="G1616" t="s">
        <v>4019</v>
      </c>
      <c r="H1616" t="s">
        <v>590</v>
      </c>
      <c r="I1616" t="s">
        <v>1462</v>
      </c>
      <c r="L1616">
        <v>6</v>
      </c>
      <c r="M1616">
        <v>13728</v>
      </c>
      <c r="N1616">
        <v>-6</v>
      </c>
      <c r="O1616">
        <v>-13728</v>
      </c>
      <c r="Z1616" s="3">
        <f t="shared" si="25"/>
        <v>2288</v>
      </c>
    </row>
    <row r="1617" spans="1:26" hidden="1">
      <c r="A1617" t="s">
        <v>706</v>
      </c>
      <c r="B1617" s="6">
        <v>44287</v>
      </c>
      <c r="C1617" s="6">
        <v>44651</v>
      </c>
      <c r="D1617">
        <v>20210401</v>
      </c>
      <c r="E1617">
        <v>20220331</v>
      </c>
      <c r="F1617" t="s">
        <v>4020</v>
      </c>
      <c r="G1617" t="s">
        <v>4021</v>
      </c>
      <c r="H1617" t="s">
        <v>590</v>
      </c>
      <c r="I1617" t="s">
        <v>1462</v>
      </c>
      <c r="L1617">
        <v>2</v>
      </c>
      <c r="M1617">
        <v>2100</v>
      </c>
      <c r="N1617">
        <v>-2</v>
      </c>
      <c r="O1617">
        <v>-2100</v>
      </c>
      <c r="Z1617" s="3">
        <f t="shared" si="25"/>
        <v>1050</v>
      </c>
    </row>
    <row r="1618" spans="1:26" hidden="1">
      <c r="A1618" t="s">
        <v>706</v>
      </c>
      <c r="B1618" s="6">
        <v>44287</v>
      </c>
      <c r="C1618" s="6">
        <v>44651</v>
      </c>
      <c r="D1618">
        <v>20210401</v>
      </c>
      <c r="E1618">
        <v>20220331</v>
      </c>
      <c r="F1618" t="s">
        <v>4022</v>
      </c>
      <c r="G1618" t="s">
        <v>4023</v>
      </c>
      <c r="H1618" t="s">
        <v>590</v>
      </c>
      <c r="I1618" t="s">
        <v>1462</v>
      </c>
      <c r="L1618">
        <v>400</v>
      </c>
      <c r="M1618">
        <v>56000</v>
      </c>
      <c r="N1618">
        <v>-400</v>
      </c>
      <c r="O1618">
        <v>-56000</v>
      </c>
      <c r="Z1618" s="3">
        <f t="shared" si="25"/>
        <v>140</v>
      </c>
    </row>
    <row r="1619" spans="1:26" hidden="1">
      <c r="A1619" t="s">
        <v>706</v>
      </c>
      <c r="B1619" s="6">
        <v>44287</v>
      </c>
      <c r="C1619" s="6">
        <v>44651</v>
      </c>
      <c r="D1619">
        <v>20210401</v>
      </c>
      <c r="E1619">
        <v>20220331</v>
      </c>
      <c r="F1619" t="s">
        <v>4024</v>
      </c>
      <c r="G1619" t="s">
        <v>4025</v>
      </c>
      <c r="H1619" t="s">
        <v>590</v>
      </c>
      <c r="I1619" t="s">
        <v>1462</v>
      </c>
      <c r="L1619">
        <v>4</v>
      </c>
      <c r="M1619">
        <v>465</v>
      </c>
      <c r="N1619">
        <v>-4</v>
      </c>
      <c r="O1619">
        <v>-465</v>
      </c>
      <c r="Z1619" s="3">
        <f t="shared" si="25"/>
        <v>116.25</v>
      </c>
    </row>
    <row r="1620" spans="1:26" hidden="1">
      <c r="A1620" t="s">
        <v>706</v>
      </c>
      <c r="B1620" s="6">
        <v>44287</v>
      </c>
      <c r="C1620" s="6">
        <v>44651</v>
      </c>
      <c r="D1620">
        <v>20210401</v>
      </c>
      <c r="E1620">
        <v>20220331</v>
      </c>
      <c r="F1620" t="s">
        <v>4026</v>
      </c>
      <c r="G1620" t="s">
        <v>4027</v>
      </c>
      <c r="H1620" t="s">
        <v>590</v>
      </c>
      <c r="I1620" t="s">
        <v>1462</v>
      </c>
      <c r="L1620">
        <v>4</v>
      </c>
      <c r="M1620">
        <v>364.56</v>
      </c>
      <c r="N1620">
        <v>-4</v>
      </c>
      <c r="O1620">
        <v>-364.56</v>
      </c>
      <c r="Z1620" s="3">
        <f t="shared" si="25"/>
        <v>91.14</v>
      </c>
    </row>
    <row r="1621" spans="1:26" hidden="1">
      <c r="A1621" t="s">
        <v>706</v>
      </c>
      <c r="B1621" s="6">
        <v>44287</v>
      </c>
      <c r="C1621" s="6">
        <v>44651</v>
      </c>
      <c r="D1621">
        <v>20210401</v>
      </c>
      <c r="E1621">
        <v>20220331</v>
      </c>
      <c r="F1621" t="s">
        <v>4028</v>
      </c>
      <c r="G1621" t="s">
        <v>4029</v>
      </c>
      <c r="H1621" t="s">
        <v>590</v>
      </c>
      <c r="I1621" t="s">
        <v>1462</v>
      </c>
      <c r="L1621">
        <v>1</v>
      </c>
      <c r="M1621">
        <v>1995</v>
      </c>
      <c r="N1621">
        <v>-1</v>
      </c>
      <c r="O1621">
        <v>-1995</v>
      </c>
      <c r="Z1621" s="3">
        <f t="shared" si="25"/>
        <v>1995</v>
      </c>
    </row>
    <row r="1622" spans="1:26" hidden="1">
      <c r="A1622" t="s">
        <v>706</v>
      </c>
      <c r="B1622" s="6">
        <v>44287</v>
      </c>
      <c r="C1622" s="6">
        <v>44651</v>
      </c>
      <c r="D1622">
        <v>20210401</v>
      </c>
      <c r="E1622">
        <v>20220331</v>
      </c>
      <c r="F1622" t="s">
        <v>4030</v>
      </c>
      <c r="G1622" t="s">
        <v>4031</v>
      </c>
      <c r="H1622" t="s">
        <v>613</v>
      </c>
      <c r="I1622" t="s">
        <v>1845</v>
      </c>
      <c r="L1622">
        <v>5</v>
      </c>
      <c r="M1622">
        <v>450</v>
      </c>
      <c r="N1622">
        <v>-5</v>
      </c>
      <c r="O1622">
        <v>-450</v>
      </c>
      <c r="Z1622" s="3">
        <f t="shared" si="25"/>
        <v>90</v>
      </c>
    </row>
    <row r="1623" spans="1:26" hidden="1">
      <c r="A1623" t="s">
        <v>706</v>
      </c>
      <c r="B1623" s="6">
        <v>44287</v>
      </c>
      <c r="C1623" s="6">
        <v>44651</v>
      </c>
      <c r="D1623">
        <v>20210401</v>
      </c>
      <c r="E1623">
        <v>20220331</v>
      </c>
      <c r="F1623" t="s">
        <v>4032</v>
      </c>
      <c r="G1623" t="s">
        <v>4033</v>
      </c>
      <c r="H1623" t="s">
        <v>590</v>
      </c>
      <c r="I1623" t="s">
        <v>1462</v>
      </c>
      <c r="J1623">
        <v>1</v>
      </c>
      <c r="K1623">
        <v>250</v>
      </c>
      <c r="N1623">
        <v>-1</v>
      </c>
      <c r="O1623">
        <v>-250</v>
      </c>
      <c r="Z1623" s="3">
        <f t="shared" si="25"/>
        <v>250</v>
      </c>
    </row>
    <row r="1624" spans="1:26" hidden="1">
      <c r="A1624" t="s">
        <v>706</v>
      </c>
      <c r="B1624" s="6">
        <v>44287</v>
      </c>
      <c r="C1624" s="6">
        <v>44651</v>
      </c>
      <c r="D1624">
        <v>20210401</v>
      </c>
      <c r="E1624">
        <v>20220331</v>
      </c>
      <c r="F1624" t="s">
        <v>4034</v>
      </c>
      <c r="G1624" t="s">
        <v>4035</v>
      </c>
      <c r="H1624" t="s">
        <v>3284</v>
      </c>
      <c r="I1624" t="s">
        <v>1462</v>
      </c>
      <c r="L1624">
        <v>900</v>
      </c>
      <c r="M1624">
        <v>20250</v>
      </c>
      <c r="X1624">
        <v>900</v>
      </c>
      <c r="Y1624">
        <v>20250</v>
      </c>
      <c r="Z1624" s="3">
        <f t="shared" si="25"/>
        <v>22.5</v>
      </c>
    </row>
    <row r="1625" spans="1:26" hidden="1">
      <c r="A1625" t="s">
        <v>706</v>
      </c>
      <c r="B1625" s="6">
        <v>44287</v>
      </c>
      <c r="C1625" s="6">
        <v>44651</v>
      </c>
      <c r="D1625">
        <v>20210401</v>
      </c>
      <c r="E1625">
        <v>20220331</v>
      </c>
      <c r="F1625" t="s">
        <v>4036</v>
      </c>
      <c r="G1625" t="s">
        <v>4037</v>
      </c>
      <c r="I1625" t="s">
        <v>1462</v>
      </c>
      <c r="L1625">
        <v>1</v>
      </c>
      <c r="M1625">
        <v>250</v>
      </c>
      <c r="N1625">
        <v>-1</v>
      </c>
      <c r="O1625">
        <v>-250</v>
      </c>
      <c r="Z1625" s="3">
        <f t="shared" si="25"/>
        <v>250</v>
      </c>
    </row>
    <row r="1626" spans="1:26" hidden="1">
      <c r="A1626" t="s">
        <v>706</v>
      </c>
      <c r="B1626" s="6">
        <v>44287</v>
      </c>
      <c r="C1626" s="6">
        <v>44651</v>
      </c>
      <c r="D1626">
        <v>20210401</v>
      </c>
      <c r="E1626">
        <v>20220331</v>
      </c>
      <c r="F1626" t="s">
        <v>4038</v>
      </c>
      <c r="G1626" t="s">
        <v>4039</v>
      </c>
      <c r="H1626" t="s">
        <v>613</v>
      </c>
      <c r="I1626" t="s">
        <v>1462</v>
      </c>
      <c r="L1626">
        <v>426.8</v>
      </c>
      <c r="M1626">
        <v>42680</v>
      </c>
      <c r="N1626">
        <v>-426.8</v>
      </c>
      <c r="O1626">
        <v>-42680</v>
      </c>
      <c r="Z1626" s="3">
        <f t="shared" si="25"/>
        <v>100</v>
      </c>
    </row>
    <row r="1627" spans="1:26" hidden="1">
      <c r="A1627" t="s">
        <v>706</v>
      </c>
      <c r="B1627" s="6">
        <v>44287</v>
      </c>
      <c r="C1627" s="6">
        <v>44651</v>
      </c>
      <c r="D1627">
        <v>20210401</v>
      </c>
      <c r="E1627">
        <v>20220331</v>
      </c>
      <c r="F1627" t="s">
        <v>4040</v>
      </c>
      <c r="G1627" t="s">
        <v>4041</v>
      </c>
      <c r="H1627" t="s">
        <v>590</v>
      </c>
      <c r="I1627" t="s">
        <v>1462</v>
      </c>
      <c r="L1627">
        <v>2</v>
      </c>
      <c r="M1627">
        <v>3900</v>
      </c>
      <c r="N1627">
        <v>-2</v>
      </c>
      <c r="O1627">
        <v>-3900</v>
      </c>
      <c r="Z1627" s="3">
        <f t="shared" si="25"/>
        <v>1950</v>
      </c>
    </row>
    <row r="1628" spans="1:26" hidden="1">
      <c r="A1628" t="s">
        <v>706</v>
      </c>
      <c r="B1628" s="6">
        <v>44287</v>
      </c>
      <c r="C1628" s="6">
        <v>44651</v>
      </c>
      <c r="D1628">
        <v>20210401</v>
      </c>
      <c r="E1628">
        <v>20220331</v>
      </c>
      <c r="F1628" t="s">
        <v>4042</v>
      </c>
      <c r="G1628" t="s">
        <v>4043</v>
      </c>
      <c r="H1628" t="s">
        <v>590</v>
      </c>
      <c r="I1628" t="s">
        <v>1462</v>
      </c>
      <c r="L1628">
        <v>2</v>
      </c>
      <c r="M1628">
        <v>9000</v>
      </c>
      <c r="N1628">
        <v>-2</v>
      </c>
      <c r="O1628">
        <v>-9000</v>
      </c>
      <c r="Z1628" s="3">
        <f t="shared" si="25"/>
        <v>4500</v>
      </c>
    </row>
    <row r="1629" spans="1:26" hidden="1">
      <c r="A1629" t="s">
        <v>706</v>
      </c>
      <c r="B1629" s="6">
        <v>44287</v>
      </c>
      <c r="C1629" s="6">
        <v>44651</v>
      </c>
      <c r="D1629">
        <v>20210401</v>
      </c>
      <c r="E1629">
        <v>20220331</v>
      </c>
      <c r="F1629" t="s">
        <v>4044</v>
      </c>
      <c r="G1629" t="s">
        <v>4045</v>
      </c>
      <c r="H1629" t="s">
        <v>590</v>
      </c>
      <c r="I1629" t="s">
        <v>1462</v>
      </c>
      <c r="L1629">
        <v>2</v>
      </c>
      <c r="M1629">
        <v>6692.28</v>
      </c>
      <c r="N1629">
        <v>-2</v>
      </c>
      <c r="O1629">
        <v>-6692.28</v>
      </c>
      <c r="Z1629" s="3">
        <f t="shared" si="25"/>
        <v>3346.14</v>
      </c>
    </row>
    <row r="1630" spans="1:26" hidden="1">
      <c r="A1630" t="s">
        <v>706</v>
      </c>
      <c r="B1630" s="6">
        <v>44287</v>
      </c>
      <c r="C1630" s="6">
        <v>44651</v>
      </c>
      <c r="D1630">
        <v>20210401</v>
      </c>
      <c r="E1630">
        <v>20220331</v>
      </c>
      <c r="F1630" t="s">
        <v>4046</v>
      </c>
      <c r="G1630" t="s">
        <v>4047</v>
      </c>
      <c r="H1630" t="s">
        <v>590</v>
      </c>
      <c r="I1630" t="s">
        <v>1462</v>
      </c>
      <c r="L1630">
        <v>4</v>
      </c>
      <c r="M1630">
        <v>1215.68</v>
      </c>
      <c r="N1630">
        <v>-4</v>
      </c>
      <c r="O1630">
        <v>-1215.68</v>
      </c>
      <c r="Z1630" s="3">
        <f t="shared" si="25"/>
        <v>303.92</v>
      </c>
    </row>
    <row r="1631" spans="1:26" hidden="1">
      <c r="A1631" t="s">
        <v>706</v>
      </c>
      <c r="B1631" s="6">
        <v>44287</v>
      </c>
      <c r="C1631" s="6">
        <v>44651</v>
      </c>
      <c r="D1631">
        <v>20210401</v>
      </c>
      <c r="E1631">
        <v>20220331</v>
      </c>
      <c r="F1631" t="s">
        <v>4048</v>
      </c>
      <c r="G1631" t="s">
        <v>4049</v>
      </c>
      <c r="H1631" t="s">
        <v>590</v>
      </c>
      <c r="I1631" t="s">
        <v>1462</v>
      </c>
      <c r="L1631">
        <v>4</v>
      </c>
      <c r="M1631">
        <v>3952</v>
      </c>
      <c r="N1631">
        <v>-4</v>
      </c>
      <c r="O1631">
        <v>-3952</v>
      </c>
      <c r="Z1631" s="3">
        <f t="shared" si="25"/>
        <v>988</v>
      </c>
    </row>
    <row r="1632" spans="1:26" hidden="1">
      <c r="A1632" t="s">
        <v>706</v>
      </c>
      <c r="B1632" s="6">
        <v>44287</v>
      </c>
      <c r="C1632" s="6">
        <v>44651</v>
      </c>
      <c r="D1632">
        <v>20210401</v>
      </c>
      <c r="E1632">
        <v>20220331</v>
      </c>
      <c r="F1632" t="s">
        <v>4050</v>
      </c>
      <c r="G1632" t="s">
        <v>4051</v>
      </c>
      <c r="H1632" t="s">
        <v>590</v>
      </c>
      <c r="I1632" t="s">
        <v>1462</v>
      </c>
      <c r="L1632">
        <v>4</v>
      </c>
      <c r="M1632">
        <v>1889.76</v>
      </c>
      <c r="N1632">
        <v>-4</v>
      </c>
      <c r="O1632">
        <v>-1889.76</v>
      </c>
      <c r="Z1632" s="3">
        <f t="shared" si="25"/>
        <v>472.44</v>
      </c>
    </row>
    <row r="1633" spans="1:26" hidden="1">
      <c r="A1633" t="s">
        <v>706</v>
      </c>
      <c r="B1633" s="6">
        <v>44287</v>
      </c>
      <c r="C1633" s="6">
        <v>44651</v>
      </c>
      <c r="D1633">
        <v>20210401</v>
      </c>
      <c r="E1633">
        <v>20220331</v>
      </c>
      <c r="F1633" t="s">
        <v>4052</v>
      </c>
      <c r="G1633" t="s">
        <v>4053</v>
      </c>
      <c r="H1633" t="s">
        <v>590</v>
      </c>
      <c r="I1633" t="s">
        <v>805</v>
      </c>
      <c r="L1633">
        <v>1</v>
      </c>
      <c r="M1633">
        <v>3173.73</v>
      </c>
      <c r="N1633">
        <v>-1</v>
      </c>
      <c r="O1633">
        <v>-3173.73</v>
      </c>
      <c r="Z1633" s="3">
        <f t="shared" si="25"/>
        <v>3173.73</v>
      </c>
    </row>
    <row r="1634" spans="1:26" hidden="1">
      <c r="A1634" t="s">
        <v>706</v>
      </c>
      <c r="B1634" s="6">
        <v>44287</v>
      </c>
      <c r="C1634" s="6">
        <v>44651</v>
      </c>
      <c r="D1634">
        <v>20210401</v>
      </c>
      <c r="E1634">
        <v>20220331</v>
      </c>
      <c r="F1634" t="s">
        <v>4054</v>
      </c>
      <c r="G1634" t="s">
        <v>4055</v>
      </c>
      <c r="H1634" t="s">
        <v>590</v>
      </c>
      <c r="I1634" t="s">
        <v>1462</v>
      </c>
      <c r="L1634">
        <v>2</v>
      </c>
      <c r="M1634">
        <v>789.84</v>
      </c>
      <c r="N1634">
        <v>-2</v>
      </c>
      <c r="O1634">
        <v>-789.84</v>
      </c>
      <c r="Z1634" s="3">
        <f t="shared" si="25"/>
        <v>394.92</v>
      </c>
    </row>
    <row r="1635" spans="1:26" hidden="1">
      <c r="A1635" t="s">
        <v>706</v>
      </c>
      <c r="B1635" s="6">
        <v>44287</v>
      </c>
      <c r="C1635" s="6">
        <v>44651</v>
      </c>
      <c r="D1635">
        <v>20210401</v>
      </c>
      <c r="E1635">
        <v>20220331</v>
      </c>
      <c r="F1635" t="s">
        <v>4056</v>
      </c>
      <c r="G1635" t="s">
        <v>4057</v>
      </c>
      <c r="H1635" t="s">
        <v>1973</v>
      </c>
      <c r="I1635" t="s">
        <v>1462</v>
      </c>
      <c r="L1635">
        <v>3</v>
      </c>
      <c r="M1635">
        <v>5940</v>
      </c>
      <c r="N1635">
        <v>-3</v>
      </c>
      <c r="O1635">
        <v>-5940</v>
      </c>
      <c r="Z1635" s="3">
        <f t="shared" si="25"/>
        <v>1980</v>
      </c>
    </row>
    <row r="1636" spans="1:26" hidden="1">
      <c r="A1636" t="s">
        <v>706</v>
      </c>
      <c r="B1636" s="6">
        <v>44287</v>
      </c>
      <c r="C1636" s="6">
        <v>44651</v>
      </c>
      <c r="D1636">
        <v>20210401</v>
      </c>
      <c r="E1636">
        <v>20220331</v>
      </c>
      <c r="F1636" t="s">
        <v>4058</v>
      </c>
      <c r="G1636" t="s">
        <v>4059</v>
      </c>
      <c r="H1636" t="s">
        <v>590</v>
      </c>
      <c r="I1636" t="s">
        <v>1462</v>
      </c>
      <c r="L1636">
        <v>50</v>
      </c>
      <c r="M1636">
        <v>16000</v>
      </c>
      <c r="N1636">
        <v>-50</v>
      </c>
      <c r="O1636">
        <v>-16000</v>
      </c>
      <c r="Z1636" s="3">
        <f t="shared" si="25"/>
        <v>320</v>
      </c>
    </row>
    <row r="1637" spans="1:26" hidden="1">
      <c r="A1637" t="s">
        <v>706</v>
      </c>
      <c r="B1637" s="6">
        <v>44287</v>
      </c>
      <c r="C1637" s="6">
        <v>44651</v>
      </c>
      <c r="D1637">
        <v>20210401</v>
      </c>
      <c r="E1637">
        <v>20220331</v>
      </c>
      <c r="F1637" t="s">
        <v>4060</v>
      </c>
      <c r="G1637" t="s">
        <v>4061</v>
      </c>
      <c r="H1637" t="s">
        <v>590</v>
      </c>
      <c r="I1637" t="s">
        <v>1462</v>
      </c>
      <c r="L1637">
        <v>2</v>
      </c>
      <c r="M1637">
        <v>1458.9</v>
      </c>
      <c r="N1637">
        <v>-2</v>
      </c>
      <c r="O1637">
        <v>-1458.9</v>
      </c>
      <c r="Z1637" s="3">
        <f t="shared" si="25"/>
        <v>729.45</v>
      </c>
    </row>
    <row r="1638" spans="1:26" hidden="1">
      <c r="A1638" t="s">
        <v>706</v>
      </c>
      <c r="B1638" s="6">
        <v>44287</v>
      </c>
      <c r="C1638" s="6">
        <v>44651</v>
      </c>
      <c r="D1638">
        <v>20210401</v>
      </c>
      <c r="E1638">
        <v>20220331</v>
      </c>
      <c r="F1638" t="s">
        <v>4062</v>
      </c>
      <c r="G1638" t="s">
        <v>4063</v>
      </c>
      <c r="H1638" t="s">
        <v>590</v>
      </c>
      <c r="I1638" t="s">
        <v>1462</v>
      </c>
      <c r="L1638">
        <v>1</v>
      </c>
      <c r="M1638">
        <v>6000</v>
      </c>
      <c r="N1638">
        <v>-1</v>
      </c>
      <c r="O1638">
        <v>-6000</v>
      </c>
      <c r="Z1638" s="3">
        <f t="shared" si="25"/>
        <v>6000</v>
      </c>
    </row>
    <row r="1639" spans="1:26" hidden="1">
      <c r="A1639" t="s">
        <v>706</v>
      </c>
      <c r="B1639" s="6">
        <v>44287</v>
      </c>
      <c r="C1639" s="6">
        <v>44651</v>
      </c>
      <c r="D1639">
        <v>20210401</v>
      </c>
      <c r="E1639">
        <v>20220331</v>
      </c>
      <c r="F1639" t="s">
        <v>4064</v>
      </c>
      <c r="G1639" t="s">
        <v>3903</v>
      </c>
      <c r="H1639" t="s">
        <v>590</v>
      </c>
      <c r="I1639" t="s">
        <v>1462</v>
      </c>
      <c r="J1639">
        <v>3</v>
      </c>
      <c r="K1639">
        <v>3750</v>
      </c>
      <c r="L1639">
        <v>70</v>
      </c>
      <c r="M1639">
        <v>91250</v>
      </c>
      <c r="N1639">
        <v>-65</v>
      </c>
      <c r="O1639">
        <v>-83872.72</v>
      </c>
      <c r="X1639">
        <v>8</v>
      </c>
      <c r="Y1639">
        <v>11127.28</v>
      </c>
      <c r="Z1639" s="3">
        <f t="shared" si="25"/>
        <v>1290.3495384615385</v>
      </c>
    </row>
    <row r="1640" spans="1:26" hidden="1">
      <c r="A1640" t="s">
        <v>706</v>
      </c>
      <c r="B1640" s="6">
        <v>44287</v>
      </c>
      <c r="C1640" s="6">
        <v>44651</v>
      </c>
      <c r="D1640">
        <v>20210401</v>
      </c>
      <c r="E1640">
        <v>20220331</v>
      </c>
      <c r="F1640" t="s">
        <v>4065</v>
      </c>
      <c r="G1640" t="s">
        <v>4066</v>
      </c>
      <c r="H1640" t="s">
        <v>590</v>
      </c>
      <c r="I1640" t="s">
        <v>1462</v>
      </c>
      <c r="L1640">
        <v>1</v>
      </c>
      <c r="M1640">
        <v>8439</v>
      </c>
      <c r="N1640">
        <v>-1</v>
      </c>
      <c r="O1640">
        <v>-8439</v>
      </c>
      <c r="Z1640" s="3">
        <f t="shared" si="25"/>
        <v>8439</v>
      </c>
    </row>
    <row r="1641" spans="1:26" hidden="1">
      <c r="A1641" t="s">
        <v>706</v>
      </c>
      <c r="B1641" s="6">
        <v>44287</v>
      </c>
      <c r="C1641" s="6">
        <v>44651</v>
      </c>
      <c r="D1641">
        <v>20210401</v>
      </c>
      <c r="E1641">
        <v>20220331</v>
      </c>
      <c r="F1641" t="s">
        <v>4067</v>
      </c>
      <c r="G1641" t="s">
        <v>4068</v>
      </c>
      <c r="H1641" t="s">
        <v>590</v>
      </c>
      <c r="I1641" t="s">
        <v>1462</v>
      </c>
      <c r="L1641">
        <v>8</v>
      </c>
      <c r="M1641">
        <v>12550</v>
      </c>
      <c r="N1641">
        <v>-8</v>
      </c>
      <c r="O1641">
        <v>-12550</v>
      </c>
      <c r="Z1641" s="3">
        <f t="shared" si="25"/>
        <v>1568.75</v>
      </c>
    </row>
    <row r="1642" spans="1:26" hidden="1">
      <c r="A1642" t="s">
        <v>706</v>
      </c>
      <c r="B1642" s="6">
        <v>44287</v>
      </c>
      <c r="C1642" s="6">
        <v>44651</v>
      </c>
      <c r="D1642">
        <v>20210401</v>
      </c>
      <c r="E1642">
        <v>20220331</v>
      </c>
      <c r="F1642" t="s">
        <v>4069</v>
      </c>
      <c r="G1642" t="s">
        <v>4070</v>
      </c>
      <c r="H1642" t="s">
        <v>590</v>
      </c>
      <c r="I1642" t="s">
        <v>1462</v>
      </c>
      <c r="L1642">
        <v>1</v>
      </c>
      <c r="M1642">
        <v>3000</v>
      </c>
      <c r="N1642">
        <v>-1</v>
      </c>
      <c r="O1642">
        <v>-3000</v>
      </c>
      <c r="Z1642" s="3">
        <f t="shared" si="25"/>
        <v>3000</v>
      </c>
    </row>
    <row r="1643" spans="1:26" hidden="1">
      <c r="A1643" t="s">
        <v>706</v>
      </c>
      <c r="B1643" s="6">
        <v>44287</v>
      </c>
      <c r="C1643" s="6">
        <v>44651</v>
      </c>
      <c r="D1643">
        <v>20210401</v>
      </c>
      <c r="E1643">
        <v>20220331</v>
      </c>
      <c r="F1643" t="s">
        <v>4071</v>
      </c>
      <c r="G1643" t="s">
        <v>4072</v>
      </c>
      <c r="H1643" t="s">
        <v>590</v>
      </c>
      <c r="I1643" t="s">
        <v>1462</v>
      </c>
      <c r="L1643">
        <v>20</v>
      </c>
      <c r="M1643">
        <v>6200</v>
      </c>
      <c r="N1643">
        <v>-20</v>
      </c>
      <c r="O1643">
        <v>-6200</v>
      </c>
      <c r="Z1643" s="3">
        <f t="shared" si="25"/>
        <v>310</v>
      </c>
    </row>
    <row r="1644" spans="1:26" hidden="1">
      <c r="A1644" t="s">
        <v>706</v>
      </c>
      <c r="B1644" s="6">
        <v>44287</v>
      </c>
      <c r="C1644" s="6">
        <v>44651</v>
      </c>
      <c r="D1644">
        <v>20210401</v>
      </c>
      <c r="E1644">
        <v>20220331</v>
      </c>
      <c r="F1644" t="s">
        <v>4073</v>
      </c>
      <c r="G1644" t="s">
        <v>4074</v>
      </c>
      <c r="H1644" t="s">
        <v>590</v>
      </c>
      <c r="I1644" t="s">
        <v>1462</v>
      </c>
      <c r="L1644">
        <v>20</v>
      </c>
      <c r="M1644">
        <v>12400</v>
      </c>
      <c r="N1644">
        <v>-20</v>
      </c>
      <c r="O1644">
        <v>-12400</v>
      </c>
      <c r="Z1644" s="3">
        <f t="shared" si="25"/>
        <v>620</v>
      </c>
    </row>
    <row r="1645" spans="1:26" hidden="1">
      <c r="A1645" t="s">
        <v>706</v>
      </c>
      <c r="B1645" s="6">
        <v>44287</v>
      </c>
      <c r="C1645" s="6">
        <v>44651</v>
      </c>
      <c r="D1645">
        <v>20210401</v>
      </c>
      <c r="E1645">
        <v>20220331</v>
      </c>
      <c r="F1645" t="s">
        <v>4075</v>
      </c>
      <c r="G1645" t="s">
        <v>4076</v>
      </c>
      <c r="H1645" t="s">
        <v>590</v>
      </c>
      <c r="I1645" t="s">
        <v>1462</v>
      </c>
      <c r="L1645">
        <v>2</v>
      </c>
      <c r="M1645">
        <v>560</v>
      </c>
      <c r="N1645">
        <v>-2</v>
      </c>
      <c r="O1645">
        <v>-560</v>
      </c>
      <c r="Z1645" s="3">
        <f t="shared" si="25"/>
        <v>280</v>
      </c>
    </row>
    <row r="1646" spans="1:26" hidden="1">
      <c r="A1646" t="s">
        <v>706</v>
      </c>
      <c r="B1646" s="6">
        <v>44287</v>
      </c>
      <c r="C1646" s="6">
        <v>44651</v>
      </c>
      <c r="D1646">
        <v>20210401</v>
      </c>
      <c r="E1646">
        <v>20220331</v>
      </c>
      <c r="F1646" t="s">
        <v>4077</v>
      </c>
      <c r="G1646" t="s">
        <v>4078</v>
      </c>
      <c r="H1646" t="s">
        <v>590</v>
      </c>
      <c r="I1646" t="s">
        <v>1462</v>
      </c>
      <c r="L1646">
        <v>12</v>
      </c>
      <c r="M1646">
        <v>1013.46</v>
      </c>
      <c r="N1646">
        <v>-12</v>
      </c>
      <c r="O1646">
        <v>-1013.46</v>
      </c>
      <c r="Z1646" s="3">
        <f t="shared" si="25"/>
        <v>84.454999999999998</v>
      </c>
    </row>
    <row r="1647" spans="1:26" hidden="1">
      <c r="A1647" t="s">
        <v>706</v>
      </c>
      <c r="B1647" s="6">
        <v>44287</v>
      </c>
      <c r="C1647" s="6">
        <v>44651</v>
      </c>
      <c r="D1647">
        <v>20210401</v>
      </c>
      <c r="E1647">
        <v>20220331</v>
      </c>
      <c r="F1647" t="s">
        <v>4079</v>
      </c>
      <c r="G1647" t="s">
        <v>4080</v>
      </c>
      <c r="H1647" t="s">
        <v>590</v>
      </c>
      <c r="I1647" t="s">
        <v>1462</v>
      </c>
      <c r="L1647">
        <v>2</v>
      </c>
      <c r="M1647">
        <v>1600</v>
      </c>
      <c r="N1647">
        <v>-2</v>
      </c>
      <c r="O1647">
        <v>-1600</v>
      </c>
      <c r="Z1647" s="3">
        <f t="shared" si="25"/>
        <v>800</v>
      </c>
    </row>
    <row r="1648" spans="1:26" hidden="1">
      <c r="A1648" t="s">
        <v>706</v>
      </c>
      <c r="B1648" s="6">
        <v>44287</v>
      </c>
      <c r="C1648" s="6">
        <v>44651</v>
      </c>
      <c r="D1648">
        <v>20210401</v>
      </c>
      <c r="E1648">
        <v>20220331</v>
      </c>
      <c r="F1648" t="s">
        <v>4081</v>
      </c>
      <c r="G1648" t="s">
        <v>4082</v>
      </c>
      <c r="H1648" t="s">
        <v>590</v>
      </c>
      <c r="I1648" t="s">
        <v>1462</v>
      </c>
      <c r="L1648">
        <v>2</v>
      </c>
      <c r="M1648">
        <v>1100</v>
      </c>
      <c r="N1648">
        <v>-2</v>
      </c>
      <c r="O1648">
        <v>-1100</v>
      </c>
      <c r="Z1648" s="3">
        <f t="shared" si="25"/>
        <v>550</v>
      </c>
    </row>
    <row r="1649" spans="1:26" hidden="1">
      <c r="A1649" t="s">
        <v>706</v>
      </c>
      <c r="B1649" s="6">
        <v>44287</v>
      </c>
      <c r="C1649" s="6">
        <v>44651</v>
      </c>
      <c r="D1649">
        <v>20210401</v>
      </c>
      <c r="E1649">
        <v>20220331</v>
      </c>
      <c r="F1649" t="s">
        <v>4083</v>
      </c>
      <c r="G1649" t="s">
        <v>4084</v>
      </c>
      <c r="H1649" t="s">
        <v>590</v>
      </c>
      <c r="I1649" t="s">
        <v>1462</v>
      </c>
      <c r="L1649">
        <v>2</v>
      </c>
      <c r="M1649">
        <v>800</v>
      </c>
      <c r="N1649">
        <v>-2</v>
      </c>
      <c r="O1649">
        <v>-800</v>
      </c>
      <c r="Z1649" s="3">
        <f t="shared" si="25"/>
        <v>400</v>
      </c>
    </row>
    <row r="1650" spans="1:26" hidden="1">
      <c r="A1650" t="s">
        <v>706</v>
      </c>
      <c r="B1650" s="6">
        <v>44287</v>
      </c>
      <c r="C1650" s="6">
        <v>44651</v>
      </c>
      <c r="D1650">
        <v>20210401</v>
      </c>
      <c r="E1650">
        <v>20220331</v>
      </c>
      <c r="F1650" t="s">
        <v>4085</v>
      </c>
      <c r="G1650" t="s">
        <v>4086</v>
      </c>
      <c r="H1650" t="s">
        <v>590</v>
      </c>
      <c r="I1650" t="s">
        <v>1462</v>
      </c>
      <c r="L1650">
        <v>4</v>
      </c>
      <c r="M1650">
        <v>7538.4</v>
      </c>
      <c r="N1650">
        <v>-4</v>
      </c>
      <c r="O1650">
        <v>-7538.4</v>
      </c>
      <c r="Z1650" s="3">
        <f t="shared" si="25"/>
        <v>1884.6</v>
      </c>
    </row>
    <row r="1651" spans="1:26" hidden="1">
      <c r="A1651" t="s">
        <v>706</v>
      </c>
      <c r="B1651" s="6">
        <v>44287</v>
      </c>
      <c r="C1651" s="6">
        <v>44651</v>
      </c>
      <c r="D1651">
        <v>20210401</v>
      </c>
      <c r="E1651">
        <v>20220331</v>
      </c>
      <c r="F1651" t="s">
        <v>4087</v>
      </c>
      <c r="G1651" t="s">
        <v>4088</v>
      </c>
      <c r="H1651" t="s">
        <v>590</v>
      </c>
      <c r="I1651" t="s">
        <v>1462</v>
      </c>
      <c r="L1651">
        <v>1</v>
      </c>
      <c r="M1651">
        <v>4828.5600000000004</v>
      </c>
      <c r="N1651">
        <v>-1</v>
      </c>
      <c r="O1651">
        <v>-4828.5600000000004</v>
      </c>
      <c r="Z1651" s="3">
        <f t="shared" si="25"/>
        <v>4828.5600000000004</v>
      </c>
    </row>
    <row r="1652" spans="1:26" hidden="1">
      <c r="A1652" t="s">
        <v>706</v>
      </c>
      <c r="B1652" s="6">
        <v>44287</v>
      </c>
      <c r="C1652" s="6">
        <v>44651</v>
      </c>
      <c r="D1652">
        <v>20210401</v>
      </c>
      <c r="E1652">
        <v>20220331</v>
      </c>
      <c r="F1652" t="s">
        <v>4089</v>
      </c>
      <c r="G1652" t="s">
        <v>4090</v>
      </c>
      <c r="H1652" t="s">
        <v>590</v>
      </c>
      <c r="I1652" t="s">
        <v>774</v>
      </c>
      <c r="J1652">
        <v>1</v>
      </c>
      <c r="K1652">
        <v>79000</v>
      </c>
      <c r="N1652">
        <v>-1</v>
      </c>
      <c r="O1652">
        <v>-79000</v>
      </c>
      <c r="Z1652" s="3">
        <f t="shared" si="25"/>
        <v>79000</v>
      </c>
    </row>
    <row r="1653" spans="1:26" hidden="1">
      <c r="A1653" t="s">
        <v>706</v>
      </c>
      <c r="B1653" s="6">
        <v>44287</v>
      </c>
      <c r="C1653" s="6">
        <v>44651</v>
      </c>
      <c r="D1653">
        <v>20210401</v>
      </c>
      <c r="E1653">
        <v>20220331</v>
      </c>
      <c r="F1653" t="s">
        <v>4091</v>
      </c>
      <c r="G1653" t="s">
        <v>4092</v>
      </c>
      <c r="H1653" t="s">
        <v>590</v>
      </c>
      <c r="I1653" t="s">
        <v>1462</v>
      </c>
      <c r="L1653">
        <v>10</v>
      </c>
      <c r="M1653">
        <v>27145.57</v>
      </c>
      <c r="N1653">
        <v>-10</v>
      </c>
      <c r="O1653">
        <v>-27145.57</v>
      </c>
      <c r="Z1653" s="3">
        <f t="shared" si="25"/>
        <v>2714.5569999999998</v>
      </c>
    </row>
    <row r="1654" spans="1:26" hidden="1">
      <c r="A1654" t="s">
        <v>706</v>
      </c>
      <c r="B1654" s="6">
        <v>44287</v>
      </c>
      <c r="C1654" s="6">
        <v>44651</v>
      </c>
      <c r="D1654">
        <v>20210401</v>
      </c>
      <c r="E1654">
        <v>20220331</v>
      </c>
      <c r="F1654" t="s">
        <v>4093</v>
      </c>
      <c r="G1654" t="s">
        <v>4094</v>
      </c>
      <c r="H1654" t="s">
        <v>590</v>
      </c>
      <c r="I1654" t="s">
        <v>1462</v>
      </c>
      <c r="L1654">
        <v>1</v>
      </c>
      <c r="M1654">
        <v>10400</v>
      </c>
      <c r="N1654">
        <v>-1</v>
      </c>
      <c r="O1654">
        <v>-10400</v>
      </c>
      <c r="Z1654" s="3">
        <f t="shared" si="25"/>
        <v>10400</v>
      </c>
    </row>
    <row r="1655" spans="1:26" hidden="1">
      <c r="A1655" t="s">
        <v>706</v>
      </c>
      <c r="B1655" s="6">
        <v>44287</v>
      </c>
      <c r="C1655" s="6">
        <v>44651</v>
      </c>
      <c r="D1655">
        <v>20210401</v>
      </c>
      <c r="E1655">
        <v>20220331</v>
      </c>
      <c r="F1655" t="s">
        <v>4095</v>
      </c>
      <c r="G1655" t="s">
        <v>4096</v>
      </c>
      <c r="H1655" t="s">
        <v>590</v>
      </c>
      <c r="I1655" t="s">
        <v>1462</v>
      </c>
      <c r="L1655">
        <v>10</v>
      </c>
      <c r="M1655">
        <v>900</v>
      </c>
      <c r="N1655">
        <v>-10</v>
      </c>
      <c r="O1655">
        <v>-900</v>
      </c>
      <c r="Z1655" s="3">
        <f t="shared" si="25"/>
        <v>90</v>
      </c>
    </row>
    <row r="1656" spans="1:26" hidden="1">
      <c r="A1656" t="s">
        <v>706</v>
      </c>
      <c r="B1656" s="6">
        <v>44287</v>
      </c>
      <c r="C1656" s="6">
        <v>44651</v>
      </c>
      <c r="D1656">
        <v>20210401</v>
      </c>
      <c r="E1656">
        <v>20220331</v>
      </c>
      <c r="F1656" t="s">
        <v>4097</v>
      </c>
      <c r="G1656" t="s">
        <v>4098</v>
      </c>
      <c r="H1656" t="s">
        <v>590</v>
      </c>
      <c r="I1656" t="s">
        <v>1462</v>
      </c>
      <c r="L1656">
        <v>10</v>
      </c>
      <c r="M1656">
        <v>540</v>
      </c>
      <c r="N1656">
        <v>-10</v>
      </c>
      <c r="O1656">
        <v>-540</v>
      </c>
      <c r="Z1656" s="3">
        <f t="shared" si="25"/>
        <v>54</v>
      </c>
    </row>
    <row r="1657" spans="1:26" hidden="1">
      <c r="A1657" t="s">
        <v>706</v>
      </c>
      <c r="B1657" s="6">
        <v>44287</v>
      </c>
      <c r="C1657" s="6">
        <v>44651</v>
      </c>
      <c r="D1657">
        <v>20210401</v>
      </c>
      <c r="E1657">
        <v>20220331</v>
      </c>
      <c r="F1657" t="s">
        <v>4099</v>
      </c>
      <c r="G1657" t="s">
        <v>4100</v>
      </c>
      <c r="H1657" t="s">
        <v>590</v>
      </c>
      <c r="I1657" t="s">
        <v>1462</v>
      </c>
      <c r="L1657">
        <v>20</v>
      </c>
      <c r="M1657">
        <v>800</v>
      </c>
      <c r="N1657">
        <v>-20</v>
      </c>
      <c r="O1657">
        <v>-800</v>
      </c>
      <c r="Z1657" s="3">
        <f t="shared" si="25"/>
        <v>40</v>
      </c>
    </row>
    <row r="1658" spans="1:26" hidden="1">
      <c r="A1658" t="s">
        <v>706</v>
      </c>
      <c r="B1658" s="6">
        <v>44287</v>
      </c>
      <c r="C1658" s="6">
        <v>44651</v>
      </c>
      <c r="D1658">
        <v>20210401</v>
      </c>
      <c r="E1658">
        <v>20220331</v>
      </c>
      <c r="F1658" t="s">
        <v>4101</v>
      </c>
      <c r="G1658" t="s">
        <v>4102</v>
      </c>
      <c r="H1658" t="s">
        <v>590</v>
      </c>
      <c r="I1658" t="s">
        <v>1462</v>
      </c>
      <c r="L1658">
        <v>10</v>
      </c>
      <c r="M1658">
        <v>250</v>
      </c>
      <c r="N1658">
        <v>-10</v>
      </c>
      <c r="O1658">
        <v>-250</v>
      </c>
      <c r="Z1658" s="3">
        <f t="shared" si="25"/>
        <v>25</v>
      </c>
    </row>
    <row r="1659" spans="1:26" hidden="1">
      <c r="A1659" t="s">
        <v>706</v>
      </c>
      <c r="B1659" s="6">
        <v>44287</v>
      </c>
      <c r="C1659" s="6">
        <v>44651</v>
      </c>
      <c r="D1659">
        <v>20210401</v>
      </c>
      <c r="E1659">
        <v>20220331</v>
      </c>
      <c r="F1659" t="s">
        <v>4103</v>
      </c>
      <c r="G1659" t="s">
        <v>4104</v>
      </c>
      <c r="H1659" t="s">
        <v>590</v>
      </c>
      <c r="I1659" t="s">
        <v>1462</v>
      </c>
      <c r="L1659">
        <v>2</v>
      </c>
      <c r="M1659">
        <v>380</v>
      </c>
      <c r="N1659">
        <v>-2</v>
      </c>
      <c r="O1659">
        <v>-380</v>
      </c>
      <c r="Z1659" s="3">
        <f t="shared" si="25"/>
        <v>190</v>
      </c>
    </row>
    <row r="1660" spans="1:26" hidden="1">
      <c r="A1660" t="s">
        <v>706</v>
      </c>
      <c r="B1660" s="6">
        <v>44287</v>
      </c>
      <c r="C1660" s="6">
        <v>44651</v>
      </c>
      <c r="D1660">
        <v>20210401</v>
      </c>
      <c r="E1660">
        <v>20220331</v>
      </c>
      <c r="F1660" t="s">
        <v>4105</v>
      </c>
      <c r="G1660" t="s">
        <v>4106</v>
      </c>
      <c r="H1660" t="s">
        <v>590</v>
      </c>
      <c r="I1660" t="s">
        <v>1462</v>
      </c>
      <c r="L1660">
        <v>10</v>
      </c>
      <c r="M1660">
        <v>750</v>
      </c>
      <c r="N1660">
        <v>-19</v>
      </c>
      <c r="O1660">
        <v>-1425</v>
      </c>
      <c r="P1660">
        <v>9</v>
      </c>
      <c r="Q1660">
        <v>675</v>
      </c>
      <c r="Z1660" s="3">
        <f t="shared" si="25"/>
        <v>75</v>
      </c>
    </row>
    <row r="1661" spans="1:26" hidden="1">
      <c r="A1661" t="s">
        <v>706</v>
      </c>
      <c r="B1661" s="6">
        <v>44287</v>
      </c>
      <c r="C1661" s="6">
        <v>44651</v>
      </c>
      <c r="D1661">
        <v>20210401</v>
      </c>
      <c r="E1661">
        <v>20220331</v>
      </c>
      <c r="F1661" t="s">
        <v>4107</v>
      </c>
      <c r="G1661" t="s">
        <v>4108</v>
      </c>
      <c r="H1661" t="s">
        <v>590</v>
      </c>
      <c r="I1661" t="s">
        <v>774</v>
      </c>
      <c r="L1661">
        <v>1</v>
      </c>
      <c r="M1661">
        <v>79000</v>
      </c>
      <c r="N1661">
        <v>-1</v>
      </c>
      <c r="O1661">
        <v>-79000</v>
      </c>
      <c r="Z1661" s="3">
        <f t="shared" si="25"/>
        <v>79000</v>
      </c>
    </row>
    <row r="1662" spans="1:26" hidden="1">
      <c r="A1662" t="s">
        <v>706</v>
      </c>
      <c r="B1662" s="6">
        <v>44287</v>
      </c>
      <c r="C1662" s="6">
        <v>44651</v>
      </c>
      <c r="D1662">
        <v>20210401</v>
      </c>
      <c r="E1662">
        <v>20220331</v>
      </c>
      <c r="F1662" t="s">
        <v>4109</v>
      </c>
      <c r="G1662" t="s">
        <v>4110</v>
      </c>
      <c r="H1662" t="s">
        <v>590</v>
      </c>
      <c r="I1662" t="s">
        <v>774</v>
      </c>
      <c r="P1662">
        <v>1</v>
      </c>
      <c r="Q1662">
        <v>94275</v>
      </c>
      <c r="R1662">
        <v>-1</v>
      </c>
      <c r="S1662">
        <v>-94275</v>
      </c>
      <c r="Z1662" s="3">
        <f t="shared" si="25"/>
        <v>94275</v>
      </c>
    </row>
    <row r="1663" spans="1:26" hidden="1">
      <c r="A1663" t="s">
        <v>706</v>
      </c>
      <c r="B1663" s="6">
        <v>44287</v>
      </c>
      <c r="C1663" s="6">
        <v>44651</v>
      </c>
      <c r="D1663">
        <v>20210401</v>
      </c>
      <c r="E1663">
        <v>20220331</v>
      </c>
      <c r="F1663" t="s">
        <v>4111</v>
      </c>
      <c r="G1663" t="s">
        <v>4112</v>
      </c>
      <c r="H1663" t="s">
        <v>590</v>
      </c>
      <c r="I1663" t="s">
        <v>774</v>
      </c>
      <c r="P1663">
        <v>1</v>
      </c>
      <c r="R1663">
        <v>-1</v>
      </c>
      <c r="Z1663" s="3">
        <f t="shared" si="25"/>
        <v>0</v>
      </c>
    </row>
    <row r="1664" spans="1:26" hidden="1">
      <c r="A1664" t="s">
        <v>706</v>
      </c>
      <c r="B1664" s="6">
        <v>44287</v>
      </c>
      <c r="C1664" s="6">
        <v>44651</v>
      </c>
      <c r="D1664">
        <v>20210401</v>
      </c>
      <c r="E1664">
        <v>20220331</v>
      </c>
      <c r="F1664" t="s">
        <v>4113</v>
      </c>
      <c r="G1664" t="s">
        <v>4114</v>
      </c>
      <c r="H1664" t="s">
        <v>1973</v>
      </c>
      <c r="I1664" t="s">
        <v>1462</v>
      </c>
      <c r="L1664">
        <v>4900</v>
      </c>
      <c r="M1664">
        <v>191200</v>
      </c>
      <c r="N1664">
        <v>-4260</v>
      </c>
      <c r="O1664">
        <v>-163780.1</v>
      </c>
      <c r="R1664">
        <v>-20</v>
      </c>
      <c r="S1664">
        <v>-760</v>
      </c>
      <c r="X1664">
        <v>620</v>
      </c>
      <c r="Y1664">
        <v>26659.9</v>
      </c>
      <c r="Z1664" s="3">
        <f t="shared" si="25"/>
        <v>38.446032863849766</v>
      </c>
    </row>
    <row r="1665" spans="1:26" hidden="1">
      <c r="A1665" t="s">
        <v>706</v>
      </c>
      <c r="B1665" s="6">
        <v>44287</v>
      </c>
      <c r="C1665" s="6">
        <v>44651</v>
      </c>
      <c r="D1665">
        <v>20210401</v>
      </c>
      <c r="E1665">
        <v>20220331</v>
      </c>
      <c r="F1665" t="s">
        <v>4115</v>
      </c>
      <c r="G1665" t="s">
        <v>4116</v>
      </c>
      <c r="H1665" t="s">
        <v>1973</v>
      </c>
      <c r="I1665" t="s">
        <v>1462</v>
      </c>
      <c r="J1665">
        <v>19</v>
      </c>
      <c r="K1665">
        <v>646.04</v>
      </c>
      <c r="N1665">
        <v>-19</v>
      </c>
      <c r="O1665">
        <v>-646</v>
      </c>
      <c r="Y1665">
        <v>0.04</v>
      </c>
      <c r="Z1665" s="3">
        <f t="shared" si="25"/>
        <v>34</v>
      </c>
    </row>
    <row r="1666" spans="1:26" hidden="1">
      <c r="A1666" t="s">
        <v>706</v>
      </c>
      <c r="B1666" s="6">
        <v>44287</v>
      </c>
      <c r="C1666" s="6">
        <v>44651</v>
      </c>
      <c r="D1666">
        <v>20210401</v>
      </c>
      <c r="E1666">
        <v>20220331</v>
      </c>
      <c r="F1666" t="s">
        <v>4117</v>
      </c>
      <c r="G1666" t="s">
        <v>4118</v>
      </c>
      <c r="H1666" t="s">
        <v>613</v>
      </c>
      <c r="I1666" t="s">
        <v>1462</v>
      </c>
      <c r="L1666">
        <v>6</v>
      </c>
      <c r="M1666">
        <v>585</v>
      </c>
      <c r="N1666">
        <v>-6</v>
      </c>
      <c r="O1666">
        <v>-585</v>
      </c>
      <c r="Z1666" s="3">
        <f t="shared" si="25"/>
        <v>97.5</v>
      </c>
    </row>
    <row r="1667" spans="1:26" hidden="1">
      <c r="A1667" t="s">
        <v>706</v>
      </c>
      <c r="B1667" s="6">
        <v>44287</v>
      </c>
      <c r="C1667" s="6">
        <v>44651</v>
      </c>
      <c r="D1667">
        <v>20210401</v>
      </c>
      <c r="E1667">
        <v>20220331</v>
      </c>
      <c r="F1667" t="s">
        <v>4119</v>
      </c>
      <c r="G1667" t="s">
        <v>4120</v>
      </c>
      <c r="H1667" t="s">
        <v>613</v>
      </c>
      <c r="I1667" t="s">
        <v>1462</v>
      </c>
      <c r="L1667">
        <v>2</v>
      </c>
      <c r="M1667">
        <v>190</v>
      </c>
      <c r="N1667">
        <v>-2</v>
      </c>
      <c r="O1667">
        <v>-190</v>
      </c>
      <c r="Z1667" s="3">
        <f t="shared" ref="Z1667:Z1730" si="26">IFERROR((O1667+Q1667)/(N1667+P1667),Y1667/X1667)</f>
        <v>95</v>
      </c>
    </row>
    <row r="1668" spans="1:26" hidden="1">
      <c r="A1668" t="s">
        <v>706</v>
      </c>
      <c r="B1668" s="6">
        <v>44287</v>
      </c>
      <c r="C1668" s="6">
        <v>44651</v>
      </c>
      <c r="D1668">
        <v>20210401</v>
      </c>
      <c r="E1668">
        <v>20220331</v>
      </c>
      <c r="F1668" t="s">
        <v>4121</v>
      </c>
      <c r="G1668" t="s">
        <v>4122</v>
      </c>
      <c r="H1668" t="s">
        <v>590</v>
      </c>
      <c r="I1668" t="s">
        <v>1462</v>
      </c>
      <c r="L1668">
        <v>19</v>
      </c>
      <c r="M1668">
        <v>48895.5</v>
      </c>
      <c r="N1668">
        <v>-17</v>
      </c>
      <c r="O1668">
        <v>-48115.5</v>
      </c>
      <c r="X1668">
        <v>2</v>
      </c>
      <c r="Y1668">
        <v>780</v>
      </c>
      <c r="Z1668" s="3">
        <f t="shared" si="26"/>
        <v>2830.3235294117649</v>
      </c>
    </row>
    <row r="1669" spans="1:26" hidden="1">
      <c r="A1669" t="s">
        <v>706</v>
      </c>
      <c r="B1669" s="6">
        <v>44287</v>
      </c>
      <c r="C1669" s="6">
        <v>44651</v>
      </c>
      <c r="D1669">
        <v>20210401</v>
      </c>
      <c r="E1669">
        <v>20220331</v>
      </c>
      <c r="F1669" t="s">
        <v>4123</v>
      </c>
      <c r="G1669" t="s">
        <v>4124</v>
      </c>
      <c r="H1669" t="s">
        <v>590</v>
      </c>
      <c r="I1669" t="s">
        <v>1462</v>
      </c>
      <c r="L1669">
        <v>20</v>
      </c>
      <c r="M1669">
        <v>1805</v>
      </c>
      <c r="N1669">
        <v>-20</v>
      </c>
      <c r="O1669">
        <v>-1805</v>
      </c>
      <c r="Z1669" s="3">
        <f t="shared" si="26"/>
        <v>90.25</v>
      </c>
    </row>
    <row r="1670" spans="1:26" hidden="1">
      <c r="A1670" t="s">
        <v>706</v>
      </c>
      <c r="B1670" s="6">
        <v>44287</v>
      </c>
      <c r="C1670" s="6">
        <v>44651</v>
      </c>
      <c r="D1670">
        <v>20210401</v>
      </c>
      <c r="E1670">
        <v>20220331</v>
      </c>
      <c r="F1670" t="s">
        <v>4125</v>
      </c>
      <c r="G1670" t="s">
        <v>4126</v>
      </c>
      <c r="H1670" t="s">
        <v>613</v>
      </c>
      <c r="I1670" t="s">
        <v>1462</v>
      </c>
      <c r="L1670">
        <v>17</v>
      </c>
      <c r="M1670">
        <v>1574</v>
      </c>
      <c r="N1670">
        <v>-17</v>
      </c>
      <c r="O1670">
        <v>-1574</v>
      </c>
      <c r="Z1670" s="3">
        <f t="shared" si="26"/>
        <v>92.588235294117652</v>
      </c>
    </row>
    <row r="1671" spans="1:26" hidden="1">
      <c r="A1671" t="s">
        <v>706</v>
      </c>
      <c r="B1671" s="6">
        <v>44287</v>
      </c>
      <c r="C1671" s="6">
        <v>44651</v>
      </c>
      <c r="D1671">
        <v>20210401</v>
      </c>
      <c r="E1671">
        <v>20220331</v>
      </c>
      <c r="F1671" t="s">
        <v>4127</v>
      </c>
      <c r="G1671" t="s">
        <v>4128</v>
      </c>
      <c r="H1671" t="s">
        <v>590</v>
      </c>
      <c r="I1671" t="s">
        <v>1462</v>
      </c>
      <c r="L1671">
        <v>5</v>
      </c>
      <c r="M1671">
        <v>230</v>
      </c>
      <c r="N1671">
        <v>-5</v>
      </c>
      <c r="O1671">
        <v>-230</v>
      </c>
      <c r="Z1671" s="3">
        <f t="shared" si="26"/>
        <v>46</v>
      </c>
    </row>
    <row r="1672" spans="1:26" hidden="1">
      <c r="A1672" t="s">
        <v>706</v>
      </c>
      <c r="B1672" s="6">
        <v>44287</v>
      </c>
      <c r="C1672" s="6">
        <v>44651</v>
      </c>
      <c r="D1672">
        <v>20210401</v>
      </c>
      <c r="E1672">
        <v>20220331</v>
      </c>
      <c r="F1672" t="s">
        <v>4129</v>
      </c>
      <c r="G1672" t="s">
        <v>4130</v>
      </c>
      <c r="H1672" t="s">
        <v>613</v>
      </c>
      <c r="I1672" t="s">
        <v>1462</v>
      </c>
      <c r="L1672">
        <v>20</v>
      </c>
      <c r="M1672">
        <v>1880</v>
      </c>
      <c r="N1672">
        <v>-20</v>
      </c>
      <c r="O1672">
        <v>-1880</v>
      </c>
      <c r="Z1672" s="3">
        <f t="shared" si="26"/>
        <v>94</v>
      </c>
    </row>
    <row r="1673" spans="1:26" hidden="1">
      <c r="A1673" t="s">
        <v>706</v>
      </c>
      <c r="B1673" s="6">
        <v>44287</v>
      </c>
      <c r="C1673" s="6">
        <v>44651</v>
      </c>
      <c r="D1673">
        <v>20210401</v>
      </c>
      <c r="E1673">
        <v>20220331</v>
      </c>
      <c r="F1673" t="s">
        <v>4131</v>
      </c>
      <c r="G1673" t="s">
        <v>4132</v>
      </c>
      <c r="H1673" t="s">
        <v>613</v>
      </c>
      <c r="I1673" t="s">
        <v>1462</v>
      </c>
      <c r="L1673">
        <v>20</v>
      </c>
      <c r="M1673">
        <v>2200</v>
      </c>
      <c r="N1673">
        <v>-20</v>
      </c>
      <c r="O1673">
        <v>-2200</v>
      </c>
      <c r="Z1673" s="3">
        <f t="shared" si="26"/>
        <v>110</v>
      </c>
    </row>
    <row r="1674" spans="1:26" hidden="1">
      <c r="A1674" t="s">
        <v>706</v>
      </c>
      <c r="B1674" s="6">
        <v>44287</v>
      </c>
      <c r="C1674" s="6">
        <v>44651</v>
      </c>
      <c r="D1674">
        <v>20210401</v>
      </c>
      <c r="E1674">
        <v>20220331</v>
      </c>
      <c r="F1674" t="s">
        <v>4133</v>
      </c>
      <c r="G1674" t="s">
        <v>4134</v>
      </c>
      <c r="H1674" t="s">
        <v>613</v>
      </c>
      <c r="I1674" t="s">
        <v>1462</v>
      </c>
      <c r="L1674">
        <v>3</v>
      </c>
      <c r="M1674">
        <v>288</v>
      </c>
      <c r="N1674">
        <v>-3</v>
      </c>
      <c r="O1674">
        <v>-288</v>
      </c>
      <c r="Z1674" s="3">
        <f t="shared" si="26"/>
        <v>96</v>
      </c>
    </row>
    <row r="1675" spans="1:26" hidden="1">
      <c r="A1675" t="s">
        <v>706</v>
      </c>
      <c r="B1675" s="6">
        <v>44287</v>
      </c>
      <c r="C1675" s="6">
        <v>44651</v>
      </c>
      <c r="D1675">
        <v>20210401</v>
      </c>
      <c r="E1675">
        <v>20220331</v>
      </c>
      <c r="F1675" t="s">
        <v>4135</v>
      </c>
      <c r="G1675" t="s">
        <v>4136</v>
      </c>
      <c r="H1675" t="s">
        <v>613</v>
      </c>
      <c r="I1675" t="s">
        <v>1462</v>
      </c>
      <c r="L1675">
        <v>1</v>
      </c>
      <c r="M1675">
        <v>92</v>
      </c>
      <c r="N1675">
        <v>-1</v>
      </c>
      <c r="O1675">
        <v>-92</v>
      </c>
      <c r="Z1675" s="3">
        <f t="shared" si="26"/>
        <v>92</v>
      </c>
    </row>
    <row r="1676" spans="1:26" hidden="1">
      <c r="A1676" t="s">
        <v>706</v>
      </c>
      <c r="B1676" s="6">
        <v>44287</v>
      </c>
      <c r="C1676" s="6">
        <v>44651</v>
      </c>
      <c r="D1676">
        <v>20210401</v>
      </c>
      <c r="E1676">
        <v>20220331</v>
      </c>
      <c r="F1676" t="s">
        <v>4137</v>
      </c>
      <c r="G1676" t="s">
        <v>4138</v>
      </c>
      <c r="H1676" t="s">
        <v>590</v>
      </c>
      <c r="I1676" t="s">
        <v>1462</v>
      </c>
      <c r="L1676">
        <v>12</v>
      </c>
      <c r="M1676">
        <v>276</v>
      </c>
      <c r="N1676">
        <v>-12</v>
      </c>
      <c r="O1676">
        <v>-276</v>
      </c>
      <c r="Z1676" s="3">
        <f t="shared" si="26"/>
        <v>23</v>
      </c>
    </row>
    <row r="1677" spans="1:26" hidden="1">
      <c r="A1677" t="s">
        <v>706</v>
      </c>
      <c r="B1677" s="6">
        <v>44287</v>
      </c>
      <c r="C1677" s="6">
        <v>44651</v>
      </c>
      <c r="D1677">
        <v>20210401</v>
      </c>
      <c r="E1677">
        <v>20220331</v>
      </c>
      <c r="F1677" t="s">
        <v>4139</v>
      </c>
      <c r="G1677" t="s">
        <v>4140</v>
      </c>
      <c r="H1677" t="s">
        <v>590</v>
      </c>
      <c r="I1677" t="s">
        <v>1462</v>
      </c>
      <c r="L1677">
        <v>3</v>
      </c>
      <c r="M1677">
        <v>245</v>
      </c>
      <c r="N1677">
        <v>-6</v>
      </c>
      <c r="O1677">
        <v>-440</v>
      </c>
      <c r="P1677">
        <v>3</v>
      </c>
      <c r="Q1677">
        <v>195</v>
      </c>
      <c r="Z1677" s="3">
        <f t="shared" si="26"/>
        <v>81.666666666666671</v>
      </c>
    </row>
    <row r="1678" spans="1:26" hidden="1">
      <c r="A1678" t="s">
        <v>706</v>
      </c>
      <c r="B1678" s="6">
        <v>44287</v>
      </c>
      <c r="C1678" s="6">
        <v>44651</v>
      </c>
      <c r="D1678">
        <v>20210401</v>
      </c>
      <c r="E1678">
        <v>20220331</v>
      </c>
      <c r="F1678" t="s">
        <v>4141</v>
      </c>
      <c r="G1678" t="s">
        <v>4142</v>
      </c>
      <c r="H1678" t="s">
        <v>590</v>
      </c>
      <c r="I1678" t="s">
        <v>805</v>
      </c>
      <c r="L1678">
        <v>299</v>
      </c>
      <c r="M1678">
        <v>56810</v>
      </c>
      <c r="N1678">
        <v>-299</v>
      </c>
      <c r="O1678">
        <v>-56810</v>
      </c>
      <c r="Z1678" s="3">
        <f t="shared" si="26"/>
        <v>190</v>
      </c>
    </row>
    <row r="1679" spans="1:26" hidden="1">
      <c r="A1679" t="s">
        <v>706</v>
      </c>
      <c r="B1679" s="6">
        <v>44287</v>
      </c>
      <c r="C1679" s="6">
        <v>44651</v>
      </c>
      <c r="D1679">
        <v>20210401</v>
      </c>
      <c r="E1679">
        <v>20220331</v>
      </c>
      <c r="F1679" t="s">
        <v>4143</v>
      </c>
      <c r="G1679" t="s">
        <v>4144</v>
      </c>
      <c r="H1679" t="s">
        <v>613</v>
      </c>
      <c r="I1679" t="s">
        <v>1462</v>
      </c>
      <c r="L1679">
        <v>2</v>
      </c>
      <c r="M1679">
        <v>190</v>
      </c>
      <c r="N1679">
        <v>-2</v>
      </c>
      <c r="O1679">
        <v>-190</v>
      </c>
      <c r="Z1679" s="3">
        <f t="shared" si="26"/>
        <v>95</v>
      </c>
    </row>
    <row r="1680" spans="1:26" hidden="1">
      <c r="A1680" t="s">
        <v>706</v>
      </c>
      <c r="B1680" s="6">
        <v>44287</v>
      </c>
      <c r="C1680" s="6">
        <v>44651</v>
      </c>
      <c r="D1680">
        <v>20210401</v>
      </c>
      <c r="E1680">
        <v>20220331</v>
      </c>
      <c r="F1680" t="s">
        <v>4145</v>
      </c>
      <c r="G1680" t="s">
        <v>4146</v>
      </c>
      <c r="H1680" t="s">
        <v>613</v>
      </c>
      <c r="I1680" t="s">
        <v>1462</v>
      </c>
      <c r="L1680">
        <v>1</v>
      </c>
      <c r="M1680">
        <v>84.75</v>
      </c>
      <c r="N1680">
        <v>-1</v>
      </c>
      <c r="O1680">
        <v>-84.75</v>
      </c>
      <c r="Z1680" s="3">
        <f t="shared" si="26"/>
        <v>84.75</v>
      </c>
    </row>
    <row r="1681" spans="1:26" hidden="1">
      <c r="A1681" t="s">
        <v>706</v>
      </c>
      <c r="B1681" s="6">
        <v>44287</v>
      </c>
      <c r="C1681" s="6">
        <v>44651</v>
      </c>
      <c r="D1681">
        <v>20210401</v>
      </c>
      <c r="E1681">
        <v>20220331</v>
      </c>
      <c r="F1681" t="s">
        <v>4147</v>
      </c>
      <c r="G1681" t="s">
        <v>4148</v>
      </c>
      <c r="H1681" t="s">
        <v>613</v>
      </c>
      <c r="I1681" t="s">
        <v>805</v>
      </c>
      <c r="L1681">
        <v>15</v>
      </c>
      <c r="M1681">
        <v>1325</v>
      </c>
      <c r="N1681">
        <v>-15</v>
      </c>
      <c r="O1681">
        <v>-1325</v>
      </c>
      <c r="Z1681" s="3">
        <f t="shared" si="26"/>
        <v>88.333333333333329</v>
      </c>
    </row>
    <row r="1682" spans="1:26" hidden="1">
      <c r="A1682" t="s">
        <v>706</v>
      </c>
      <c r="B1682" s="6">
        <v>44287</v>
      </c>
      <c r="C1682" s="6">
        <v>44651</v>
      </c>
      <c r="D1682">
        <v>20210401</v>
      </c>
      <c r="E1682">
        <v>20220331</v>
      </c>
      <c r="F1682" t="s">
        <v>4149</v>
      </c>
      <c r="G1682" t="s">
        <v>4150</v>
      </c>
      <c r="H1682" t="s">
        <v>590</v>
      </c>
      <c r="I1682" t="s">
        <v>1462</v>
      </c>
      <c r="K1682">
        <v>0.01</v>
      </c>
      <c r="Y1682">
        <v>0.01</v>
      </c>
      <c r="Z1682" s="3" t="e">
        <f t="shared" si="26"/>
        <v>#DIV/0!</v>
      </c>
    </row>
    <row r="1683" spans="1:26" hidden="1">
      <c r="A1683" t="s">
        <v>706</v>
      </c>
      <c r="B1683" s="6">
        <v>44287</v>
      </c>
      <c r="C1683" s="6">
        <v>44651</v>
      </c>
      <c r="D1683">
        <v>20210401</v>
      </c>
      <c r="E1683">
        <v>20220331</v>
      </c>
      <c r="F1683" t="s">
        <v>4151</v>
      </c>
      <c r="G1683" t="s">
        <v>4152</v>
      </c>
      <c r="H1683" t="s">
        <v>590</v>
      </c>
      <c r="I1683" t="s">
        <v>805</v>
      </c>
      <c r="L1683">
        <v>5</v>
      </c>
      <c r="M1683">
        <v>450</v>
      </c>
      <c r="N1683">
        <v>-5</v>
      </c>
      <c r="O1683">
        <v>-450</v>
      </c>
      <c r="Z1683" s="3">
        <f t="shared" si="26"/>
        <v>90</v>
      </c>
    </row>
    <row r="1684" spans="1:26" hidden="1">
      <c r="A1684" t="s">
        <v>706</v>
      </c>
      <c r="B1684" s="6">
        <v>44287</v>
      </c>
      <c r="C1684" s="6">
        <v>44651</v>
      </c>
      <c r="D1684">
        <v>20210401</v>
      </c>
      <c r="E1684">
        <v>20220331</v>
      </c>
      <c r="F1684" t="s">
        <v>4153</v>
      </c>
      <c r="G1684" t="s">
        <v>4154</v>
      </c>
      <c r="H1684" t="s">
        <v>590</v>
      </c>
      <c r="I1684" t="s">
        <v>805</v>
      </c>
      <c r="L1684">
        <v>30</v>
      </c>
      <c r="M1684">
        <v>780</v>
      </c>
      <c r="N1684">
        <v>-30</v>
      </c>
      <c r="O1684">
        <v>-780</v>
      </c>
      <c r="Z1684" s="3">
        <f t="shared" si="26"/>
        <v>26</v>
      </c>
    </row>
    <row r="1685" spans="1:26" hidden="1">
      <c r="A1685" t="s">
        <v>706</v>
      </c>
      <c r="B1685" s="6">
        <v>44287</v>
      </c>
      <c r="C1685" s="6">
        <v>44651</v>
      </c>
      <c r="D1685">
        <v>20210401</v>
      </c>
      <c r="E1685">
        <v>20220331</v>
      </c>
      <c r="F1685" t="s">
        <v>4155</v>
      </c>
      <c r="G1685" t="s">
        <v>4156</v>
      </c>
      <c r="H1685" t="s">
        <v>590</v>
      </c>
      <c r="I1685" t="s">
        <v>805</v>
      </c>
      <c r="L1685">
        <v>10</v>
      </c>
      <c r="M1685">
        <v>1080</v>
      </c>
      <c r="N1685">
        <v>-10</v>
      </c>
      <c r="O1685">
        <v>-1080</v>
      </c>
      <c r="Z1685" s="3">
        <f t="shared" si="26"/>
        <v>108</v>
      </c>
    </row>
    <row r="1686" spans="1:26" hidden="1">
      <c r="A1686" t="s">
        <v>706</v>
      </c>
      <c r="B1686" s="6">
        <v>44287</v>
      </c>
      <c r="C1686" s="6">
        <v>44651</v>
      </c>
      <c r="D1686">
        <v>20210401</v>
      </c>
      <c r="E1686">
        <v>20220331</v>
      </c>
      <c r="F1686" t="s">
        <v>4157</v>
      </c>
      <c r="G1686" t="s">
        <v>4158</v>
      </c>
      <c r="H1686" t="s">
        <v>1973</v>
      </c>
      <c r="I1686" t="s">
        <v>1462</v>
      </c>
      <c r="L1686">
        <v>40</v>
      </c>
      <c r="M1686">
        <v>920</v>
      </c>
      <c r="N1686">
        <v>-40</v>
      </c>
      <c r="O1686">
        <v>-920</v>
      </c>
      <c r="Z1686" s="3">
        <f t="shared" si="26"/>
        <v>23</v>
      </c>
    </row>
    <row r="1687" spans="1:26" hidden="1">
      <c r="A1687" t="s">
        <v>706</v>
      </c>
      <c r="B1687" s="6">
        <v>44287</v>
      </c>
      <c r="C1687" s="6">
        <v>44651</v>
      </c>
      <c r="D1687">
        <v>20210401</v>
      </c>
      <c r="E1687">
        <v>20220331</v>
      </c>
      <c r="F1687" t="s">
        <v>4159</v>
      </c>
      <c r="G1687" t="s">
        <v>4160</v>
      </c>
      <c r="H1687" t="s">
        <v>613</v>
      </c>
      <c r="I1687" t="s">
        <v>805</v>
      </c>
      <c r="L1687">
        <v>25</v>
      </c>
      <c r="M1687">
        <v>2320</v>
      </c>
      <c r="N1687">
        <v>-25</v>
      </c>
      <c r="O1687">
        <v>-2320</v>
      </c>
      <c r="Z1687" s="3">
        <f t="shared" si="26"/>
        <v>92.8</v>
      </c>
    </row>
    <row r="1688" spans="1:26" hidden="1">
      <c r="A1688" t="s">
        <v>706</v>
      </c>
      <c r="B1688" s="6">
        <v>44287</v>
      </c>
      <c r="C1688" s="6">
        <v>44651</v>
      </c>
      <c r="D1688">
        <v>20210401</v>
      </c>
      <c r="E1688">
        <v>20220331</v>
      </c>
      <c r="F1688" t="s">
        <v>4161</v>
      </c>
      <c r="G1688" t="s">
        <v>4162</v>
      </c>
      <c r="H1688" t="s">
        <v>590</v>
      </c>
      <c r="I1688" t="s">
        <v>1462</v>
      </c>
      <c r="L1688">
        <v>35</v>
      </c>
      <c r="M1688">
        <v>420</v>
      </c>
      <c r="N1688">
        <v>-35</v>
      </c>
      <c r="O1688">
        <v>-420</v>
      </c>
      <c r="Z1688" s="3">
        <f t="shared" si="26"/>
        <v>12</v>
      </c>
    </row>
    <row r="1689" spans="1:26" hidden="1">
      <c r="A1689" t="s">
        <v>706</v>
      </c>
      <c r="B1689" s="6">
        <v>44287</v>
      </c>
      <c r="C1689" s="6">
        <v>44651</v>
      </c>
      <c r="D1689">
        <v>20210401</v>
      </c>
      <c r="E1689">
        <v>20220331</v>
      </c>
      <c r="F1689" t="s">
        <v>4163</v>
      </c>
      <c r="G1689" t="s">
        <v>4164</v>
      </c>
      <c r="H1689" t="s">
        <v>590</v>
      </c>
      <c r="I1689" t="s">
        <v>1462</v>
      </c>
      <c r="L1689">
        <v>80</v>
      </c>
      <c r="M1689">
        <v>1125</v>
      </c>
      <c r="N1689">
        <v>-80</v>
      </c>
      <c r="O1689">
        <v>-1125.01</v>
      </c>
      <c r="Y1689">
        <v>-0.01</v>
      </c>
      <c r="Z1689" s="3">
        <f t="shared" si="26"/>
        <v>14.062625000000001</v>
      </c>
    </row>
    <row r="1690" spans="1:26" hidden="1">
      <c r="A1690" t="s">
        <v>706</v>
      </c>
      <c r="B1690" s="6">
        <v>44287</v>
      </c>
      <c r="C1690" s="6">
        <v>44651</v>
      </c>
      <c r="D1690">
        <v>20210401</v>
      </c>
      <c r="E1690">
        <v>20220331</v>
      </c>
      <c r="F1690" t="s">
        <v>4165</v>
      </c>
      <c r="G1690" t="s">
        <v>4166</v>
      </c>
      <c r="H1690" t="s">
        <v>613</v>
      </c>
      <c r="I1690" t="s">
        <v>805</v>
      </c>
      <c r="L1690">
        <v>2</v>
      </c>
      <c r="M1690">
        <v>192</v>
      </c>
      <c r="N1690">
        <v>-2</v>
      </c>
      <c r="O1690">
        <v>-192</v>
      </c>
      <c r="Z1690" s="3">
        <f t="shared" si="26"/>
        <v>96</v>
      </c>
    </row>
    <row r="1691" spans="1:26" hidden="1">
      <c r="A1691" t="s">
        <v>706</v>
      </c>
      <c r="B1691" s="6">
        <v>44287</v>
      </c>
      <c r="C1691" s="6">
        <v>44651</v>
      </c>
      <c r="D1691">
        <v>20210401</v>
      </c>
      <c r="E1691">
        <v>20220331</v>
      </c>
      <c r="F1691" t="s">
        <v>4167</v>
      </c>
      <c r="G1691" t="s">
        <v>4168</v>
      </c>
      <c r="H1691" t="s">
        <v>613</v>
      </c>
      <c r="I1691" t="s">
        <v>1462</v>
      </c>
      <c r="L1691">
        <v>10</v>
      </c>
      <c r="M1691">
        <v>920</v>
      </c>
      <c r="N1691">
        <v>-10</v>
      </c>
      <c r="O1691">
        <v>-920</v>
      </c>
      <c r="Z1691" s="3">
        <f t="shared" si="26"/>
        <v>92</v>
      </c>
    </row>
    <row r="1692" spans="1:26" hidden="1">
      <c r="A1692" t="s">
        <v>706</v>
      </c>
      <c r="B1692" s="6">
        <v>44287</v>
      </c>
      <c r="C1692" s="6">
        <v>44651</v>
      </c>
      <c r="D1692">
        <v>20210401</v>
      </c>
      <c r="E1692">
        <v>20220331</v>
      </c>
      <c r="F1692" t="s">
        <v>4169</v>
      </c>
      <c r="G1692" t="s">
        <v>4170</v>
      </c>
      <c r="H1692" t="s">
        <v>590</v>
      </c>
      <c r="I1692" t="s">
        <v>1462</v>
      </c>
      <c r="L1692">
        <v>22</v>
      </c>
      <c r="M1692">
        <v>7216</v>
      </c>
      <c r="N1692">
        <v>-22</v>
      </c>
      <c r="O1692">
        <v>-7216</v>
      </c>
      <c r="Z1692" s="3">
        <f t="shared" si="26"/>
        <v>328</v>
      </c>
    </row>
    <row r="1693" spans="1:26" hidden="1">
      <c r="A1693" t="s">
        <v>706</v>
      </c>
      <c r="B1693" s="6">
        <v>44287</v>
      </c>
      <c r="C1693" s="6">
        <v>44651</v>
      </c>
      <c r="D1693">
        <v>20210401</v>
      </c>
      <c r="E1693">
        <v>20220331</v>
      </c>
      <c r="F1693" t="s">
        <v>4171</v>
      </c>
      <c r="G1693" t="s">
        <v>4172</v>
      </c>
      <c r="H1693" t="s">
        <v>590</v>
      </c>
      <c r="I1693" t="s">
        <v>1462</v>
      </c>
      <c r="L1693">
        <v>30</v>
      </c>
      <c r="M1693">
        <v>960</v>
      </c>
      <c r="N1693">
        <v>-30</v>
      </c>
      <c r="O1693">
        <v>-960</v>
      </c>
      <c r="Z1693" s="3">
        <f t="shared" si="26"/>
        <v>32</v>
      </c>
    </row>
    <row r="1694" spans="1:26" hidden="1">
      <c r="A1694" t="s">
        <v>706</v>
      </c>
      <c r="B1694" s="6">
        <v>44287</v>
      </c>
      <c r="C1694" s="6">
        <v>44651</v>
      </c>
      <c r="D1694">
        <v>20210401</v>
      </c>
      <c r="E1694">
        <v>20220331</v>
      </c>
      <c r="F1694" t="s">
        <v>4173</v>
      </c>
      <c r="G1694" t="s">
        <v>4174</v>
      </c>
      <c r="H1694" t="s">
        <v>590</v>
      </c>
      <c r="I1694" t="s">
        <v>1462</v>
      </c>
      <c r="L1694">
        <v>1</v>
      </c>
      <c r="M1694">
        <v>145</v>
      </c>
      <c r="N1694">
        <v>-1</v>
      </c>
      <c r="O1694">
        <v>-145</v>
      </c>
      <c r="Z1694" s="3">
        <f t="shared" si="26"/>
        <v>145</v>
      </c>
    </row>
    <row r="1695" spans="1:26" hidden="1">
      <c r="A1695" t="s">
        <v>706</v>
      </c>
      <c r="B1695" s="6">
        <v>44287</v>
      </c>
      <c r="C1695" s="6">
        <v>44651</v>
      </c>
      <c r="D1695">
        <v>20210401</v>
      </c>
      <c r="E1695">
        <v>20220331</v>
      </c>
      <c r="F1695" t="s">
        <v>4175</v>
      </c>
      <c r="G1695" t="s">
        <v>4176</v>
      </c>
      <c r="H1695" t="s">
        <v>590</v>
      </c>
      <c r="I1695" t="s">
        <v>1462</v>
      </c>
      <c r="L1695">
        <v>200</v>
      </c>
      <c r="M1695">
        <v>500</v>
      </c>
      <c r="N1695">
        <v>-200</v>
      </c>
      <c r="O1695">
        <v>-500</v>
      </c>
      <c r="Z1695" s="3">
        <f t="shared" si="26"/>
        <v>2.5</v>
      </c>
    </row>
    <row r="1696" spans="1:26" hidden="1">
      <c r="A1696" t="s">
        <v>706</v>
      </c>
      <c r="B1696" s="6">
        <v>44287</v>
      </c>
      <c r="C1696" s="6">
        <v>44651</v>
      </c>
      <c r="D1696">
        <v>20210401</v>
      </c>
      <c r="E1696">
        <v>20220331</v>
      </c>
      <c r="F1696" t="s">
        <v>4177</v>
      </c>
      <c r="G1696" t="s">
        <v>4178</v>
      </c>
      <c r="H1696" t="s">
        <v>590</v>
      </c>
      <c r="I1696" t="s">
        <v>1462</v>
      </c>
      <c r="L1696">
        <v>20</v>
      </c>
      <c r="M1696">
        <v>1500</v>
      </c>
      <c r="N1696">
        <v>-20</v>
      </c>
      <c r="O1696">
        <v>-1500</v>
      </c>
      <c r="Z1696" s="3">
        <f t="shared" si="26"/>
        <v>75</v>
      </c>
    </row>
    <row r="1697" spans="1:26" hidden="1">
      <c r="A1697" t="s">
        <v>706</v>
      </c>
      <c r="B1697" s="6">
        <v>44287</v>
      </c>
      <c r="C1697" s="6">
        <v>44651</v>
      </c>
      <c r="D1697">
        <v>20210401</v>
      </c>
      <c r="E1697">
        <v>20220331</v>
      </c>
      <c r="F1697" t="s">
        <v>4179</v>
      </c>
      <c r="G1697" t="s">
        <v>4178</v>
      </c>
      <c r="H1697" t="s">
        <v>590</v>
      </c>
      <c r="I1697" t="s">
        <v>1462</v>
      </c>
      <c r="L1697">
        <v>50</v>
      </c>
      <c r="M1697">
        <v>3250</v>
      </c>
      <c r="N1697">
        <v>-50</v>
      </c>
      <c r="O1697">
        <v>-3250</v>
      </c>
      <c r="Z1697" s="3">
        <f t="shared" si="26"/>
        <v>65</v>
      </c>
    </row>
    <row r="1698" spans="1:26" hidden="1">
      <c r="A1698" t="s">
        <v>706</v>
      </c>
      <c r="B1698" s="6">
        <v>44287</v>
      </c>
      <c r="C1698" s="6">
        <v>44651</v>
      </c>
      <c r="D1698">
        <v>20210401</v>
      </c>
      <c r="E1698">
        <v>20220331</v>
      </c>
      <c r="F1698" t="s">
        <v>4180</v>
      </c>
      <c r="G1698" t="s">
        <v>4181</v>
      </c>
      <c r="H1698" t="s">
        <v>590</v>
      </c>
      <c r="I1698" t="s">
        <v>1462</v>
      </c>
      <c r="L1698">
        <v>1</v>
      </c>
      <c r="M1698">
        <v>350</v>
      </c>
      <c r="N1698">
        <v>-1</v>
      </c>
      <c r="O1698">
        <v>-350</v>
      </c>
      <c r="Z1698" s="3">
        <f t="shared" si="26"/>
        <v>350</v>
      </c>
    </row>
    <row r="1699" spans="1:26" hidden="1">
      <c r="A1699" t="s">
        <v>706</v>
      </c>
      <c r="B1699" s="6">
        <v>44287</v>
      </c>
      <c r="C1699" s="6">
        <v>44651</v>
      </c>
      <c r="D1699">
        <v>20210401</v>
      </c>
      <c r="E1699">
        <v>20220331</v>
      </c>
      <c r="F1699" t="s">
        <v>4182</v>
      </c>
      <c r="G1699" t="s">
        <v>4183</v>
      </c>
      <c r="H1699" t="s">
        <v>590</v>
      </c>
      <c r="I1699" t="s">
        <v>1462</v>
      </c>
      <c r="L1699">
        <v>1</v>
      </c>
      <c r="M1699">
        <v>190</v>
      </c>
      <c r="N1699">
        <v>-1</v>
      </c>
      <c r="O1699">
        <v>-190</v>
      </c>
      <c r="Z1699" s="3">
        <f t="shared" si="26"/>
        <v>190</v>
      </c>
    </row>
    <row r="1700" spans="1:26" hidden="1">
      <c r="A1700" t="s">
        <v>706</v>
      </c>
      <c r="B1700" s="6">
        <v>44287</v>
      </c>
      <c r="C1700" s="6">
        <v>44651</v>
      </c>
      <c r="D1700">
        <v>20210401</v>
      </c>
      <c r="E1700">
        <v>20220331</v>
      </c>
      <c r="F1700" t="s">
        <v>4184</v>
      </c>
      <c r="G1700" t="s">
        <v>4178</v>
      </c>
      <c r="H1700" t="s">
        <v>590</v>
      </c>
      <c r="I1700" t="s">
        <v>1462</v>
      </c>
      <c r="L1700">
        <v>40</v>
      </c>
      <c r="M1700">
        <v>2400</v>
      </c>
      <c r="N1700">
        <v>-40</v>
      </c>
      <c r="O1700">
        <v>-2400</v>
      </c>
      <c r="Z1700" s="3">
        <f t="shared" si="26"/>
        <v>60</v>
      </c>
    </row>
    <row r="1701" spans="1:26" hidden="1">
      <c r="A1701" t="s">
        <v>706</v>
      </c>
      <c r="B1701" s="6">
        <v>44287</v>
      </c>
      <c r="C1701" s="6">
        <v>44651</v>
      </c>
      <c r="D1701">
        <v>20210401</v>
      </c>
      <c r="E1701">
        <v>20220331</v>
      </c>
      <c r="F1701" t="s">
        <v>4185</v>
      </c>
      <c r="G1701" t="s">
        <v>4186</v>
      </c>
      <c r="H1701" t="s">
        <v>590</v>
      </c>
      <c r="I1701" t="s">
        <v>1462</v>
      </c>
      <c r="L1701">
        <v>1</v>
      </c>
      <c r="M1701">
        <v>11500</v>
      </c>
      <c r="N1701">
        <v>-1</v>
      </c>
      <c r="O1701">
        <v>-11500</v>
      </c>
      <c r="Z1701" s="3">
        <f t="shared" si="26"/>
        <v>11500</v>
      </c>
    </row>
    <row r="1702" spans="1:26" hidden="1">
      <c r="A1702" t="s">
        <v>706</v>
      </c>
      <c r="B1702" s="6">
        <v>44287</v>
      </c>
      <c r="C1702" s="6">
        <v>44651</v>
      </c>
      <c r="D1702">
        <v>20210401</v>
      </c>
      <c r="E1702">
        <v>20220331</v>
      </c>
      <c r="F1702" t="s">
        <v>4187</v>
      </c>
      <c r="G1702" t="s">
        <v>4188</v>
      </c>
      <c r="H1702" t="s">
        <v>590</v>
      </c>
      <c r="I1702" t="s">
        <v>1462</v>
      </c>
      <c r="L1702">
        <v>2</v>
      </c>
      <c r="M1702">
        <v>366</v>
      </c>
      <c r="N1702">
        <v>-2</v>
      </c>
      <c r="O1702">
        <v>-366</v>
      </c>
      <c r="Z1702" s="3">
        <f t="shared" si="26"/>
        <v>183</v>
      </c>
    </row>
    <row r="1703" spans="1:26" hidden="1">
      <c r="A1703" t="s">
        <v>706</v>
      </c>
      <c r="B1703" s="6">
        <v>44287</v>
      </c>
      <c r="C1703" s="6">
        <v>44651</v>
      </c>
      <c r="D1703">
        <v>20210401</v>
      </c>
      <c r="E1703">
        <v>20220331</v>
      </c>
      <c r="F1703" t="s">
        <v>4189</v>
      </c>
      <c r="G1703" t="s">
        <v>4190</v>
      </c>
      <c r="H1703" t="s">
        <v>590</v>
      </c>
      <c r="I1703" t="s">
        <v>1462</v>
      </c>
      <c r="L1703">
        <v>10</v>
      </c>
      <c r="M1703">
        <v>1324</v>
      </c>
      <c r="N1703">
        <v>-10</v>
      </c>
      <c r="O1703">
        <v>-1324</v>
      </c>
      <c r="Z1703" s="3">
        <f t="shared" si="26"/>
        <v>132.4</v>
      </c>
    </row>
    <row r="1704" spans="1:26" hidden="1">
      <c r="A1704" t="s">
        <v>706</v>
      </c>
      <c r="B1704" s="6">
        <v>44287</v>
      </c>
      <c r="C1704" s="6">
        <v>44651</v>
      </c>
      <c r="D1704">
        <v>20210401</v>
      </c>
      <c r="E1704">
        <v>20220331</v>
      </c>
      <c r="F1704" t="s">
        <v>4191</v>
      </c>
      <c r="G1704" t="s">
        <v>4192</v>
      </c>
      <c r="H1704" t="s">
        <v>590</v>
      </c>
      <c r="I1704" t="s">
        <v>1462</v>
      </c>
      <c r="L1704">
        <v>2</v>
      </c>
      <c r="M1704">
        <v>248</v>
      </c>
      <c r="N1704">
        <v>-2</v>
      </c>
      <c r="O1704">
        <v>-248</v>
      </c>
      <c r="Z1704" s="3">
        <f t="shared" si="26"/>
        <v>124</v>
      </c>
    </row>
    <row r="1705" spans="1:26" hidden="1">
      <c r="A1705" t="s">
        <v>706</v>
      </c>
      <c r="B1705" s="6">
        <v>44287</v>
      </c>
      <c r="C1705" s="6">
        <v>44651</v>
      </c>
      <c r="D1705">
        <v>20210401</v>
      </c>
      <c r="E1705">
        <v>20220331</v>
      </c>
      <c r="F1705" t="s">
        <v>4193</v>
      </c>
      <c r="G1705" t="s">
        <v>4194</v>
      </c>
      <c r="H1705" t="s">
        <v>590</v>
      </c>
      <c r="I1705" t="s">
        <v>1462</v>
      </c>
      <c r="L1705">
        <v>2</v>
      </c>
      <c r="M1705">
        <v>272</v>
      </c>
      <c r="N1705">
        <v>-2</v>
      </c>
      <c r="O1705">
        <v>-272</v>
      </c>
      <c r="Z1705" s="3">
        <f t="shared" si="26"/>
        <v>136</v>
      </c>
    </row>
    <row r="1706" spans="1:26" hidden="1">
      <c r="A1706" t="s">
        <v>706</v>
      </c>
      <c r="B1706" s="6">
        <v>44287</v>
      </c>
      <c r="C1706" s="6">
        <v>44651</v>
      </c>
      <c r="D1706">
        <v>20210401</v>
      </c>
      <c r="E1706">
        <v>20220331</v>
      </c>
      <c r="F1706" t="s">
        <v>4195</v>
      </c>
      <c r="G1706" t="s">
        <v>4196</v>
      </c>
      <c r="H1706" t="s">
        <v>590</v>
      </c>
      <c r="I1706" t="s">
        <v>1462</v>
      </c>
      <c r="L1706">
        <v>2</v>
      </c>
      <c r="M1706">
        <v>356</v>
      </c>
      <c r="N1706">
        <v>-2</v>
      </c>
      <c r="O1706">
        <v>-356</v>
      </c>
      <c r="Z1706" s="3">
        <f t="shared" si="26"/>
        <v>178</v>
      </c>
    </row>
    <row r="1707" spans="1:26" hidden="1">
      <c r="A1707" t="s">
        <v>706</v>
      </c>
      <c r="B1707" s="6">
        <v>44287</v>
      </c>
      <c r="C1707" s="6">
        <v>44651</v>
      </c>
      <c r="D1707">
        <v>20210401</v>
      </c>
      <c r="E1707">
        <v>20220331</v>
      </c>
      <c r="F1707" t="s">
        <v>4197</v>
      </c>
      <c r="G1707" t="s">
        <v>4198</v>
      </c>
      <c r="H1707" t="s">
        <v>590</v>
      </c>
      <c r="I1707" t="s">
        <v>1462</v>
      </c>
      <c r="L1707">
        <v>3</v>
      </c>
      <c r="M1707">
        <v>1481</v>
      </c>
      <c r="N1707">
        <v>-3</v>
      </c>
      <c r="O1707">
        <v>-1481</v>
      </c>
      <c r="Z1707" s="3">
        <f t="shared" si="26"/>
        <v>493.66666666666669</v>
      </c>
    </row>
    <row r="1708" spans="1:26" hidden="1">
      <c r="A1708" t="s">
        <v>706</v>
      </c>
      <c r="B1708" s="6">
        <v>44287</v>
      </c>
      <c r="C1708" s="6">
        <v>44651</v>
      </c>
      <c r="D1708">
        <v>20210401</v>
      </c>
      <c r="E1708">
        <v>20220331</v>
      </c>
      <c r="F1708" t="s">
        <v>4199</v>
      </c>
      <c r="G1708" t="s">
        <v>4200</v>
      </c>
      <c r="H1708" t="s">
        <v>590</v>
      </c>
      <c r="I1708" t="s">
        <v>1462</v>
      </c>
      <c r="L1708">
        <v>2</v>
      </c>
      <c r="M1708">
        <v>996</v>
      </c>
      <c r="N1708">
        <v>-2</v>
      </c>
      <c r="O1708">
        <v>-996</v>
      </c>
      <c r="Z1708" s="3">
        <f t="shared" si="26"/>
        <v>498</v>
      </c>
    </row>
    <row r="1709" spans="1:26" hidden="1">
      <c r="A1709" t="s">
        <v>706</v>
      </c>
      <c r="B1709" s="6">
        <v>44287</v>
      </c>
      <c r="C1709" s="6">
        <v>44651</v>
      </c>
      <c r="D1709">
        <v>20210401</v>
      </c>
      <c r="E1709">
        <v>20220331</v>
      </c>
      <c r="F1709" t="s">
        <v>4201</v>
      </c>
      <c r="G1709" t="s">
        <v>4202</v>
      </c>
      <c r="H1709" t="s">
        <v>613</v>
      </c>
      <c r="I1709" t="s">
        <v>805</v>
      </c>
      <c r="L1709">
        <v>6.15</v>
      </c>
      <c r="M1709">
        <v>11070</v>
      </c>
      <c r="N1709">
        <v>-6.15</v>
      </c>
      <c r="O1709">
        <v>-11070</v>
      </c>
      <c r="Z1709" s="3">
        <f t="shared" si="26"/>
        <v>1800</v>
      </c>
    </row>
    <row r="1710" spans="1:26" hidden="1">
      <c r="A1710" t="s">
        <v>706</v>
      </c>
      <c r="B1710" s="6">
        <v>44287</v>
      </c>
      <c r="C1710" s="6">
        <v>44651</v>
      </c>
      <c r="D1710">
        <v>20210401</v>
      </c>
      <c r="E1710">
        <v>20220331</v>
      </c>
      <c r="F1710" t="s">
        <v>4203</v>
      </c>
      <c r="G1710" t="s">
        <v>4204</v>
      </c>
      <c r="H1710" t="s">
        <v>590</v>
      </c>
      <c r="I1710" t="s">
        <v>1462</v>
      </c>
      <c r="L1710">
        <v>20</v>
      </c>
      <c r="M1710">
        <v>1125</v>
      </c>
      <c r="N1710">
        <v>-20</v>
      </c>
      <c r="O1710">
        <v>-1125</v>
      </c>
      <c r="Z1710" s="3">
        <f t="shared" si="26"/>
        <v>56.25</v>
      </c>
    </row>
    <row r="1711" spans="1:26" hidden="1">
      <c r="A1711" t="s">
        <v>706</v>
      </c>
      <c r="B1711" s="6">
        <v>44287</v>
      </c>
      <c r="C1711" s="6">
        <v>44651</v>
      </c>
      <c r="D1711">
        <v>20210401</v>
      </c>
      <c r="E1711">
        <v>20220331</v>
      </c>
      <c r="F1711" t="s">
        <v>4205</v>
      </c>
      <c r="G1711" t="s">
        <v>4206</v>
      </c>
      <c r="H1711" t="s">
        <v>590</v>
      </c>
      <c r="I1711" t="s">
        <v>1462</v>
      </c>
      <c r="L1711">
        <v>20</v>
      </c>
      <c r="M1711">
        <v>300</v>
      </c>
      <c r="N1711">
        <v>-20</v>
      </c>
      <c r="O1711">
        <v>-300</v>
      </c>
      <c r="Z1711" s="3">
        <f t="shared" si="26"/>
        <v>15</v>
      </c>
    </row>
    <row r="1712" spans="1:26" hidden="1">
      <c r="A1712" t="s">
        <v>706</v>
      </c>
      <c r="B1712" s="6">
        <v>44287</v>
      </c>
      <c r="C1712" s="6">
        <v>44651</v>
      </c>
      <c r="D1712">
        <v>20210401</v>
      </c>
      <c r="E1712">
        <v>20220331</v>
      </c>
      <c r="F1712" t="s">
        <v>4207</v>
      </c>
      <c r="G1712" t="s">
        <v>4208</v>
      </c>
      <c r="H1712" t="s">
        <v>590</v>
      </c>
      <c r="I1712" t="s">
        <v>1462</v>
      </c>
      <c r="L1712">
        <v>50</v>
      </c>
      <c r="M1712">
        <v>925</v>
      </c>
      <c r="N1712">
        <v>-50</v>
      </c>
      <c r="O1712">
        <v>-925</v>
      </c>
      <c r="Z1712" s="3">
        <f t="shared" si="26"/>
        <v>18.5</v>
      </c>
    </row>
    <row r="1713" spans="1:26" hidden="1">
      <c r="A1713" t="s">
        <v>706</v>
      </c>
      <c r="B1713" s="6">
        <v>44287</v>
      </c>
      <c r="C1713" s="6">
        <v>44651</v>
      </c>
      <c r="D1713">
        <v>20210401</v>
      </c>
      <c r="E1713">
        <v>20220331</v>
      </c>
      <c r="F1713" t="s">
        <v>4209</v>
      </c>
      <c r="G1713" t="s">
        <v>4210</v>
      </c>
      <c r="H1713" t="s">
        <v>590</v>
      </c>
      <c r="I1713" t="s">
        <v>805</v>
      </c>
      <c r="L1713">
        <v>50</v>
      </c>
      <c r="M1713">
        <v>1350</v>
      </c>
      <c r="N1713">
        <v>-56</v>
      </c>
      <c r="O1713">
        <v>-1482</v>
      </c>
      <c r="P1713">
        <v>6</v>
      </c>
      <c r="Q1713">
        <v>132</v>
      </c>
      <c r="Z1713" s="3">
        <f t="shared" si="26"/>
        <v>27</v>
      </c>
    </row>
    <row r="1714" spans="1:26" hidden="1">
      <c r="A1714" t="s">
        <v>706</v>
      </c>
      <c r="B1714" s="6">
        <v>44287</v>
      </c>
      <c r="C1714" s="6">
        <v>44651</v>
      </c>
      <c r="D1714">
        <v>20210401</v>
      </c>
      <c r="E1714">
        <v>20220331</v>
      </c>
      <c r="F1714" t="s">
        <v>4211</v>
      </c>
      <c r="G1714" t="s">
        <v>4212</v>
      </c>
      <c r="H1714" t="s">
        <v>590</v>
      </c>
      <c r="I1714" t="s">
        <v>1462</v>
      </c>
      <c r="L1714">
        <v>75</v>
      </c>
      <c r="M1714">
        <v>1200</v>
      </c>
      <c r="N1714">
        <v>-75</v>
      </c>
      <c r="O1714">
        <v>-1200</v>
      </c>
      <c r="Z1714" s="3">
        <f t="shared" si="26"/>
        <v>16</v>
      </c>
    </row>
    <row r="1715" spans="1:26" hidden="1">
      <c r="A1715" t="s">
        <v>706</v>
      </c>
      <c r="B1715" s="6">
        <v>44287</v>
      </c>
      <c r="C1715" s="6">
        <v>44651</v>
      </c>
      <c r="D1715">
        <v>20210401</v>
      </c>
      <c r="E1715">
        <v>20220331</v>
      </c>
      <c r="F1715" t="s">
        <v>4213</v>
      </c>
      <c r="G1715" t="s">
        <v>4214</v>
      </c>
      <c r="H1715" t="s">
        <v>590</v>
      </c>
      <c r="I1715" t="s">
        <v>1462</v>
      </c>
      <c r="L1715">
        <v>25</v>
      </c>
      <c r="M1715">
        <v>1625</v>
      </c>
      <c r="N1715">
        <v>-25</v>
      </c>
      <c r="O1715">
        <v>-1625</v>
      </c>
      <c r="Z1715" s="3">
        <f t="shared" si="26"/>
        <v>65</v>
      </c>
    </row>
    <row r="1716" spans="1:26" hidden="1">
      <c r="A1716" t="s">
        <v>706</v>
      </c>
      <c r="B1716" s="6">
        <v>44287</v>
      </c>
      <c r="C1716" s="6">
        <v>44651</v>
      </c>
      <c r="D1716">
        <v>20210401</v>
      </c>
      <c r="E1716">
        <v>20220331</v>
      </c>
      <c r="F1716" t="s">
        <v>4215</v>
      </c>
      <c r="G1716" t="s">
        <v>4216</v>
      </c>
      <c r="H1716" t="s">
        <v>590</v>
      </c>
      <c r="I1716" t="s">
        <v>1462</v>
      </c>
      <c r="L1716">
        <v>50</v>
      </c>
      <c r="M1716">
        <v>375</v>
      </c>
      <c r="N1716">
        <v>-50</v>
      </c>
      <c r="O1716">
        <v>-375</v>
      </c>
      <c r="Z1716" s="3">
        <f t="shared" si="26"/>
        <v>7.5</v>
      </c>
    </row>
    <row r="1717" spans="1:26" hidden="1">
      <c r="A1717" t="s">
        <v>706</v>
      </c>
      <c r="B1717" s="6">
        <v>44287</v>
      </c>
      <c r="C1717" s="6">
        <v>44651</v>
      </c>
      <c r="D1717">
        <v>20210401</v>
      </c>
      <c r="E1717">
        <v>20220331</v>
      </c>
      <c r="F1717" t="s">
        <v>4217</v>
      </c>
      <c r="G1717" t="s">
        <v>4218</v>
      </c>
      <c r="H1717" t="s">
        <v>590</v>
      </c>
      <c r="I1717" t="s">
        <v>805</v>
      </c>
      <c r="L1717">
        <v>100</v>
      </c>
      <c r="M1717">
        <v>550</v>
      </c>
      <c r="N1717">
        <v>-100</v>
      </c>
      <c r="O1717">
        <v>-550</v>
      </c>
      <c r="Z1717" s="3">
        <f t="shared" si="26"/>
        <v>5.5</v>
      </c>
    </row>
    <row r="1718" spans="1:26" hidden="1">
      <c r="A1718" t="s">
        <v>706</v>
      </c>
      <c r="B1718" s="6">
        <v>44287</v>
      </c>
      <c r="C1718" s="6">
        <v>44651</v>
      </c>
      <c r="D1718">
        <v>20210401</v>
      </c>
      <c r="E1718">
        <v>20220331</v>
      </c>
      <c r="F1718" t="s">
        <v>4219</v>
      </c>
      <c r="G1718" t="s">
        <v>4220</v>
      </c>
      <c r="H1718" t="s">
        <v>590</v>
      </c>
      <c r="I1718" t="s">
        <v>1462</v>
      </c>
      <c r="L1718">
        <v>70</v>
      </c>
      <c r="M1718">
        <v>1690</v>
      </c>
      <c r="N1718">
        <v>-70</v>
      </c>
      <c r="O1718">
        <v>-1690</v>
      </c>
      <c r="Z1718" s="3">
        <f t="shared" si="26"/>
        <v>24.142857142857142</v>
      </c>
    </row>
    <row r="1719" spans="1:26" hidden="1">
      <c r="A1719" t="s">
        <v>706</v>
      </c>
      <c r="B1719" s="6">
        <v>44287</v>
      </c>
      <c r="C1719" s="6">
        <v>44651</v>
      </c>
      <c r="D1719">
        <v>20210401</v>
      </c>
      <c r="E1719">
        <v>20220331</v>
      </c>
      <c r="F1719" t="s">
        <v>4221</v>
      </c>
      <c r="G1719" t="s">
        <v>4222</v>
      </c>
      <c r="H1719" t="s">
        <v>590</v>
      </c>
      <c r="I1719" t="s">
        <v>1462</v>
      </c>
      <c r="L1719">
        <v>50</v>
      </c>
      <c r="M1719">
        <v>325</v>
      </c>
      <c r="N1719">
        <v>-50</v>
      </c>
      <c r="O1719">
        <v>-325</v>
      </c>
      <c r="Z1719" s="3">
        <f t="shared" si="26"/>
        <v>6.5</v>
      </c>
    </row>
    <row r="1720" spans="1:26" hidden="1">
      <c r="A1720" t="s">
        <v>706</v>
      </c>
      <c r="B1720" s="6">
        <v>44287</v>
      </c>
      <c r="C1720" s="6">
        <v>44651</v>
      </c>
      <c r="D1720">
        <v>20210401</v>
      </c>
      <c r="E1720">
        <v>20220331</v>
      </c>
      <c r="F1720" t="s">
        <v>4223</v>
      </c>
      <c r="G1720" t="s">
        <v>4224</v>
      </c>
      <c r="H1720" t="s">
        <v>590</v>
      </c>
      <c r="I1720" t="s">
        <v>1462</v>
      </c>
      <c r="L1720">
        <v>45</v>
      </c>
      <c r="M1720">
        <v>1400</v>
      </c>
      <c r="N1720">
        <v>-45</v>
      </c>
      <c r="O1720">
        <v>-1400</v>
      </c>
      <c r="Z1720" s="3">
        <f t="shared" si="26"/>
        <v>31.111111111111111</v>
      </c>
    </row>
    <row r="1721" spans="1:26" hidden="1">
      <c r="A1721" t="s">
        <v>706</v>
      </c>
      <c r="B1721" s="6">
        <v>44287</v>
      </c>
      <c r="C1721" s="6">
        <v>44651</v>
      </c>
      <c r="D1721">
        <v>20210401</v>
      </c>
      <c r="E1721">
        <v>20220331</v>
      </c>
      <c r="F1721" t="s">
        <v>4225</v>
      </c>
      <c r="G1721" t="s">
        <v>4226</v>
      </c>
      <c r="H1721" t="s">
        <v>590</v>
      </c>
      <c r="I1721" t="s">
        <v>1462</v>
      </c>
      <c r="L1721">
        <v>12</v>
      </c>
      <c r="M1721">
        <v>192</v>
      </c>
      <c r="N1721">
        <v>-12</v>
      </c>
      <c r="O1721">
        <v>-192</v>
      </c>
      <c r="Z1721" s="3">
        <f t="shared" si="26"/>
        <v>16</v>
      </c>
    </row>
    <row r="1722" spans="1:26" hidden="1">
      <c r="A1722" t="s">
        <v>706</v>
      </c>
      <c r="B1722" s="6">
        <v>44287</v>
      </c>
      <c r="C1722" s="6">
        <v>44651</v>
      </c>
      <c r="D1722">
        <v>20210401</v>
      </c>
      <c r="E1722">
        <v>20220331</v>
      </c>
      <c r="F1722" t="s">
        <v>4227</v>
      </c>
      <c r="G1722" t="s">
        <v>4228</v>
      </c>
      <c r="H1722" t="s">
        <v>590</v>
      </c>
      <c r="I1722" t="s">
        <v>1462</v>
      </c>
      <c r="L1722">
        <v>80</v>
      </c>
      <c r="M1722">
        <v>340</v>
      </c>
      <c r="N1722">
        <v>-80</v>
      </c>
      <c r="O1722">
        <v>-340</v>
      </c>
      <c r="Z1722" s="3">
        <f t="shared" si="26"/>
        <v>4.25</v>
      </c>
    </row>
    <row r="1723" spans="1:26" hidden="1">
      <c r="A1723" t="s">
        <v>706</v>
      </c>
      <c r="B1723" s="6">
        <v>44287</v>
      </c>
      <c r="C1723" s="6">
        <v>44651</v>
      </c>
      <c r="D1723">
        <v>20210401</v>
      </c>
      <c r="E1723">
        <v>20220331</v>
      </c>
      <c r="F1723" t="s">
        <v>4229</v>
      </c>
      <c r="G1723" t="s">
        <v>4230</v>
      </c>
      <c r="H1723" t="s">
        <v>590</v>
      </c>
      <c r="I1723" t="s">
        <v>1462</v>
      </c>
      <c r="L1723">
        <v>80</v>
      </c>
      <c r="M1723">
        <v>262.5</v>
      </c>
      <c r="N1723">
        <v>-80</v>
      </c>
      <c r="O1723">
        <v>-262.5</v>
      </c>
      <c r="Z1723" s="3">
        <f t="shared" si="26"/>
        <v>3.28125</v>
      </c>
    </row>
    <row r="1724" spans="1:26" hidden="1">
      <c r="A1724" t="s">
        <v>706</v>
      </c>
      <c r="B1724" s="6">
        <v>44287</v>
      </c>
      <c r="C1724" s="6">
        <v>44651</v>
      </c>
      <c r="D1724">
        <v>20210401</v>
      </c>
      <c r="E1724">
        <v>20220331</v>
      </c>
      <c r="F1724" t="s">
        <v>4231</v>
      </c>
      <c r="G1724" t="s">
        <v>4232</v>
      </c>
      <c r="H1724" t="s">
        <v>590</v>
      </c>
      <c r="I1724" t="s">
        <v>1462</v>
      </c>
      <c r="L1724">
        <v>30</v>
      </c>
      <c r="M1724">
        <v>127.5</v>
      </c>
      <c r="N1724">
        <v>-30</v>
      </c>
      <c r="O1724">
        <v>-127.5</v>
      </c>
      <c r="Z1724" s="3">
        <f t="shared" si="26"/>
        <v>4.25</v>
      </c>
    </row>
    <row r="1725" spans="1:26" hidden="1">
      <c r="A1725" t="s">
        <v>706</v>
      </c>
      <c r="B1725" s="6">
        <v>44287</v>
      </c>
      <c r="C1725" s="6">
        <v>44651</v>
      </c>
      <c r="D1725">
        <v>20210401</v>
      </c>
      <c r="E1725">
        <v>20220331</v>
      </c>
      <c r="F1725" t="s">
        <v>4233</v>
      </c>
      <c r="G1725" t="s">
        <v>4234</v>
      </c>
      <c r="H1725" t="s">
        <v>590</v>
      </c>
      <c r="I1725" t="s">
        <v>1462</v>
      </c>
      <c r="L1725">
        <v>50</v>
      </c>
      <c r="M1725">
        <v>112.5</v>
      </c>
      <c r="N1725">
        <v>-50</v>
      </c>
      <c r="O1725">
        <v>-112.5</v>
      </c>
      <c r="Z1725" s="3">
        <f t="shared" si="26"/>
        <v>2.25</v>
      </c>
    </row>
    <row r="1726" spans="1:26" hidden="1">
      <c r="A1726" t="s">
        <v>706</v>
      </c>
      <c r="B1726" s="6">
        <v>44287</v>
      </c>
      <c r="C1726" s="6">
        <v>44651</v>
      </c>
      <c r="D1726">
        <v>20210401</v>
      </c>
      <c r="E1726">
        <v>20220331</v>
      </c>
      <c r="F1726" t="s">
        <v>4235</v>
      </c>
      <c r="G1726" t="s">
        <v>4236</v>
      </c>
      <c r="H1726" t="s">
        <v>590</v>
      </c>
      <c r="I1726" t="s">
        <v>1462</v>
      </c>
      <c r="L1726">
        <v>50</v>
      </c>
      <c r="M1726">
        <v>187.5</v>
      </c>
      <c r="N1726">
        <v>-50</v>
      </c>
      <c r="O1726">
        <v>-187.5</v>
      </c>
      <c r="Z1726" s="3">
        <f t="shared" si="26"/>
        <v>3.75</v>
      </c>
    </row>
    <row r="1727" spans="1:26" hidden="1">
      <c r="A1727" t="s">
        <v>706</v>
      </c>
      <c r="B1727" s="6">
        <v>44287</v>
      </c>
      <c r="C1727" s="6">
        <v>44651</v>
      </c>
      <c r="D1727">
        <v>20210401</v>
      </c>
      <c r="E1727">
        <v>20220331</v>
      </c>
      <c r="F1727" t="s">
        <v>4237</v>
      </c>
      <c r="G1727" t="s">
        <v>4238</v>
      </c>
      <c r="H1727" t="s">
        <v>590</v>
      </c>
      <c r="I1727" t="s">
        <v>1462</v>
      </c>
      <c r="N1727">
        <v>-25</v>
      </c>
      <c r="O1727">
        <v>-100</v>
      </c>
      <c r="P1727">
        <v>25</v>
      </c>
      <c r="Q1727">
        <v>100</v>
      </c>
      <c r="Z1727" s="3" t="e">
        <f t="shared" si="26"/>
        <v>#DIV/0!</v>
      </c>
    </row>
    <row r="1728" spans="1:26" hidden="1">
      <c r="A1728" t="s">
        <v>706</v>
      </c>
      <c r="B1728" s="6">
        <v>44287</v>
      </c>
      <c r="C1728" s="6">
        <v>44651</v>
      </c>
      <c r="D1728">
        <v>20210401</v>
      </c>
      <c r="E1728">
        <v>20220331</v>
      </c>
      <c r="F1728" t="s">
        <v>4239</v>
      </c>
      <c r="G1728" t="s">
        <v>4240</v>
      </c>
      <c r="H1728" t="s">
        <v>590</v>
      </c>
      <c r="I1728" t="s">
        <v>1462</v>
      </c>
      <c r="L1728">
        <v>30</v>
      </c>
      <c r="M1728">
        <v>105</v>
      </c>
      <c r="N1728">
        <v>-30</v>
      </c>
      <c r="O1728">
        <v>-105</v>
      </c>
      <c r="Z1728" s="3">
        <f t="shared" si="26"/>
        <v>3.5</v>
      </c>
    </row>
    <row r="1729" spans="1:26" hidden="1">
      <c r="A1729" t="s">
        <v>706</v>
      </c>
      <c r="B1729" s="6">
        <v>44287</v>
      </c>
      <c r="C1729" s="6">
        <v>44651</v>
      </c>
      <c r="D1729">
        <v>20210401</v>
      </c>
      <c r="E1729">
        <v>20220331</v>
      </c>
      <c r="F1729" t="s">
        <v>4241</v>
      </c>
      <c r="G1729" t="s">
        <v>4242</v>
      </c>
      <c r="H1729" t="s">
        <v>590</v>
      </c>
      <c r="I1729" t="s">
        <v>1462</v>
      </c>
      <c r="L1729">
        <v>30</v>
      </c>
      <c r="M1729">
        <v>396</v>
      </c>
      <c r="N1729">
        <v>-30</v>
      </c>
      <c r="O1729">
        <v>-396</v>
      </c>
      <c r="Z1729" s="3">
        <f t="shared" si="26"/>
        <v>13.2</v>
      </c>
    </row>
    <row r="1730" spans="1:26" hidden="1">
      <c r="A1730" t="s">
        <v>706</v>
      </c>
      <c r="B1730" s="6">
        <v>44287</v>
      </c>
      <c r="C1730" s="6">
        <v>44651</v>
      </c>
      <c r="D1730">
        <v>20210401</v>
      </c>
      <c r="E1730">
        <v>20220331</v>
      </c>
      <c r="F1730" t="s">
        <v>4243</v>
      </c>
      <c r="G1730" t="s">
        <v>4244</v>
      </c>
      <c r="H1730" t="s">
        <v>590</v>
      </c>
      <c r="I1730" t="s">
        <v>1462</v>
      </c>
      <c r="J1730">
        <v>100</v>
      </c>
      <c r="K1730">
        <v>100</v>
      </c>
      <c r="N1730">
        <v>-100</v>
      </c>
      <c r="O1730">
        <v>-100</v>
      </c>
      <c r="Z1730" s="3">
        <f t="shared" si="26"/>
        <v>1</v>
      </c>
    </row>
    <row r="1731" spans="1:26" hidden="1">
      <c r="A1731" t="s">
        <v>706</v>
      </c>
      <c r="B1731" s="6">
        <v>44287</v>
      </c>
      <c r="C1731" s="6">
        <v>44651</v>
      </c>
      <c r="D1731">
        <v>20210401</v>
      </c>
      <c r="E1731">
        <v>20220331</v>
      </c>
      <c r="F1731" t="s">
        <v>4245</v>
      </c>
      <c r="G1731" t="s">
        <v>4246</v>
      </c>
      <c r="H1731" t="s">
        <v>590</v>
      </c>
      <c r="I1731" t="s">
        <v>805</v>
      </c>
      <c r="L1731">
        <v>30</v>
      </c>
      <c r="M1731">
        <v>306</v>
      </c>
      <c r="N1731">
        <v>-30</v>
      </c>
      <c r="O1731">
        <v>-306</v>
      </c>
      <c r="Z1731" s="3">
        <f t="shared" ref="Z1731:Z1794" si="27">IFERROR((O1731+Q1731)/(N1731+P1731),Y1731/X1731)</f>
        <v>10.199999999999999</v>
      </c>
    </row>
    <row r="1732" spans="1:26" hidden="1">
      <c r="A1732" t="s">
        <v>706</v>
      </c>
      <c r="B1732" s="6">
        <v>44287</v>
      </c>
      <c r="C1732" s="6">
        <v>44651</v>
      </c>
      <c r="D1732">
        <v>20210401</v>
      </c>
      <c r="E1732">
        <v>20220331</v>
      </c>
      <c r="F1732" t="s">
        <v>4247</v>
      </c>
      <c r="G1732" t="s">
        <v>4248</v>
      </c>
      <c r="H1732" t="s">
        <v>590</v>
      </c>
      <c r="I1732" t="s">
        <v>1462</v>
      </c>
      <c r="L1732">
        <v>50</v>
      </c>
      <c r="M1732">
        <v>170</v>
      </c>
      <c r="N1732">
        <v>-50</v>
      </c>
      <c r="O1732">
        <v>-170</v>
      </c>
      <c r="Z1732" s="3">
        <f t="shared" si="27"/>
        <v>3.4</v>
      </c>
    </row>
    <row r="1733" spans="1:26" hidden="1">
      <c r="A1733" t="s">
        <v>706</v>
      </c>
      <c r="B1733" s="6">
        <v>44287</v>
      </c>
      <c r="C1733" s="6">
        <v>44651</v>
      </c>
      <c r="D1733">
        <v>20210401</v>
      </c>
      <c r="E1733">
        <v>20220331</v>
      </c>
      <c r="F1733" t="s">
        <v>4249</v>
      </c>
      <c r="G1733" t="s">
        <v>4250</v>
      </c>
      <c r="H1733" t="s">
        <v>590</v>
      </c>
      <c r="I1733" t="s">
        <v>805</v>
      </c>
      <c r="L1733">
        <v>100</v>
      </c>
      <c r="M1733">
        <v>1672.5</v>
      </c>
      <c r="N1733">
        <v>-100</v>
      </c>
      <c r="O1733">
        <v>-1672.5</v>
      </c>
      <c r="Z1733" s="3">
        <f t="shared" si="27"/>
        <v>16.725000000000001</v>
      </c>
    </row>
    <row r="1734" spans="1:26" hidden="1">
      <c r="A1734" t="s">
        <v>706</v>
      </c>
      <c r="B1734" s="6">
        <v>44287</v>
      </c>
      <c r="C1734" s="6">
        <v>44651</v>
      </c>
      <c r="D1734">
        <v>20210401</v>
      </c>
      <c r="E1734">
        <v>20220331</v>
      </c>
      <c r="F1734" t="s">
        <v>4251</v>
      </c>
      <c r="G1734" t="s">
        <v>4252</v>
      </c>
      <c r="H1734" t="s">
        <v>590</v>
      </c>
      <c r="I1734" t="s">
        <v>1462</v>
      </c>
      <c r="J1734">
        <v>50</v>
      </c>
      <c r="K1734">
        <v>50</v>
      </c>
      <c r="N1734">
        <v>-50</v>
      </c>
      <c r="O1734">
        <v>-50</v>
      </c>
      <c r="Z1734" s="3">
        <f t="shared" si="27"/>
        <v>1</v>
      </c>
    </row>
    <row r="1735" spans="1:26" hidden="1">
      <c r="A1735" t="s">
        <v>706</v>
      </c>
      <c r="B1735" s="6">
        <v>44287</v>
      </c>
      <c r="C1735" s="6">
        <v>44651</v>
      </c>
      <c r="D1735">
        <v>20210401</v>
      </c>
      <c r="E1735">
        <v>20220331</v>
      </c>
      <c r="F1735" t="s">
        <v>4253</v>
      </c>
      <c r="G1735" t="s">
        <v>4254</v>
      </c>
      <c r="H1735" t="s">
        <v>590</v>
      </c>
      <c r="I1735" t="s">
        <v>1462</v>
      </c>
      <c r="L1735">
        <v>55</v>
      </c>
      <c r="M1735">
        <v>745</v>
      </c>
      <c r="N1735">
        <v>-55</v>
      </c>
      <c r="O1735">
        <v>-745</v>
      </c>
      <c r="Z1735" s="3">
        <f t="shared" si="27"/>
        <v>13.545454545454545</v>
      </c>
    </row>
    <row r="1736" spans="1:26" hidden="1">
      <c r="A1736" t="s">
        <v>706</v>
      </c>
      <c r="B1736" s="6">
        <v>44287</v>
      </c>
      <c r="C1736" s="6">
        <v>44651</v>
      </c>
      <c r="D1736">
        <v>20210401</v>
      </c>
      <c r="E1736">
        <v>20220331</v>
      </c>
      <c r="F1736" t="s">
        <v>4255</v>
      </c>
      <c r="G1736" t="s">
        <v>4256</v>
      </c>
      <c r="H1736" t="s">
        <v>590</v>
      </c>
      <c r="I1736" t="s">
        <v>1462</v>
      </c>
      <c r="L1736">
        <v>30</v>
      </c>
      <c r="M1736">
        <v>510</v>
      </c>
      <c r="N1736">
        <v>-30</v>
      </c>
      <c r="O1736">
        <v>-510</v>
      </c>
      <c r="Z1736" s="3">
        <f t="shared" si="27"/>
        <v>17</v>
      </c>
    </row>
    <row r="1737" spans="1:26" hidden="1">
      <c r="A1737" t="s">
        <v>706</v>
      </c>
      <c r="B1737" s="6">
        <v>44287</v>
      </c>
      <c r="C1737" s="6">
        <v>44651</v>
      </c>
      <c r="D1737">
        <v>20210401</v>
      </c>
      <c r="E1737">
        <v>20220331</v>
      </c>
      <c r="F1737" t="s">
        <v>4257</v>
      </c>
      <c r="G1737" t="s">
        <v>4258</v>
      </c>
      <c r="H1737" t="s">
        <v>590</v>
      </c>
      <c r="I1737" t="s">
        <v>1462</v>
      </c>
      <c r="L1737">
        <v>50</v>
      </c>
      <c r="M1737">
        <v>125</v>
      </c>
      <c r="N1737">
        <v>-50</v>
      </c>
      <c r="O1737">
        <v>-125</v>
      </c>
      <c r="Z1737" s="3">
        <f t="shared" si="27"/>
        <v>2.5</v>
      </c>
    </row>
    <row r="1738" spans="1:26" hidden="1">
      <c r="A1738" t="s">
        <v>706</v>
      </c>
      <c r="B1738" s="6">
        <v>44287</v>
      </c>
      <c r="C1738" s="6">
        <v>44651</v>
      </c>
      <c r="D1738">
        <v>20210401</v>
      </c>
      <c r="E1738">
        <v>20220331</v>
      </c>
      <c r="F1738" t="s">
        <v>4259</v>
      </c>
      <c r="G1738" t="s">
        <v>4260</v>
      </c>
      <c r="H1738" t="s">
        <v>590</v>
      </c>
      <c r="I1738" t="s">
        <v>1462</v>
      </c>
      <c r="L1738">
        <v>75</v>
      </c>
      <c r="M1738">
        <v>530</v>
      </c>
      <c r="N1738">
        <v>-75</v>
      </c>
      <c r="O1738">
        <v>-530</v>
      </c>
      <c r="Z1738" s="3">
        <f t="shared" si="27"/>
        <v>7.0666666666666664</v>
      </c>
    </row>
    <row r="1739" spans="1:26" hidden="1">
      <c r="A1739" t="s">
        <v>706</v>
      </c>
      <c r="B1739" s="6">
        <v>44287</v>
      </c>
      <c r="C1739" s="6">
        <v>44651</v>
      </c>
      <c r="D1739">
        <v>20210401</v>
      </c>
      <c r="E1739">
        <v>20220331</v>
      </c>
      <c r="F1739" t="s">
        <v>4261</v>
      </c>
      <c r="G1739" t="s">
        <v>4262</v>
      </c>
      <c r="H1739" t="s">
        <v>590</v>
      </c>
      <c r="I1739" t="s">
        <v>1462</v>
      </c>
      <c r="L1739">
        <v>30</v>
      </c>
      <c r="M1739">
        <v>187.5</v>
      </c>
      <c r="N1739">
        <v>-52</v>
      </c>
      <c r="O1739">
        <v>-314</v>
      </c>
      <c r="P1739">
        <v>22</v>
      </c>
      <c r="Q1739">
        <v>126.5</v>
      </c>
      <c r="Z1739" s="3">
        <f t="shared" si="27"/>
        <v>6.25</v>
      </c>
    </row>
    <row r="1740" spans="1:26" hidden="1">
      <c r="A1740" t="s">
        <v>706</v>
      </c>
      <c r="B1740" s="6">
        <v>44287</v>
      </c>
      <c r="C1740" s="6">
        <v>44651</v>
      </c>
      <c r="D1740">
        <v>20210401</v>
      </c>
      <c r="E1740">
        <v>20220331</v>
      </c>
      <c r="F1740" t="s">
        <v>4263</v>
      </c>
      <c r="G1740" t="s">
        <v>4264</v>
      </c>
      <c r="H1740" t="s">
        <v>590</v>
      </c>
      <c r="I1740" t="s">
        <v>1462</v>
      </c>
      <c r="L1740">
        <v>120</v>
      </c>
      <c r="M1740">
        <v>345</v>
      </c>
      <c r="N1740">
        <v>-120</v>
      </c>
      <c r="O1740">
        <v>-345</v>
      </c>
      <c r="Z1740" s="3">
        <f t="shared" si="27"/>
        <v>2.875</v>
      </c>
    </row>
    <row r="1741" spans="1:26" hidden="1">
      <c r="A1741" t="s">
        <v>706</v>
      </c>
      <c r="B1741" s="6">
        <v>44287</v>
      </c>
      <c r="C1741" s="6">
        <v>44651</v>
      </c>
      <c r="D1741">
        <v>20210401</v>
      </c>
      <c r="E1741">
        <v>20220331</v>
      </c>
      <c r="F1741" t="s">
        <v>4265</v>
      </c>
      <c r="G1741" t="s">
        <v>4266</v>
      </c>
      <c r="H1741" t="s">
        <v>590</v>
      </c>
      <c r="I1741" t="s">
        <v>1462</v>
      </c>
      <c r="L1741">
        <v>30</v>
      </c>
      <c r="M1741">
        <v>112.5</v>
      </c>
      <c r="N1741">
        <v>-30</v>
      </c>
      <c r="O1741">
        <v>-112.5</v>
      </c>
      <c r="Z1741" s="3">
        <f t="shared" si="27"/>
        <v>3.75</v>
      </c>
    </row>
    <row r="1742" spans="1:26" hidden="1">
      <c r="A1742" t="s">
        <v>706</v>
      </c>
      <c r="B1742" s="6">
        <v>44287</v>
      </c>
      <c r="C1742" s="6">
        <v>44651</v>
      </c>
      <c r="D1742">
        <v>20210401</v>
      </c>
      <c r="E1742">
        <v>20220331</v>
      </c>
      <c r="F1742" t="s">
        <v>4267</v>
      </c>
      <c r="G1742" t="s">
        <v>4268</v>
      </c>
      <c r="H1742" t="s">
        <v>590</v>
      </c>
      <c r="I1742" t="s">
        <v>1462</v>
      </c>
      <c r="L1742">
        <v>30</v>
      </c>
      <c r="M1742">
        <v>139.5</v>
      </c>
      <c r="N1742">
        <v>-30</v>
      </c>
      <c r="O1742">
        <v>-139.5</v>
      </c>
      <c r="Z1742" s="3">
        <f t="shared" si="27"/>
        <v>4.6500000000000004</v>
      </c>
    </row>
    <row r="1743" spans="1:26" hidden="1">
      <c r="A1743" t="s">
        <v>706</v>
      </c>
      <c r="B1743" s="6">
        <v>44287</v>
      </c>
      <c r="C1743" s="6">
        <v>44651</v>
      </c>
      <c r="D1743">
        <v>20210401</v>
      </c>
      <c r="E1743">
        <v>20220331</v>
      </c>
      <c r="F1743" t="s">
        <v>4269</v>
      </c>
      <c r="G1743" t="s">
        <v>4270</v>
      </c>
      <c r="H1743" t="s">
        <v>590</v>
      </c>
      <c r="I1743" t="s">
        <v>1462</v>
      </c>
      <c r="L1743">
        <v>90</v>
      </c>
      <c r="M1743">
        <v>345</v>
      </c>
      <c r="N1743">
        <v>-90</v>
      </c>
      <c r="O1743">
        <v>-345</v>
      </c>
      <c r="Z1743" s="3">
        <f t="shared" si="27"/>
        <v>3.8333333333333335</v>
      </c>
    </row>
    <row r="1744" spans="1:26" hidden="1">
      <c r="A1744" t="s">
        <v>706</v>
      </c>
      <c r="B1744" s="6">
        <v>44287</v>
      </c>
      <c r="C1744" s="6">
        <v>44651</v>
      </c>
      <c r="D1744">
        <v>20210401</v>
      </c>
      <c r="E1744">
        <v>20220331</v>
      </c>
      <c r="F1744" t="s">
        <v>4271</v>
      </c>
      <c r="G1744" t="s">
        <v>4272</v>
      </c>
      <c r="H1744" t="s">
        <v>590</v>
      </c>
      <c r="I1744" t="s">
        <v>1462</v>
      </c>
      <c r="L1744">
        <v>33</v>
      </c>
      <c r="M1744">
        <v>108.9</v>
      </c>
      <c r="N1744">
        <v>-33</v>
      </c>
      <c r="O1744">
        <v>-108.9</v>
      </c>
      <c r="Z1744" s="3">
        <f t="shared" si="27"/>
        <v>3.3000000000000003</v>
      </c>
    </row>
    <row r="1745" spans="1:26" hidden="1">
      <c r="A1745" t="s">
        <v>706</v>
      </c>
      <c r="B1745" s="6">
        <v>44287</v>
      </c>
      <c r="C1745" s="6">
        <v>44651</v>
      </c>
      <c r="D1745">
        <v>20210401</v>
      </c>
      <c r="E1745">
        <v>20220331</v>
      </c>
      <c r="F1745" t="s">
        <v>4273</v>
      </c>
      <c r="G1745" t="s">
        <v>4274</v>
      </c>
      <c r="H1745" t="s">
        <v>590</v>
      </c>
      <c r="I1745" t="s">
        <v>805</v>
      </c>
      <c r="L1745">
        <v>50</v>
      </c>
      <c r="M1745">
        <v>100</v>
      </c>
      <c r="N1745">
        <v>-50</v>
      </c>
      <c r="O1745">
        <v>-100</v>
      </c>
      <c r="Z1745" s="3">
        <f t="shared" si="27"/>
        <v>2</v>
      </c>
    </row>
    <row r="1746" spans="1:26" hidden="1">
      <c r="A1746" t="s">
        <v>706</v>
      </c>
      <c r="B1746" s="6">
        <v>44287</v>
      </c>
      <c r="C1746" s="6">
        <v>44651</v>
      </c>
      <c r="D1746">
        <v>20210401</v>
      </c>
      <c r="E1746">
        <v>20220331</v>
      </c>
      <c r="F1746" t="s">
        <v>4275</v>
      </c>
      <c r="G1746" t="s">
        <v>4276</v>
      </c>
      <c r="H1746" t="s">
        <v>590</v>
      </c>
      <c r="I1746" t="s">
        <v>1462</v>
      </c>
      <c r="L1746">
        <v>750</v>
      </c>
      <c r="M1746">
        <v>2227.5</v>
      </c>
      <c r="N1746">
        <v>-750</v>
      </c>
      <c r="O1746">
        <v>-2227.5</v>
      </c>
      <c r="Z1746" s="3">
        <f t="shared" si="27"/>
        <v>2.97</v>
      </c>
    </row>
    <row r="1747" spans="1:26" hidden="1">
      <c r="A1747" t="s">
        <v>706</v>
      </c>
      <c r="B1747" s="6">
        <v>44287</v>
      </c>
      <c r="C1747" s="6">
        <v>44651</v>
      </c>
      <c r="D1747">
        <v>20210401</v>
      </c>
      <c r="E1747">
        <v>20220331</v>
      </c>
      <c r="F1747" t="s">
        <v>4277</v>
      </c>
      <c r="G1747" t="s">
        <v>4278</v>
      </c>
      <c r="H1747" t="s">
        <v>590</v>
      </c>
      <c r="I1747" t="s">
        <v>1462</v>
      </c>
      <c r="L1747">
        <v>16</v>
      </c>
      <c r="M1747">
        <v>144</v>
      </c>
      <c r="N1747">
        <v>-16</v>
      </c>
      <c r="O1747">
        <v>-144</v>
      </c>
      <c r="Z1747" s="3">
        <f t="shared" si="27"/>
        <v>9</v>
      </c>
    </row>
    <row r="1748" spans="1:26" hidden="1">
      <c r="A1748" t="s">
        <v>706</v>
      </c>
      <c r="B1748" s="6">
        <v>44287</v>
      </c>
      <c r="C1748" s="6">
        <v>44651</v>
      </c>
      <c r="D1748">
        <v>20210401</v>
      </c>
      <c r="E1748">
        <v>20220331</v>
      </c>
      <c r="F1748" t="s">
        <v>4279</v>
      </c>
      <c r="G1748" t="s">
        <v>4280</v>
      </c>
      <c r="H1748" t="s">
        <v>590</v>
      </c>
      <c r="I1748" t="s">
        <v>1462</v>
      </c>
      <c r="L1748">
        <v>16</v>
      </c>
      <c r="M1748">
        <v>88</v>
      </c>
      <c r="N1748">
        <v>-16</v>
      </c>
      <c r="O1748">
        <v>-88</v>
      </c>
      <c r="Z1748" s="3">
        <f t="shared" si="27"/>
        <v>5.5</v>
      </c>
    </row>
    <row r="1749" spans="1:26" hidden="1">
      <c r="A1749" t="s">
        <v>706</v>
      </c>
      <c r="B1749" s="6">
        <v>44287</v>
      </c>
      <c r="C1749" s="6">
        <v>44651</v>
      </c>
      <c r="D1749">
        <v>20210401</v>
      </c>
      <c r="E1749">
        <v>20220331</v>
      </c>
      <c r="F1749" t="s">
        <v>4281</v>
      </c>
      <c r="G1749" t="s">
        <v>4282</v>
      </c>
      <c r="H1749" t="s">
        <v>590</v>
      </c>
      <c r="I1749" t="s">
        <v>1462</v>
      </c>
      <c r="L1749">
        <v>69</v>
      </c>
      <c r="M1749">
        <v>294.45</v>
      </c>
      <c r="N1749">
        <v>-69</v>
      </c>
      <c r="O1749">
        <v>-294.45</v>
      </c>
      <c r="Z1749" s="3">
        <f t="shared" si="27"/>
        <v>4.267391304347826</v>
      </c>
    </row>
    <row r="1750" spans="1:26" hidden="1">
      <c r="A1750" t="s">
        <v>706</v>
      </c>
      <c r="B1750" s="6">
        <v>44287</v>
      </c>
      <c r="C1750" s="6">
        <v>44651</v>
      </c>
      <c r="D1750">
        <v>20210401</v>
      </c>
      <c r="E1750">
        <v>20220331</v>
      </c>
      <c r="F1750" t="s">
        <v>4283</v>
      </c>
      <c r="G1750" t="s">
        <v>4284</v>
      </c>
      <c r="H1750" t="s">
        <v>590</v>
      </c>
      <c r="I1750" t="s">
        <v>1462</v>
      </c>
      <c r="L1750">
        <v>33</v>
      </c>
      <c r="M1750">
        <v>222.75</v>
      </c>
      <c r="N1750">
        <v>-33</v>
      </c>
      <c r="O1750">
        <v>-222.75</v>
      </c>
      <c r="Z1750" s="3">
        <f t="shared" si="27"/>
        <v>6.75</v>
      </c>
    </row>
    <row r="1751" spans="1:26" hidden="1">
      <c r="A1751" t="s">
        <v>706</v>
      </c>
      <c r="B1751" s="6">
        <v>44287</v>
      </c>
      <c r="C1751" s="6">
        <v>44651</v>
      </c>
      <c r="D1751">
        <v>20210401</v>
      </c>
      <c r="E1751">
        <v>20220331</v>
      </c>
      <c r="F1751" t="s">
        <v>4285</v>
      </c>
      <c r="G1751" t="s">
        <v>4286</v>
      </c>
      <c r="H1751" t="s">
        <v>590</v>
      </c>
      <c r="I1751" t="s">
        <v>1462</v>
      </c>
      <c r="L1751">
        <v>33</v>
      </c>
      <c r="M1751">
        <v>330</v>
      </c>
      <c r="N1751">
        <v>-33</v>
      </c>
      <c r="O1751">
        <v>-330</v>
      </c>
      <c r="Z1751" s="3">
        <f t="shared" si="27"/>
        <v>10</v>
      </c>
    </row>
    <row r="1752" spans="1:26" hidden="1">
      <c r="A1752" t="s">
        <v>706</v>
      </c>
      <c r="B1752" s="6">
        <v>44287</v>
      </c>
      <c r="C1752" s="6">
        <v>44651</v>
      </c>
      <c r="D1752">
        <v>20210401</v>
      </c>
      <c r="E1752">
        <v>20220331</v>
      </c>
      <c r="F1752" t="s">
        <v>4287</v>
      </c>
      <c r="G1752" t="s">
        <v>4288</v>
      </c>
      <c r="H1752" t="s">
        <v>590</v>
      </c>
      <c r="I1752" t="s">
        <v>1462</v>
      </c>
      <c r="L1752">
        <v>32</v>
      </c>
      <c r="M1752">
        <v>432</v>
      </c>
      <c r="N1752">
        <v>-32</v>
      </c>
      <c r="O1752">
        <v>-432</v>
      </c>
      <c r="Z1752" s="3">
        <f t="shared" si="27"/>
        <v>13.5</v>
      </c>
    </row>
    <row r="1753" spans="1:26" hidden="1">
      <c r="A1753" t="s">
        <v>706</v>
      </c>
      <c r="B1753" s="6">
        <v>44287</v>
      </c>
      <c r="C1753" s="6">
        <v>44651</v>
      </c>
      <c r="D1753">
        <v>20210401</v>
      </c>
      <c r="E1753">
        <v>20220331</v>
      </c>
      <c r="F1753" t="s">
        <v>4289</v>
      </c>
      <c r="G1753" t="s">
        <v>4290</v>
      </c>
      <c r="H1753" t="s">
        <v>613</v>
      </c>
      <c r="I1753" t="s">
        <v>1462</v>
      </c>
      <c r="L1753">
        <v>1</v>
      </c>
      <c r="M1753">
        <v>85</v>
      </c>
      <c r="N1753">
        <v>-1</v>
      </c>
      <c r="O1753">
        <v>-85</v>
      </c>
      <c r="Z1753" s="3">
        <f t="shared" si="27"/>
        <v>85</v>
      </c>
    </row>
    <row r="1754" spans="1:26" hidden="1">
      <c r="A1754" t="s">
        <v>706</v>
      </c>
      <c r="B1754" s="6">
        <v>44287</v>
      </c>
      <c r="C1754" s="6">
        <v>44651</v>
      </c>
      <c r="D1754">
        <v>20210401</v>
      </c>
      <c r="E1754">
        <v>20220331</v>
      </c>
      <c r="F1754" t="s">
        <v>4291</v>
      </c>
      <c r="G1754" t="s">
        <v>4292</v>
      </c>
      <c r="H1754" t="s">
        <v>613</v>
      </c>
      <c r="I1754" t="s">
        <v>1462</v>
      </c>
      <c r="L1754">
        <v>2</v>
      </c>
      <c r="M1754">
        <v>174</v>
      </c>
      <c r="N1754">
        <v>-2</v>
      </c>
      <c r="O1754">
        <v>-174</v>
      </c>
      <c r="Z1754" s="3">
        <f t="shared" si="27"/>
        <v>87</v>
      </c>
    </row>
    <row r="1755" spans="1:26" hidden="1">
      <c r="A1755" t="s">
        <v>706</v>
      </c>
      <c r="B1755" s="6">
        <v>44287</v>
      </c>
      <c r="C1755" s="6">
        <v>44651</v>
      </c>
      <c r="D1755">
        <v>20210401</v>
      </c>
      <c r="E1755">
        <v>20220331</v>
      </c>
      <c r="F1755" t="s">
        <v>4293</v>
      </c>
      <c r="G1755" t="s">
        <v>4294</v>
      </c>
      <c r="H1755" t="s">
        <v>613</v>
      </c>
      <c r="I1755" t="s">
        <v>1462</v>
      </c>
      <c r="L1755">
        <v>1</v>
      </c>
      <c r="M1755">
        <v>85</v>
      </c>
      <c r="N1755">
        <v>-1</v>
      </c>
      <c r="O1755">
        <v>-85</v>
      </c>
      <c r="Z1755" s="3">
        <f t="shared" si="27"/>
        <v>85</v>
      </c>
    </row>
    <row r="1756" spans="1:26" hidden="1">
      <c r="A1756" t="s">
        <v>706</v>
      </c>
      <c r="B1756" s="6">
        <v>44287</v>
      </c>
      <c r="C1756" s="6">
        <v>44651</v>
      </c>
      <c r="D1756">
        <v>20210401</v>
      </c>
      <c r="E1756">
        <v>20220331</v>
      </c>
      <c r="F1756" t="s">
        <v>4295</v>
      </c>
      <c r="G1756" t="s">
        <v>4296</v>
      </c>
      <c r="H1756" t="s">
        <v>613</v>
      </c>
      <c r="I1756" t="s">
        <v>1462</v>
      </c>
      <c r="L1756">
        <v>5</v>
      </c>
      <c r="M1756">
        <v>450</v>
      </c>
      <c r="N1756">
        <v>-5</v>
      </c>
      <c r="O1756">
        <v>-450</v>
      </c>
      <c r="Z1756" s="3">
        <f t="shared" si="27"/>
        <v>90</v>
      </c>
    </row>
    <row r="1757" spans="1:26" hidden="1">
      <c r="A1757" t="s">
        <v>706</v>
      </c>
      <c r="B1757" s="6">
        <v>44287</v>
      </c>
      <c r="C1757" s="6">
        <v>44651</v>
      </c>
      <c r="D1757">
        <v>20210401</v>
      </c>
      <c r="E1757">
        <v>20220331</v>
      </c>
      <c r="F1757" t="s">
        <v>4297</v>
      </c>
      <c r="G1757" t="s">
        <v>4298</v>
      </c>
      <c r="H1757" t="s">
        <v>613</v>
      </c>
      <c r="I1757" t="s">
        <v>1462</v>
      </c>
      <c r="L1757">
        <v>9</v>
      </c>
      <c r="M1757">
        <v>829</v>
      </c>
      <c r="N1757">
        <v>-9</v>
      </c>
      <c r="O1757">
        <v>-829</v>
      </c>
      <c r="Z1757" s="3">
        <f t="shared" si="27"/>
        <v>92.111111111111114</v>
      </c>
    </row>
    <row r="1758" spans="1:26" hidden="1">
      <c r="A1758" t="s">
        <v>706</v>
      </c>
      <c r="B1758" s="6">
        <v>44287</v>
      </c>
      <c r="C1758" s="6">
        <v>44651</v>
      </c>
      <c r="D1758">
        <v>20210401</v>
      </c>
      <c r="E1758">
        <v>20220331</v>
      </c>
      <c r="F1758" t="s">
        <v>4299</v>
      </c>
      <c r="G1758" t="s">
        <v>4300</v>
      </c>
      <c r="H1758" t="s">
        <v>2692</v>
      </c>
      <c r="I1758" t="s">
        <v>805</v>
      </c>
      <c r="L1758">
        <v>7</v>
      </c>
      <c r="M1758">
        <v>540</v>
      </c>
      <c r="N1758">
        <v>-8</v>
      </c>
      <c r="O1758">
        <v>-615</v>
      </c>
      <c r="P1758">
        <v>1</v>
      </c>
      <c r="Q1758">
        <v>75</v>
      </c>
      <c r="Z1758" s="3">
        <f t="shared" si="27"/>
        <v>77.142857142857139</v>
      </c>
    </row>
    <row r="1759" spans="1:26" hidden="1">
      <c r="A1759" t="s">
        <v>706</v>
      </c>
      <c r="B1759" s="6">
        <v>44287</v>
      </c>
      <c r="C1759" s="6">
        <v>44651</v>
      </c>
      <c r="D1759">
        <v>20210401</v>
      </c>
      <c r="E1759">
        <v>20220331</v>
      </c>
      <c r="F1759" t="s">
        <v>4301</v>
      </c>
      <c r="G1759" t="s">
        <v>4302</v>
      </c>
      <c r="H1759" t="s">
        <v>590</v>
      </c>
      <c r="I1759" t="s">
        <v>1462</v>
      </c>
      <c r="L1759">
        <v>100</v>
      </c>
      <c r="M1759">
        <v>1100</v>
      </c>
      <c r="N1759">
        <v>-100</v>
      </c>
      <c r="O1759">
        <v>-1100</v>
      </c>
      <c r="Z1759" s="3">
        <f t="shared" si="27"/>
        <v>11</v>
      </c>
    </row>
    <row r="1760" spans="1:26" hidden="1">
      <c r="A1760" t="s">
        <v>706</v>
      </c>
      <c r="B1760" s="6">
        <v>44287</v>
      </c>
      <c r="C1760" s="6">
        <v>44651</v>
      </c>
      <c r="D1760">
        <v>20210401</v>
      </c>
      <c r="E1760">
        <v>20220331</v>
      </c>
      <c r="F1760" t="s">
        <v>4303</v>
      </c>
      <c r="G1760" t="s">
        <v>4304</v>
      </c>
      <c r="H1760" t="s">
        <v>613</v>
      </c>
      <c r="I1760" t="s">
        <v>1462</v>
      </c>
      <c r="L1760">
        <v>14</v>
      </c>
      <c r="M1760">
        <v>1346</v>
      </c>
      <c r="N1760">
        <v>-14</v>
      </c>
      <c r="O1760">
        <v>-1346</v>
      </c>
      <c r="Z1760" s="3">
        <f t="shared" si="27"/>
        <v>96.142857142857139</v>
      </c>
    </row>
    <row r="1761" spans="1:26" hidden="1">
      <c r="A1761" t="s">
        <v>706</v>
      </c>
      <c r="B1761" s="6">
        <v>44287</v>
      </c>
      <c r="C1761" s="6">
        <v>44651</v>
      </c>
      <c r="D1761">
        <v>20210401</v>
      </c>
      <c r="E1761">
        <v>20220331</v>
      </c>
      <c r="F1761" t="s">
        <v>4305</v>
      </c>
      <c r="G1761" t="s">
        <v>4306</v>
      </c>
      <c r="H1761" t="s">
        <v>613</v>
      </c>
      <c r="I1761" t="s">
        <v>1462</v>
      </c>
      <c r="L1761">
        <v>2</v>
      </c>
      <c r="M1761">
        <v>190</v>
      </c>
      <c r="N1761">
        <v>-2</v>
      </c>
      <c r="O1761">
        <v>-190</v>
      </c>
      <c r="Z1761" s="3">
        <f t="shared" si="27"/>
        <v>95</v>
      </c>
    </row>
    <row r="1762" spans="1:26" hidden="1">
      <c r="A1762" t="s">
        <v>706</v>
      </c>
      <c r="B1762" s="6">
        <v>44287</v>
      </c>
      <c r="C1762" s="6">
        <v>44651</v>
      </c>
      <c r="D1762">
        <v>20210401</v>
      </c>
      <c r="E1762">
        <v>20220331</v>
      </c>
      <c r="F1762" t="s">
        <v>4307</v>
      </c>
      <c r="G1762" t="s">
        <v>4308</v>
      </c>
      <c r="H1762" t="s">
        <v>613</v>
      </c>
      <c r="I1762" t="s">
        <v>1462</v>
      </c>
      <c r="L1762">
        <v>3</v>
      </c>
      <c r="M1762">
        <v>279</v>
      </c>
      <c r="N1762">
        <v>-3</v>
      </c>
      <c r="O1762">
        <v>-279</v>
      </c>
      <c r="Z1762" s="3">
        <f t="shared" si="27"/>
        <v>93</v>
      </c>
    </row>
    <row r="1763" spans="1:26" hidden="1">
      <c r="A1763" t="s">
        <v>706</v>
      </c>
      <c r="B1763" s="6">
        <v>44287</v>
      </c>
      <c r="C1763" s="6">
        <v>44651</v>
      </c>
      <c r="D1763">
        <v>20210401</v>
      </c>
      <c r="E1763">
        <v>20220331</v>
      </c>
      <c r="F1763" t="s">
        <v>4309</v>
      </c>
      <c r="G1763" t="s">
        <v>4310</v>
      </c>
      <c r="H1763" t="s">
        <v>613</v>
      </c>
      <c r="I1763" t="s">
        <v>1462</v>
      </c>
      <c r="L1763">
        <v>15</v>
      </c>
      <c r="M1763">
        <v>1486</v>
      </c>
      <c r="N1763">
        <v>-15</v>
      </c>
      <c r="O1763">
        <v>-1486</v>
      </c>
      <c r="Z1763" s="3">
        <f t="shared" si="27"/>
        <v>99.066666666666663</v>
      </c>
    </row>
    <row r="1764" spans="1:26" hidden="1">
      <c r="A1764" t="s">
        <v>706</v>
      </c>
      <c r="B1764" s="6">
        <v>44287</v>
      </c>
      <c r="C1764" s="6">
        <v>44651</v>
      </c>
      <c r="D1764">
        <v>20210401</v>
      </c>
      <c r="E1764">
        <v>20220331</v>
      </c>
      <c r="F1764" t="s">
        <v>4311</v>
      </c>
      <c r="G1764" t="s">
        <v>4312</v>
      </c>
      <c r="I1764" t="s">
        <v>1462</v>
      </c>
      <c r="L1764">
        <v>3</v>
      </c>
      <c r="M1764">
        <v>287</v>
      </c>
      <c r="N1764">
        <v>-3</v>
      </c>
      <c r="O1764">
        <v>-287</v>
      </c>
      <c r="Z1764" s="3">
        <f t="shared" si="27"/>
        <v>95.666666666666671</v>
      </c>
    </row>
    <row r="1765" spans="1:26" hidden="1">
      <c r="A1765" t="s">
        <v>706</v>
      </c>
      <c r="B1765" s="6">
        <v>44287</v>
      </c>
      <c r="C1765" s="6">
        <v>44651</v>
      </c>
      <c r="D1765">
        <v>20210401</v>
      </c>
      <c r="E1765">
        <v>20220331</v>
      </c>
      <c r="F1765" t="s">
        <v>4313</v>
      </c>
      <c r="G1765" t="s">
        <v>4314</v>
      </c>
      <c r="H1765" t="s">
        <v>590</v>
      </c>
      <c r="I1765" t="s">
        <v>1462</v>
      </c>
      <c r="L1765">
        <v>1</v>
      </c>
      <c r="M1765">
        <v>170</v>
      </c>
      <c r="N1765">
        <v>-1</v>
      </c>
      <c r="O1765">
        <v>-170</v>
      </c>
      <c r="Z1765" s="3">
        <f t="shared" si="27"/>
        <v>170</v>
      </c>
    </row>
    <row r="1766" spans="1:26" hidden="1">
      <c r="A1766" t="s">
        <v>706</v>
      </c>
      <c r="B1766" s="6">
        <v>44287</v>
      </c>
      <c r="C1766" s="6">
        <v>44651</v>
      </c>
      <c r="D1766">
        <v>20210401</v>
      </c>
      <c r="E1766">
        <v>20220331</v>
      </c>
      <c r="F1766" t="s">
        <v>4315</v>
      </c>
      <c r="G1766" t="s">
        <v>4316</v>
      </c>
      <c r="H1766" t="s">
        <v>613</v>
      </c>
      <c r="I1766" t="s">
        <v>805</v>
      </c>
      <c r="L1766">
        <v>21</v>
      </c>
      <c r="M1766">
        <v>2034</v>
      </c>
      <c r="N1766">
        <v>-21</v>
      </c>
      <c r="O1766">
        <v>-2034</v>
      </c>
      <c r="Z1766" s="3">
        <f t="shared" si="27"/>
        <v>96.857142857142861</v>
      </c>
    </row>
    <row r="1767" spans="1:26" hidden="1">
      <c r="A1767" t="s">
        <v>706</v>
      </c>
      <c r="B1767" s="6">
        <v>44287</v>
      </c>
      <c r="C1767" s="6">
        <v>44651</v>
      </c>
      <c r="D1767">
        <v>20210401</v>
      </c>
      <c r="E1767">
        <v>20220331</v>
      </c>
      <c r="F1767" t="s">
        <v>4317</v>
      </c>
      <c r="G1767" t="s">
        <v>4318</v>
      </c>
      <c r="H1767" t="s">
        <v>590</v>
      </c>
      <c r="I1767" t="s">
        <v>1462</v>
      </c>
      <c r="L1767">
        <v>7</v>
      </c>
      <c r="M1767">
        <v>569</v>
      </c>
      <c r="N1767">
        <v>-7</v>
      </c>
      <c r="O1767">
        <v>-569</v>
      </c>
      <c r="Z1767" s="3">
        <f t="shared" si="27"/>
        <v>81.285714285714292</v>
      </c>
    </row>
    <row r="1768" spans="1:26" hidden="1">
      <c r="A1768" t="s">
        <v>706</v>
      </c>
      <c r="B1768" s="6">
        <v>44287</v>
      </c>
      <c r="C1768" s="6">
        <v>44651</v>
      </c>
      <c r="D1768">
        <v>20210401</v>
      </c>
      <c r="E1768">
        <v>20220331</v>
      </c>
      <c r="F1768" t="s">
        <v>4319</v>
      </c>
      <c r="G1768" t="s">
        <v>4320</v>
      </c>
      <c r="H1768" t="s">
        <v>590</v>
      </c>
      <c r="I1768" t="s">
        <v>1462</v>
      </c>
      <c r="L1768">
        <v>2</v>
      </c>
      <c r="M1768">
        <v>385</v>
      </c>
      <c r="N1768">
        <v>-2</v>
      </c>
      <c r="O1768">
        <v>-385</v>
      </c>
      <c r="Z1768" s="3">
        <f t="shared" si="27"/>
        <v>192.5</v>
      </c>
    </row>
    <row r="1769" spans="1:26" hidden="1">
      <c r="A1769" t="s">
        <v>706</v>
      </c>
      <c r="B1769" s="6">
        <v>44287</v>
      </c>
      <c r="C1769" s="6">
        <v>44651</v>
      </c>
      <c r="D1769">
        <v>20210401</v>
      </c>
      <c r="E1769">
        <v>20220331</v>
      </c>
      <c r="F1769" t="s">
        <v>4321</v>
      </c>
      <c r="G1769" t="s">
        <v>4322</v>
      </c>
      <c r="H1769" t="s">
        <v>590</v>
      </c>
      <c r="I1769" t="s">
        <v>774</v>
      </c>
      <c r="P1769">
        <v>1</v>
      </c>
      <c r="Q1769">
        <v>45000</v>
      </c>
      <c r="R1769">
        <v>-1</v>
      </c>
      <c r="S1769">
        <v>-45000</v>
      </c>
      <c r="Z1769" s="3">
        <f t="shared" si="27"/>
        <v>45000</v>
      </c>
    </row>
    <row r="1770" spans="1:26" hidden="1">
      <c r="A1770" t="s">
        <v>706</v>
      </c>
      <c r="B1770" s="6">
        <v>44287</v>
      </c>
      <c r="C1770" s="6">
        <v>44651</v>
      </c>
      <c r="D1770">
        <v>20210401</v>
      </c>
      <c r="E1770">
        <v>20220331</v>
      </c>
      <c r="F1770" t="s">
        <v>4323</v>
      </c>
      <c r="G1770" t="s">
        <v>4324</v>
      </c>
      <c r="H1770" t="s">
        <v>590</v>
      </c>
      <c r="I1770" t="s">
        <v>774</v>
      </c>
      <c r="L1770">
        <v>1</v>
      </c>
      <c r="M1770">
        <v>40000</v>
      </c>
      <c r="N1770">
        <v>-1</v>
      </c>
      <c r="O1770">
        <v>-40000</v>
      </c>
      <c r="P1770">
        <v>1</v>
      </c>
      <c r="Q1770">
        <v>40000</v>
      </c>
      <c r="R1770">
        <v>-1</v>
      </c>
      <c r="S1770">
        <v>-40000</v>
      </c>
      <c r="Z1770" s="3" t="e">
        <f t="shared" si="27"/>
        <v>#DIV/0!</v>
      </c>
    </row>
    <row r="1771" spans="1:26" hidden="1">
      <c r="A1771" t="s">
        <v>706</v>
      </c>
      <c r="B1771" s="6">
        <v>44287</v>
      </c>
      <c r="C1771" s="6">
        <v>44651</v>
      </c>
      <c r="D1771">
        <v>20210401</v>
      </c>
      <c r="E1771">
        <v>20220331</v>
      </c>
      <c r="F1771" t="s">
        <v>4325</v>
      </c>
      <c r="G1771" t="s">
        <v>4326</v>
      </c>
      <c r="H1771" t="s">
        <v>590</v>
      </c>
      <c r="I1771" t="s">
        <v>774</v>
      </c>
      <c r="L1771">
        <v>1</v>
      </c>
      <c r="M1771">
        <v>120000</v>
      </c>
      <c r="N1771">
        <v>-1</v>
      </c>
      <c r="O1771">
        <v>-120000</v>
      </c>
      <c r="P1771">
        <v>1</v>
      </c>
      <c r="Q1771">
        <v>120000</v>
      </c>
      <c r="R1771">
        <v>-1</v>
      </c>
      <c r="S1771">
        <v>-120000</v>
      </c>
      <c r="Z1771" s="3" t="e">
        <f t="shared" si="27"/>
        <v>#DIV/0!</v>
      </c>
    </row>
    <row r="1772" spans="1:26" hidden="1">
      <c r="A1772" t="s">
        <v>706</v>
      </c>
      <c r="B1772" s="6">
        <v>44287</v>
      </c>
      <c r="C1772" s="6">
        <v>44651</v>
      </c>
      <c r="D1772">
        <v>20210401</v>
      </c>
      <c r="E1772">
        <v>20220331</v>
      </c>
      <c r="F1772" t="s">
        <v>4327</v>
      </c>
      <c r="G1772" t="s">
        <v>4328</v>
      </c>
      <c r="H1772" t="s">
        <v>590</v>
      </c>
      <c r="I1772" t="s">
        <v>774</v>
      </c>
      <c r="P1772">
        <v>1</v>
      </c>
      <c r="R1772">
        <v>-1</v>
      </c>
      <c r="Z1772" s="3">
        <f t="shared" si="27"/>
        <v>0</v>
      </c>
    </row>
    <row r="1773" spans="1:26" hidden="1">
      <c r="A1773" t="s">
        <v>706</v>
      </c>
      <c r="B1773" s="6">
        <v>44287</v>
      </c>
      <c r="C1773" s="6">
        <v>44651</v>
      </c>
      <c r="D1773">
        <v>20210401</v>
      </c>
      <c r="E1773">
        <v>20220331</v>
      </c>
      <c r="F1773" t="s">
        <v>4329</v>
      </c>
      <c r="G1773" t="s">
        <v>4330</v>
      </c>
      <c r="H1773" t="s">
        <v>590</v>
      </c>
      <c r="I1773" t="s">
        <v>774</v>
      </c>
      <c r="P1773">
        <v>1</v>
      </c>
      <c r="R1773">
        <v>-1</v>
      </c>
      <c r="Z1773" s="3">
        <f t="shared" si="27"/>
        <v>0</v>
      </c>
    </row>
    <row r="1774" spans="1:26" hidden="1">
      <c r="A1774" t="s">
        <v>706</v>
      </c>
      <c r="B1774" s="6">
        <v>44287</v>
      </c>
      <c r="C1774" s="6">
        <v>44651</v>
      </c>
      <c r="D1774">
        <v>20210401</v>
      </c>
      <c r="E1774">
        <v>20220331</v>
      </c>
      <c r="F1774" t="s">
        <v>4331</v>
      </c>
      <c r="G1774" t="s">
        <v>4332</v>
      </c>
      <c r="H1774" t="s">
        <v>590</v>
      </c>
      <c r="I1774" t="s">
        <v>774</v>
      </c>
      <c r="P1774">
        <v>1</v>
      </c>
      <c r="R1774">
        <v>-1</v>
      </c>
      <c r="Z1774" s="3">
        <f t="shared" si="27"/>
        <v>0</v>
      </c>
    </row>
    <row r="1775" spans="1:26" hidden="1">
      <c r="A1775" t="s">
        <v>706</v>
      </c>
      <c r="B1775" s="6">
        <v>44287</v>
      </c>
      <c r="C1775" s="6">
        <v>44651</v>
      </c>
      <c r="D1775">
        <v>20210401</v>
      </c>
      <c r="E1775">
        <v>20220331</v>
      </c>
      <c r="F1775" t="s">
        <v>4333</v>
      </c>
      <c r="G1775" t="s">
        <v>4334</v>
      </c>
      <c r="H1775" t="s">
        <v>590</v>
      </c>
      <c r="I1775" t="s">
        <v>774</v>
      </c>
      <c r="P1775">
        <v>1</v>
      </c>
      <c r="R1775">
        <v>-1</v>
      </c>
      <c r="Z1775" s="3">
        <f t="shared" si="27"/>
        <v>0</v>
      </c>
    </row>
    <row r="1776" spans="1:26" hidden="1">
      <c r="A1776" t="s">
        <v>706</v>
      </c>
      <c r="B1776" s="6">
        <v>44287</v>
      </c>
      <c r="C1776" s="6">
        <v>44651</v>
      </c>
      <c r="D1776">
        <v>20210401</v>
      </c>
      <c r="E1776">
        <v>20220331</v>
      </c>
      <c r="F1776" t="s">
        <v>4335</v>
      </c>
      <c r="G1776" t="s">
        <v>4336</v>
      </c>
      <c r="H1776" t="s">
        <v>590</v>
      </c>
      <c r="I1776" t="s">
        <v>774</v>
      </c>
      <c r="P1776">
        <v>1</v>
      </c>
      <c r="R1776">
        <v>-1</v>
      </c>
      <c r="Z1776" s="3">
        <f t="shared" si="27"/>
        <v>0</v>
      </c>
    </row>
    <row r="1777" spans="1:26" hidden="1">
      <c r="A1777" t="s">
        <v>706</v>
      </c>
      <c r="B1777" s="6">
        <v>44287</v>
      </c>
      <c r="C1777" s="6">
        <v>44651</v>
      </c>
      <c r="D1777">
        <v>20210401</v>
      </c>
      <c r="E1777">
        <v>20220331</v>
      </c>
      <c r="F1777" t="s">
        <v>4337</v>
      </c>
      <c r="G1777" t="s">
        <v>4338</v>
      </c>
      <c r="H1777" t="s">
        <v>590</v>
      </c>
      <c r="I1777" t="s">
        <v>828</v>
      </c>
      <c r="L1777">
        <v>180</v>
      </c>
      <c r="M1777">
        <v>13320</v>
      </c>
      <c r="N1777">
        <v>-180</v>
      </c>
      <c r="O1777">
        <v>-13320</v>
      </c>
      <c r="Z1777" s="3">
        <f t="shared" si="27"/>
        <v>74</v>
      </c>
    </row>
    <row r="1778" spans="1:26" hidden="1">
      <c r="A1778" t="s">
        <v>706</v>
      </c>
      <c r="B1778" s="6">
        <v>44287</v>
      </c>
      <c r="C1778" s="6">
        <v>44651</v>
      </c>
      <c r="D1778">
        <v>20210401</v>
      </c>
      <c r="E1778">
        <v>20220331</v>
      </c>
      <c r="F1778" t="s">
        <v>4339</v>
      </c>
      <c r="G1778" t="s">
        <v>4340</v>
      </c>
      <c r="H1778" t="s">
        <v>590</v>
      </c>
      <c r="I1778" t="s">
        <v>828</v>
      </c>
      <c r="L1778">
        <v>180</v>
      </c>
      <c r="M1778">
        <v>13320</v>
      </c>
      <c r="N1778">
        <v>-180</v>
      </c>
      <c r="O1778">
        <v>-13320</v>
      </c>
      <c r="Z1778" s="3">
        <f t="shared" si="27"/>
        <v>74</v>
      </c>
    </row>
    <row r="1779" spans="1:26" hidden="1">
      <c r="A1779" t="s">
        <v>706</v>
      </c>
      <c r="B1779" s="6">
        <v>44287</v>
      </c>
      <c r="C1779" s="6">
        <v>44651</v>
      </c>
      <c r="D1779">
        <v>20210401</v>
      </c>
      <c r="E1779">
        <v>20220331</v>
      </c>
      <c r="F1779" t="s">
        <v>4341</v>
      </c>
      <c r="G1779" t="s">
        <v>4342</v>
      </c>
      <c r="H1779" t="s">
        <v>590</v>
      </c>
      <c r="I1779" t="s">
        <v>774</v>
      </c>
      <c r="L1779">
        <v>1</v>
      </c>
      <c r="M1779">
        <v>70000</v>
      </c>
      <c r="N1779">
        <v>-1</v>
      </c>
      <c r="O1779">
        <v>-70000</v>
      </c>
      <c r="Z1779" s="3">
        <f t="shared" si="27"/>
        <v>70000</v>
      </c>
    </row>
    <row r="1780" spans="1:26" hidden="1">
      <c r="A1780" t="s">
        <v>706</v>
      </c>
      <c r="B1780" s="6">
        <v>44287</v>
      </c>
      <c r="C1780" s="6">
        <v>44651</v>
      </c>
      <c r="D1780">
        <v>20210401</v>
      </c>
      <c r="E1780">
        <v>20220331</v>
      </c>
      <c r="F1780" t="s">
        <v>4343</v>
      </c>
      <c r="G1780" t="s">
        <v>4344</v>
      </c>
      <c r="H1780" t="s">
        <v>590</v>
      </c>
      <c r="I1780" t="s">
        <v>774</v>
      </c>
      <c r="L1780">
        <v>1</v>
      </c>
      <c r="M1780">
        <v>70000</v>
      </c>
      <c r="N1780">
        <v>-1</v>
      </c>
      <c r="O1780">
        <v>-70000</v>
      </c>
      <c r="Z1780" s="3">
        <f t="shared" si="27"/>
        <v>70000</v>
      </c>
    </row>
    <row r="1781" spans="1:26" hidden="1">
      <c r="A1781" t="s">
        <v>706</v>
      </c>
      <c r="B1781" s="6">
        <v>44287</v>
      </c>
      <c r="C1781" s="6">
        <v>44651</v>
      </c>
      <c r="D1781">
        <v>20210401</v>
      </c>
      <c r="E1781">
        <v>20220331</v>
      </c>
      <c r="F1781" t="s">
        <v>4345</v>
      </c>
      <c r="G1781" t="s">
        <v>4346</v>
      </c>
      <c r="H1781" t="s">
        <v>590</v>
      </c>
      <c r="I1781" t="s">
        <v>774</v>
      </c>
      <c r="L1781">
        <v>1</v>
      </c>
      <c r="M1781">
        <v>114000</v>
      </c>
      <c r="N1781">
        <v>-1</v>
      </c>
      <c r="O1781">
        <v>-114000</v>
      </c>
      <c r="Z1781" s="3">
        <f t="shared" si="27"/>
        <v>114000</v>
      </c>
    </row>
    <row r="1782" spans="1:26" hidden="1">
      <c r="A1782" t="s">
        <v>706</v>
      </c>
      <c r="B1782" s="6">
        <v>44287</v>
      </c>
      <c r="C1782" s="6">
        <v>44651</v>
      </c>
      <c r="D1782">
        <v>20210401</v>
      </c>
      <c r="E1782">
        <v>20220331</v>
      </c>
      <c r="F1782" t="s">
        <v>4347</v>
      </c>
      <c r="G1782" t="s">
        <v>4348</v>
      </c>
      <c r="H1782" t="s">
        <v>590</v>
      </c>
      <c r="I1782" t="s">
        <v>774</v>
      </c>
      <c r="L1782">
        <v>1</v>
      </c>
      <c r="M1782">
        <v>114000</v>
      </c>
      <c r="N1782">
        <v>-1</v>
      </c>
      <c r="O1782">
        <v>-114000</v>
      </c>
      <c r="Z1782" s="3">
        <f t="shared" si="27"/>
        <v>114000</v>
      </c>
    </row>
    <row r="1783" spans="1:26" hidden="1">
      <c r="A1783" t="s">
        <v>706</v>
      </c>
      <c r="B1783" s="6">
        <v>44287</v>
      </c>
      <c r="C1783" s="6">
        <v>44651</v>
      </c>
      <c r="D1783">
        <v>20210401</v>
      </c>
      <c r="E1783">
        <v>20220331</v>
      </c>
      <c r="F1783" t="s">
        <v>4349</v>
      </c>
      <c r="G1783" t="s">
        <v>4350</v>
      </c>
      <c r="H1783" t="s">
        <v>590</v>
      </c>
      <c r="I1783" t="s">
        <v>774</v>
      </c>
      <c r="L1783">
        <v>1</v>
      </c>
      <c r="M1783">
        <v>200000</v>
      </c>
      <c r="N1783">
        <v>-1</v>
      </c>
      <c r="O1783">
        <v>-200000</v>
      </c>
      <c r="P1783">
        <v>1</v>
      </c>
      <c r="Q1783">
        <v>200000</v>
      </c>
      <c r="R1783">
        <v>-1</v>
      </c>
      <c r="S1783">
        <v>-200000</v>
      </c>
      <c r="Z1783" s="3" t="e">
        <f t="shared" si="27"/>
        <v>#DIV/0!</v>
      </c>
    </row>
    <row r="1784" spans="1:26" hidden="1">
      <c r="A1784" t="s">
        <v>706</v>
      </c>
      <c r="B1784" s="6">
        <v>44287</v>
      </c>
      <c r="C1784" s="6">
        <v>44651</v>
      </c>
      <c r="D1784">
        <v>20210401</v>
      </c>
      <c r="E1784">
        <v>20220331</v>
      </c>
      <c r="F1784" t="s">
        <v>4351</v>
      </c>
      <c r="G1784" t="s">
        <v>4352</v>
      </c>
      <c r="H1784" t="s">
        <v>590</v>
      </c>
      <c r="I1784" t="s">
        <v>1462</v>
      </c>
      <c r="L1784">
        <v>20</v>
      </c>
      <c r="M1784">
        <v>1750</v>
      </c>
      <c r="N1784">
        <v>-20</v>
      </c>
      <c r="O1784">
        <v>-1750</v>
      </c>
      <c r="Z1784" s="3">
        <f t="shared" si="27"/>
        <v>87.5</v>
      </c>
    </row>
    <row r="1785" spans="1:26" hidden="1">
      <c r="A1785" t="s">
        <v>706</v>
      </c>
      <c r="B1785" s="6">
        <v>44287</v>
      </c>
      <c r="C1785" s="6">
        <v>44651</v>
      </c>
      <c r="D1785">
        <v>20210401</v>
      </c>
      <c r="E1785">
        <v>20220331</v>
      </c>
      <c r="F1785" t="s">
        <v>4353</v>
      </c>
      <c r="G1785" t="s">
        <v>4354</v>
      </c>
      <c r="H1785" t="s">
        <v>590</v>
      </c>
      <c r="I1785" t="s">
        <v>1462</v>
      </c>
      <c r="N1785">
        <v>-2</v>
      </c>
      <c r="O1785">
        <v>-300</v>
      </c>
      <c r="P1785">
        <v>2</v>
      </c>
      <c r="Q1785">
        <v>300</v>
      </c>
      <c r="Z1785" s="3" t="e">
        <f t="shared" si="27"/>
        <v>#DIV/0!</v>
      </c>
    </row>
    <row r="1786" spans="1:26" hidden="1">
      <c r="A1786" t="s">
        <v>706</v>
      </c>
      <c r="B1786" s="6">
        <v>44287</v>
      </c>
      <c r="C1786" s="6">
        <v>44651</v>
      </c>
      <c r="D1786">
        <v>20210401</v>
      </c>
      <c r="E1786">
        <v>20220331</v>
      </c>
      <c r="F1786" t="s">
        <v>4355</v>
      </c>
      <c r="G1786" t="s">
        <v>4356</v>
      </c>
      <c r="H1786" t="s">
        <v>590</v>
      </c>
      <c r="I1786" t="s">
        <v>1462</v>
      </c>
      <c r="L1786">
        <v>1</v>
      </c>
      <c r="M1786">
        <v>1264.3800000000001</v>
      </c>
      <c r="N1786">
        <v>-2</v>
      </c>
      <c r="O1786">
        <v>-2484.38</v>
      </c>
      <c r="P1786">
        <v>1</v>
      </c>
      <c r="Q1786">
        <v>1220</v>
      </c>
      <c r="Z1786" s="3">
        <f t="shared" si="27"/>
        <v>1264.3800000000001</v>
      </c>
    </row>
    <row r="1787" spans="1:26" hidden="1">
      <c r="A1787" t="s">
        <v>706</v>
      </c>
      <c r="B1787" s="6">
        <v>44287</v>
      </c>
      <c r="C1787" s="6">
        <v>44651</v>
      </c>
      <c r="D1787">
        <v>20210401</v>
      </c>
      <c r="E1787">
        <v>20220331</v>
      </c>
      <c r="F1787" t="s">
        <v>4357</v>
      </c>
      <c r="G1787" t="s">
        <v>4358</v>
      </c>
      <c r="H1787" t="s">
        <v>590</v>
      </c>
      <c r="I1787" t="s">
        <v>1462</v>
      </c>
      <c r="K1787">
        <v>0.01</v>
      </c>
      <c r="L1787">
        <v>2</v>
      </c>
      <c r="M1787">
        <v>4231.5</v>
      </c>
      <c r="N1787">
        <v>-2</v>
      </c>
      <c r="O1787">
        <v>-4231.5</v>
      </c>
      <c r="Y1787">
        <v>0.01</v>
      </c>
      <c r="Z1787" s="3">
        <f t="shared" si="27"/>
        <v>2115.75</v>
      </c>
    </row>
    <row r="1788" spans="1:26" hidden="1">
      <c r="A1788" t="s">
        <v>706</v>
      </c>
      <c r="B1788" s="6">
        <v>44287</v>
      </c>
      <c r="C1788" s="6">
        <v>44651</v>
      </c>
      <c r="D1788">
        <v>20210401</v>
      </c>
      <c r="E1788">
        <v>20220331</v>
      </c>
      <c r="F1788" t="s">
        <v>4359</v>
      </c>
      <c r="G1788" t="s">
        <v>4360</v>
      </c>
      <c r="H1788" t="s">
        <v>590</v>
      </c>
      <c r="I1788" t="s">
        <v>1462</v>
      </c>
      <c r="L1788">
        <v>3</v>
      </c>
      <c r="M1788">
        <v>300</v>
      </c>
      <c r="N1788">
        <v>-3</v>
      </c>
      <c r="O1788">
        <v>-300</v>
      </c>
      <c r="Z1788" s="3">
        <f t="shared" si="27"/>
        <v>100</v>
      </c>
    </row>
    <row r="1789" spans="1:26" hidden="1">
      <c r="A1789" t="s">
        <v>706</v>
      </c>
      <c r="B1789" s="6">
        <v>44287</v>
      </c>
      <c r="C1789" s="6">
        <v>44651</v>
      </c>
      <c r="D1789">
        <v>20210401</v>
      </c>
      <c r="E1789">
        <v>20220331</v>
      </c>
      <c r="F1789" t="s">
        <v>4361</v>
      </c>
      <c r="G1789" t="s">
        <v>4362</v>
      </c>
      <c r="H1789" t="s">
        <v>590</v>
      </c>
      <c r="I1789" t="s">
        <v>1462</v>
      </c>
      <c r="L1789">
        <v>5</v>
      </c>
      <c r="M1789">
        <v>400</v>
      </c>
      <c r="N1789">
        <v>-5</v>
      </c>
      <c r="O1789">
        <v>-400</v>
      </c>
      <c r="Z1789" s="3">
        <f t="shared" si="27"/>
        <v>80</v>
      </c>
    </row>
    <row r="1790" spans="1:26" hidden="1">
      <c r="A1790" t="s">
        <v>706</v>
      </c>
      <c r="B1790" s="6">
        <v>44287</v>
      </c>
      <c r="C1790" s="6">
        <v>44651</v>
      </c>
      <c r="D1790">
        <v>20210401</v>
      </c>
      <c r="E1790">
        <v>20220331</v>
      </c>
      <c r="F1790" t="s">
        <v>4363</v>
      </c>
      <c r="G1790" t="s">
        <v>4364</v>
      </c>
      <c r="H1790" t="s">
        <v>1973</v>
      </c>
      <c r="I1790" t="s">
        <v>1462</v>
      </c>
      <c r="N1790">
        <v>-3</v>
      </c>
      <c r="O1790">
        <v>-990</v>
      </c>
      <c r="P1790">
        <v>3</v>
      </c>
      <c r="Q1790">
        <v>990</v>
      </c>
      <c r="Z1790" s="3" t="e">
        <f t="shared" si="27"/>
        <v>#DIV/0!</v>
      </c>
    </row>
    <row r="1791" spans="1:26" hidden="1">
      <c r="A1791" t="s">
        <v>706</v>
      </c>
      <c r="B1791" s="6">
        <v>44287</v>
      </c>
      <c r="C1791" s="6">
        <v>44651</v>
      </c>
      <c r="D1791">
        <v>20210401</v>
      </c>
      <c r="E1791">
        <v>20220331</v>
      </c>
      <c r="F1791" t="s">
        <v>4365</v>
      </c>
      <c r="G1791" t="s">
        <v>4366</v>
      </c>
      <c r="H1791" t="s">
        <v>1973</v>
      </c>
      <c r="I1791" t="s">
        <v>1462</v>
      </c>
      <c r="L1791">
        <v>3</v>
      </c>
      <c r="M1791">
        <v>5250</v>
      </c>
      <c r="N1791">
        <v>-3</v>
      </c>
      <c r="O1791">
        <v>-5250</v>
      </c>
      <c r="Z1791" s="3">
        <f t="shared" si="27"/>
        <v>1750</v>
      </c>
    </row>
    <row r="1792" spans="1:26" hidden="1">
      <c r="A1792" t="s">
        <v>706</v>
      </c>
      <c r="B1792" s="6">
        <v>44287</v>
      </c>
      <c r="C1792" s="6">
        <v>44651</v>
      </c>
      <c r="D1792">
        <v>20210401</v>
      </c>
      <c r="E1792">
        <v>20220331</v>
      </c>
      <c r="F1792" t="s">
        <v>4367</v>
      </c>
      <c r="G1792" t="s">
        <v>4368</v>
      </c>
      <c r="H1792" t="s">
        <v>590</v>
      </c>
      <c r="I1792" t="s">
        <v>1462</v>
      </c>
      <c r="L1792">
        <v>1</v>
      </c>
      <c r="M1792">
        <v>3480</v>
      </c>
      <c r="N1792">
        <v>-1</v>
      </c>
      <c r="O1792">
        <v>-3480</v>
      </c>
      <c r="Z1792" s="3">
        <f t="shared" si="27"/>
        <v>3480</v>
      </c>
    </row>
    <row r="1793" spans="1:26" hidden="1">
      <c r="A1793" t="s">
        <v>706</v>
      </c>
      <c r="B1793" s="6">
        <v>44287</v>
      </c>
      <c r="C1793" s="6">
        <v>44651</v>
      </c>
      <c r="D1793">
        <v>20210401</v>
      </c>
      <c r="E1793">
        <v>20220331</v>
      </c>
      <c r="F1793" t="s">
        <v>4369</v>
      </c>
      <c r="G1793" t="s">
        <v>4370</v>
      </c>
      <c r="H1793" t="s">
        <v>590</v>
      </c>
      <c r="I1793" t="s">
        <v>1462</v>
      </c>
      <c r="L1793">
        <v>1</v>
      </c>
      <c r="M1793">
        <v>1070</v>
      </c>
      <c r="N1793">
        <v>-1</v>
      </c>
      <c r="O1793">
        <v>-1070</v>
      </c>
      <c r="Z1793" s="3">
        <f t="shared" si="27"/>
        <v>1070</v>
      </c>
    </row>
    <row r="1794" spans="1:26" hidden="1">
      <c r="A1794" t="s">
        <v>706</v>
      </c>
      <c r="B1794" s="6">
        <v>44287</v>
      </c>
      <c r="C1794" s="6">
        <v>44651</v>
      </c>
      <c r="D1794">
        <v>20210401</v>
      </c>
      <c r="E1794">
        <v>20220331</v>
      </c>
      <c r="F1794" t="s">
        <v>4371</v>
      </c>
      <c r="G1794" t="s">
        <v>4372</v>
      </c>
      <c r="H1794" t="s">
        <v>590</v>
      </c>
      <c r="I1794" t="s">
        <v>1462</v>
      </c>
      <c r="L1794">
        <v>1</v>
      </c>
      <c r="M1794">
        <v>595</v>
      </c>
      <c r="N1794">
        <v>-1</v>
      </c>
      <c r="O1794">
        <v>-595</v>
      </c>
      <c r="Z1794" s="3">
        <f t="shared" si="27"/>
        <v>595</v>
      </c>
    </row>
    <row r="1795" spans="1:26" hidden="1">
      <c r="A1795" t="s">
        <v>706</v>
      </c>
      <c r="B1795" s="6">
        <v>44287</v>
      </c>
      <c r="C1795" s="6">
        <v>44651</v>
      </c>
      <c r="D1795">
        <v>20210401</v>
      </c>
      <c r="E1795">
        <v>20220331</v>
      </c>
      <c r="F1795" t="s">
        <v>4373</v>
      </c>
      <c r="G1795" t="s">
        <v>4374</v>
      </c>
      <c r="H1795" t="s">
        <v>590</v>
      </c>
      <c r="I1795" t="s">
        <v>1462</v>
      </c>
      <c r="L1795">
        <v>1</v>
      </c>
      <c r="M1795">
        <v>76635</v>
      </c>
      <c r="N1795">
        <v>-1</v>
      </c>
      <c r="O1795">
        <v>-76635</v>
      </c>
      <c r="Z1795" s="3">
        <f t="shared" ref="Z1795:Z1858" si="28">IFERROR((O1795+Q1795)/(N1795+P1795),Y1795/X1795)</f>
        <v>76635</v>
      </c>
    </row>
    <row r="1796" spans="1:26" hidden="1">
      <c r="A1796" t="s">
        <v>706</v>
      </c>
      <c r="B1796" s="6">
        <v>44287</v>
      </c>
      <c r="C1796" s="6">
        <v>44651</v>
      </c>
      <c r="D1796">
        <v>20210401</v>
      </c>
      <c r="E1796">
        <v>20220331</v>
      </c>
      <c r="F1796" t="s">
        <v>4375</v>
      </c>
      <c r="G1796" t="s">
        <v>4376</v>
      </c>
      <c r="H1796" t="s">
        <v>1973</v>
      </c>
      <c r="I1796" t="s">
        <v>1462</v>
      </c>
      <c r="L1796">
        <v>3</v>
      </c>
      <c r="M1796">
        <v>2371.1999999999998</v>
      </c>
      <c r="N1796">
        <v>-6</v>
      </c>
      <c r="O1796">
        <v>-4742.3999999999996</v>
      </c>
      <c r="P1796">
        <v>3</v>
      </c>
      <c r="Q1796">
        <v>2371.1999999999998</v>
      </c>
      <c r="Z1796" s="3">
        <f t="shared" si="28"/>
        <v>790.4</v>
      </c>
    </row>
    <row r="1797" spans="1:26" hidden="1">
      <c r="A1797" t="s">
        <v>706</v>
      </c>
      <c r="B1797" s="6">
        <v>44287</v>
      </c>
      <c r="C1797" s="6">
        <v>44651</v>
      </c>
      <c r="D1797">
        <v>20210401</v>
      </c>
      <c r="E1797">
        <v>20220331</v>
      </c>
      <c r="F1797" t="s">
        <v>4377</v>
      </c>
      <c r="G1797" t="s">
        <v>4378</v>
      </c>
      <c r="H1797" t="s">
        <v>1973</v>
      </c>
      <c r="I1797" t="s">
        <v>1462</v>
      </c>
      <c r="L1797">
        <v>4</v>
      </c>
      <c r="M1797">
        <v>1872</v>
      </c>
      <c r="N1797">
        <v>-4</v>
      </c>
      <c r="O1797">
        <v>-1872</v>
      </c>
      <c r="Z1797" s="3">
        <f t="shared" si="28"/>
        <v>468</v>
      </c>
    </row>
    <row r="1798" spans="1:26" hidden="1">
      <c r="A1798" t="s">
        <v>706</v>
      </c>
      <c r="B1798" s="6">
        <v>44287</v>
      </c>
      <c r="C1798" s="6">
        <v>44651</v>
      </c>
      <c r="D1798">
        <v>20210401</v>
      </c>
      <c r="E1798">
        <v>20220331</v>
      </c>
      <c r="F1798" t="s">
        <v>4379</v>
      </c>
      <c r="G1798" t="s">
        <v>4380</v>
      </c>
      <c r="H1798" t="s">
        <v>590</v>
      </c>
      <c r="I1798" t="s">
        <v>1462</v>
      </c>
      <c r="L1798">
        <v>1</v>
      </c>
      <c r="M1798">
        <v>23890</v>
      </c>
      <c r="N1798">
        <v>-1</v>
      </c>
      <c r="O1798">
        <v>-23890</v>
      </c>
      <c r="Z1798" s="3">
        <f t="shared" si="28"/>
        <v>23890</v>
      </c>
    </row>
    <row r="1799" spans="1:26" hidden="1">
      <c r="A1799" t="s">
        <v>706</v>
      </c>
      <c r="B1799" s="6">
        <v>44287</v>
      </c>
      <c r="C1799" s="6">
        <v>44651</v>
      </c>
      <c r="D1799">
        <v>20210401</v>
      </c>
      <c r="E1799">
        <v>20220331</v>
      </c>
      <c r="F1799" t="s">
        <v>4381</v>
      </c>
      <c r="G1799" t="s">
        <v>4382</v>
      </c>
      <c r="H1799" t="s">
        <v>590</v>
      </c>
      <c r="I1799" t="s">
        <v>1462</v>
      </c>
      <c r="L1799">
        <v>1</v>
      </c>
      <c r="M1799">
        <v>7645</v>
      </c>
      <c r="N1799">
        <v>-1</v>
      </c>
      <c r="O1799">
        <v>-7645</v>
      </c>
      <c r="Z1799" s="3">
        <f t="shared" si="28"/>
        <v>7645</v>
      </c>
    </row>
    <row r="1800" spans="1:26" hidden="1">
      <c r="A1800" t="s">
        <v>706</v>
      </c>
      <c r="B1800" s="6">
        <v>44287</v>
      </c>
      <c r="C1800" s="6">
        <v>44651</v>
      </c>
      <c r="D1800">
        <v>20210401</v>
      </c>
      <c r="E1800">
        <v>20220331</v>
      </c>
      <c r="F1800" t="s">
        <v>4383</v>
      </c>
      <c r="G1800" t="s">
        <v>4384</v>
      </c>
      <c r="H1800" t="s">
        <v>590</v>
      </c>
      <c r="I1800" t="s">
        <v>1462</v>
      </c>
      <c r="L1800">
        <v>1</v>
      </c>
      <c r="M1800">
        <v>3245</v>
      </c>
      <c r="N1800">
        <v>-1</v>
      </c>
      <c r="O1800">
        <v>-3245</v>
      </c>
      <c r="Z1800" s="3">
        <f t="shared" si="28"/>
        <v>3245</v>
      </c>
    </row>
    <row r="1801" spans="1:26" hidden="1">
      <c r="A1801" t="s">
        <v>706</v>
      </c>
      <c r="B1801" s="6">
        <v>44287</v>
      </c>
      <c r="C1801" s="6">
        <v>44651</v>
      </c>
      <c r="D1801">
        <v>20210401</v>
      </c>
      <c r="E1801">
        <v>20220331</v>
      </c>
      <c r="F1801" t="s">
        <v>4385</v>
      </c>
      <c r="G1801" t="s">
        <v>4386</v>
      </c>
      <c r="H1801" t="s">
        <v>590</v>
      </c>
      <c r="I1801" t="s">
        <v>1462</v>
      </c>
      <c r="L1801">
        <v>1</v>
      </c>
      <c r="M1801">
        <v>2885</v>
      </c>
      <c r="N1801">
        <v>-1</v>
      </c>
      <c r="O1801">
        <v>-2885</v>
      </c>
      <c r="Z1801" s="3">
        <f t="shared" si="28"/>
        <v>2885</v>
      </c>
    </row>
    <row r="1802" spans="1:26" hidden="1">
      <c r="A1802" t="s">
        <v>706</v>
      </c>
      <c r="B1802" s="6">
        <v>44287</v>
      </c>
      <c r="C1802" s="6">
        <v>44651</v>
      </c>
      <c r="D1802">
        <v>20210401</v>
      </c>
      <c r="E1802">
        <v>20220331</v>
      </c>
      <c r="F1802" t="s">
        <v>4387</v>
      </c>
      <c r="G1802" t="s">
        <v>4388</v>
      </c>
      <c r="H1802" t="s">
        <v>590</v>
      </c>
      <c r="I1802" t="s">
        <v>1462</v>
      </c>
      <c r="L1802">
        <v>1</v>
      </c>
      <c r="M1802">
        <v>2780</v>
      </c>
      <c r="N1802">
        <v>-1</v>
      </c>
      <c r="O1802">
        <v>-2780</v>
      </c>
      <c r="Z1802" s="3">
        <f t="shared" si="28"/>
        <v>2780</v>
      </c>
    </row>
    <row r="1803" spans="1:26" hidden="1">
      <c r="A1803" t="s">
        <v>706</v>
      </c>
      <c r="B1803" s="6">
        <v>44287</v>
      </c>
      <c r="C1803" s="6">
        <v>44651</v>
      </c>
      <c r="D1803">
        <v>20210401</v>
      </c>
      <c r="E1803">
        <v>20220331</v>
      </c>
      <c r="F1803" t="s">
        <v>4389</v>
      </c>
      <c r="G1803" t="s">
        <v>4390</v>
      </c>
      <c r="H1803" t="s">
        <v>590</v>
      </c>
      <c r="I1803" t="s">
        <v>1462</v>
      </c>
      <c r="L1803">
        <v>1</v>
      </c>
      <c r="M1803">
        <v>220</v>
      </c>
      <c r="N1803">
        <v>-1</v>
      </c>
      <c r="O1803">
        <v>-220</v>
      </c>
      <c r="Z1803" s="3">
        <f t="shared" si="28"/>
        <v>220</v>
      </c>
    </row>
    <row r="1804" spans="1:26" hidden="1">
      <c r="A1804" t="s">
        <v>706</v>
      </c>
      <c r="B1804" s="6">
        <v>44287</v>
      </c>
      <c r="C1804" s="6">
        <v>44651</v>
      </c>
      <c r="D1804">
        <v>20210401</v>
      </c>
      <c r="E1804">
        <v>20220331</v>
      </c>
      <c r="F1804" t="s">
        <v>4391</v>
      </c>
      <c r="G1804" t="s">
        <v>4392</v>
      </c>
      <c r="H1804" t="s">
        <v>590</v>
      </c>
      <c r="I1804" t="s">
        <v>1462</v>
      </c>
      <c r="L1804">
        <v>1</v>
      </c>
      <c r="M1804">
        <v>15660</v>
      </c>
      <c r="N1804">
        <v>-1</v>
      </c>
      <c r="O1804">
        <v>-15660</v>
      </c>
      <c r="Z1804" s="3">
        <f t="shared" si="28"/>
        <v>15660</v>
      </c>
    </row>
    <row r="1805" spans="1:26" hidden="1">
      <c r="A1805" t="s">
        <v>706</v>
      </c>
      <c r="B1805" s="6">
        <v>44287</v>
      </c>
      <c r="C1805" s="6">
        <v>44651</v>
      </c>
      <c r="D1805">
        <v>20210401</v>
      </c>
      <c r="E1805">
        <v>20220331</v>
      </c>
      <c r="F1805" t="s">
        <v>4393</v>
      </c>
      <c r="G1805" t="s">
        <v>4394</v>
      </c>
      <c r="H1805" t="s">
        <v>590</v>
      </c>
      <c r="I1805" t="s">
        <v>1462</v>
      </c>
      <c r="L1805">
        <v>1</v>
      </c>
      <c r="M1805">
        <v>40425</v>
      </c>
      <c r="N1805">
        <v>-1</v>
      </c>
      <c r="O1805">
        <v>-40425</v>
      </c>
      <c r="Z1805" s="3">
        <f t="shared" si="28"/>
        <v>40425</v>
      </c>
    </row>
    <row r="1806" spans="1:26" hidden="1">
      <c r="A1806" t="s">
        <v>706</v>
      </c>
      <c r="B1806" s="6">
        <v>44287</v>
      </c>
      <c r="C1806" s="6">
        <v>44651</v>
      </c>
      <c r="D1806">
        <v>20210401</v>
      </c>
      <c r="E1806">
        <v>20220331</v>
      </c>
      <c r="F1806" t="s">
        <v>4395</v>
      </c>
      <c r="G1806" t="s">
        <v>4396</v>
      </c>
      <c r="H1806" t="s">
        <v>590</v>
      </c>
      <c r="I1806" t="s">
        <v>1462</v>
      </c>
      <c r="L1806">
        <v>10</v>
      </c>
      <c r="M1806">
        <v>1080</v>
      </c>
      <c r="N1806">
        <v>-10</v>
      </c>
      <c r="O1806">
        <v>-1080</v>
      </c>
      <c r="Z1806" s="3">
        <f t="shared" si="28"/>
        <v>108</v>
      </c>
    </row>
    <row r="1807" spans="1:26" hidden="1">
      <c r="A1807" t="s">
        <v>706</v>
      </c>
      <c r="B1807" s="6">
        <v>44287</v>
      </c>
      <c r="C1807" s="6">
        <v>44651</v>
      </c>
      <c r="D1807">
        <v>20210401</v>
      </c>
      <c r="E1807">
        <v>20220331</v>
      </c>
      <c r="F1807" t="s">
        <v>4397</v>
      </c>
      <c r="G1807" t="s">
        <v>4398</v>
      </c>
      <c r="H1807" t="s">
        <v>590</v>
      </c>
      <c r="I1807" t="s">
        <v>805</v>
      </c>
      <c r="L1807">
        <v>2</v>
      </c>
      <c r="M1807">
        <v>32099.1</v>
      </c>
      <c r="N1807">
        <v>-1</v>
      </c>
      <c r="O1807">
        <v>-15517.5</v>
      </c>
      <c r="X1807">
        <v>1</v>
      </c>
      <c r="Y1807">
        <v>16581.599999999999</v>
      </c>
      <c r="Z1807" s="3">
        <f t="shared" si="28"/>
        <v>15517.5</v>
      </c>
    </row>
    <row r="1808" spans="1:26" hidden="1">
      <c r="A1808" t="s">
        <v>706</v>
      </c>
      <c r="B1808" s="6">
        <v>44287</v>
      </c>
      <c r="C1808" s="6">
        <v>44651</v>
      </c>
      <c r="D1808">
        <v>20210401</v>
      </c>
      <c r="E1808">
        <v>20220331</v>
      </c>
      <c r="F1808" t="s">
        <v>4399</v>
      </c>
      <c r="G1808" t="s">
        <v>4400</v>
      </c>
      <c r="H1808" t="s">
        <v>590</v>
      </c>
      <c r="I1808" t="s">
        <v>1462</v>
      </c>
      <c r="L1808">
        <v>2</v>
      </c>
      <c r="M1808">
        <v>5480</v>
      </c>
      <c r="N1808">
        <v>-2</v>
      </c>
      <c r="O1808">
        <v>-5480</v>
      </c>
      <c r="Z1808" s="3">
        <f t="shared" si="28"/>
        <v>2740</v>
      </c>
    </row>
    <row r="1809" spans="1:26" hidden="1">
      <c r="A1809" t="s">
        <v>706</v>
      </c>
      <c r="B1809" s="6">
        <v>44287</v>
      </c>
      <c r="C1809" s="6">
        <v>44651</v>
      </c>
      <c r="D1809">
        <v>20210401</v>
      </c>
      <c r="E1809">
        <v>20220331</v>
      </c>
      <c r="F1809" t="s">
        <v>4401</v>
      </c>
      <c r="G1809" t="s">
        <v>4402</v>
      </c>
      <c r="H1809" t="s">
        <v>590</v>
      </c>
      <c r="I1809" t="s">
        <v>1462</v>
      </c>
      <c r="L1809">
        <v>2</v>
      </c>
      <c r="M1809">
        <v>3140</v>
      </c>
      <c r="N1809">
        <v>-2</v>
      </c>
      <c r="O1809">
        <v>-3140</v>
      </c>
      <c r="Z1809" s="3">
        <f t="shared" si="28"/>
        <v>1570</v>
      </c>
    </row>
    <row r="1810" spans="1:26" hidden="1">
      <c r="A1810" t="s">
        <v>706</v>
      </c>
      <c r="B1810" s="6">
        <v>44287</v>
      </c>
      <c r="C1810" s="6">
        <v>44651</v>
      </c>
      <c r="D1810">
        <v>20210401</v>
      </c>
      <c r="E1810">
        <v>20220331</v>
      </c>
      <c r="F1810" t="s">
        <v>4403</v>
      </c>
      <c r="G1810" t="s">
        <v>4404</v>
      </c>
      <c r="H1810" t="s">
        <v>590</v>
      </c>
      <c r="I1810" t="s">
        <v>1462</v>
      </c>
      <c r="L1810">
        <v>4</v>
      </c>
      <c r="M1810">
        <v>5480</v>
      </c>
      <c r="N1810">
        <v>-4</v>
      </c>
      <c r="O1810">
        <v>-5480</v>
      </c>
      <c r="Z1810" s="3">
        <f t="shared" si="28"/>
        <v>1370</v>
      </c>
    </row>
    <row r="1811" spans="1:26" hidden="1">
      <c r="A1811" t="s">
        <v>706</v>
      </c>
      <c r="B1811" s="6">
        <v>44287</v>
      </c>
      <c r="C1811" s="6">
        <v>44651</v>
      </c>
      <c r="D1811">
        <v>20210401</v>
      </c>
      <c r="E1811">
        <v>20220331</v>
      </c>
      <c r="F1811" t="s">
        <v>4405</v>
      </c>
      <c r="G1811" t="s">
        <v>4406</v>
      </c>
      <c r="H1811" t="s">
        <v>590</v>
      </c>
      <c r="I1811" t="s">
        <v>1462</v>
      </c>
      <c r="L1811">
        <v>4</v>
      </c>
      <c r="M1811">
        <v>780</v>
      </c>
      <c r="N1811">
        <v>-4</v>
      </c>
      <c r="O1811">
        <v>-780</v>
      </c>
      <c r="Z1811" s="3">
        <f t="shared" si="28"/>
        <v>195</v>
      </c>
    </row>
    <row r="1812" spans="1:26" hidden="1">
      <c r="A1812" t="s">
        <v>706</v>
      </c>
      <c r="B1812" s="6">
        <v>44287</v>
      </c>
      <c r="C1812" s="6">
        <v>44651</v>
      </c>
      <c r="D1812">
        <v>20210401</v>
      </c>
      <c r="E1812">
        <v>20220331</v>
      </c>
      <c r="F1812" t="s">
        <v>4407</v>
      </c>
      <c r="G1812" t="s">
        <v>4408</v>
      </c>
      <c r="H1812" t="s">
        <v>590</v>
      </c>
      <c r="I1812" t="s">
        <v>1462</v>
      </c>
      <c r="L1812">
        <v>6</v>
      </c>
      <c r="M1812">
        <v>41100</v>
      </c>
      <c r="N1812">
        <v>-6</v>
      </c>
      <c r="O1812">
        <v>-41100</v>
      </c>
      <c r="Z1812" s="3">
        <f t="shared" si="28"/>
        <v>6850</v>
      </c>
    </row>
    <row r="1813" spans="1:26" hidden="1">
      <c r="A1813" t="s">
        <v>706</v>
      </c>
      <c r="B1813" s="6">
        <v>44287</v>
      </c>
      <c r="C1813" s="6">
        <v>44651</v>
      </c>
      <c r="D1813">
        <v>20210401</v>
      </c>
      <c r="E1813">
        <v>20220331</v>
      </c>
      <c r="F1813" t="s">
        <v>4409</v>
      </c>
      <c r="G1813" t="s">
        <v>4410</v>
      </c>
      <c r="H1813" t="s">
        <v>590</v>
      </c>
      <c r="I1813" t="s">
        <v>1462</v>
      </c>
      <c r="L1813">
        <v>8</v>
      </c>
      <c r="M1813">
        <v>12240</v>
      </c>
      <c r="N1813">
        <v>-8</v>
      </c>
      <c r="O1813">
        <v>-12240</v>
      </c>
      <c r="Z1813" s="3">
        <f t="shared" si="28"/>
        <v>1530</v>
      </c>
    </row>
    <row r="1814" spans="1:26" hidden="1">
      <c r="A1814" t="s">
        <v>706</v>
      </c>
      <c r="B1814" s="6">
        <v>44287</v>
      </c>
      <c r="C1814" s="6">
        <v>44651</v>
      </c>
      <c r="D1814">
        <v>20210401</v>
      </c>
      <c r="E1814">
        <v>20220331</v>
      </c>
      <c r="F1814" t="s">
        <v>4411</v>
      </c>
      <c r="G1814" t="s">
        <v>4412</v>
      </c>
      <c r="H1814" t="s">
        <v>613</v>
      </c>
      <c r="I1814" t="s">
        <v>1462</v>
      </c>
      <c r="L1814">
        <v>25</v>
      </c>
      <c r="M1814">
        <v>69750</v>
      </c>
      <c r="N1814">
        <v>-25</v>
      </c>
      <c r="O1814">
        <v>-69750</v>
      </c>
      <c r="Z1814" s="3">
        <f t="shared" si="28"/>
        <v>2790</v>
      </c>
    </row>
    <row r="1815" spans="1:26" hidden="1">
      <c r="A1815" t="s">
        <v>706</v>
      </c>
      <c r="B1815" s="6">
        <v>44287</v>
      </c>
      <c r="C1815" s="6">
        <v>44651</v>
      </c>
      <c r="D1815">
        <v>20210401</v>
      </c>
      <c r="E1815">
        <v>20220331</v>
      </c>
      <c r="F1815" t="s">
        <v>4413</v>
      </c>
      <c r="G1815" t="s">
        <v>4414</v>
      </c>
      <c r="H1815" t="s">
        <v>590</v>
      </c>
      <c r="I1815" t="s">
        <v>1462</v>
      </c>
      <c r="L1815">
        <v>3</v>
      </c>
      <c r="M1815">
        <v>1125</v>
      </c>
      <c r="N1815">
        <v>-3</v>
      </c>
      <c r="O1815">
        <v>-1125</v>
      </c>
      <c r="Z1815" s="3">
        <f t="shared" si="28"/>
        <v>375</v>
      </c>
    </row>
    <row r="1816" spans="1:26" hidden="1">
      <c r="A1816" t="s">
        <v>706</v>
      </c>
      <c r="B1816" s="6">
        <v>44287</v>
      </c>
      <c r="C1816" s="6">
        <v>44651</v>
      </c>
      <c r="D1816">
        <v>20210401</v>
      </c>
      <c r="E1816">
        <v>20220331</v>
      </c>
      <c r="F1816" t="s">
        <v>4415</v>
      </c>
      <c r="G1816" t="s">
        <v>4416</v>
      </c>
      <c r="H1816" t="s">
        <v>590</v>
      </c>
      <c r="I1816" t="s">
        <v>1462</v>
      </c>
      <c r="L1816">
        <v>24</v>
      </c>
      <c r="M1816">
        <v>14400</v>
      </c>
      <c r="N1816">
        <v>-24</v>
      </c>
      <c r="O1816">
        <v>-14400</v>
      </c>
      <c r="Z1816" s="3">
        <f t="shared" si="28"/>
        <v>600</v>
      </c>
    </row>
    <row r="1817" spans="1:26" hidden="1">
      <c r="A1817" t="s">
        <v>706</v>
      </c>
      <c r="B1817" s="6">
        <v>44287</v>
      </c>
      <c r="C1817" s="6">
        <v>44651</v>
      </c>
      <c r="D1817">
        <v>20210401</v>
      </c>
      <c r="E1817">
        <v>20220331</v>
      </c>
      <c r="F1817" t="s">
        <v>4417</v>
      </c>
      <c r="G1817" t="s">
        <v>4418</v>
      </c>
      <c r="H1817" t="s">
        <v>590</v>
      </c>
      <c r="I1817" t="s">
        <v>1462</v>
      </c>
      <c r="L1817">
        <v>2</v>
      </c>
      <c r="M1817">
        <v>4896</v>
      </c>
      <c r="N1817">
        <v>-2</v>
      </c>
      <c r="O1817">
        <v>-4896</v>
      </c>
      <c r="Z1817" s="3">
        <f t="shared" si="28"/>
        <v>2448</v>
      </c>
    </row>
    <row r="1818" spans="1:26" hidden="1">
      <c r="A1818" t="s">
        <v>706</v>
      </c>
      <c r="B1818" s="6">
        <v>44287</v>
      </c>
      <c r="C1818" s="6">
        <v>44651</v>
      </c>
      <c r="D1818">
        <v>20210401</v>
      </c>
      <c r="E1818">
        <v>20220331</v>
      </c>
      <c r="F1818" t="s">
        <v>4419</v>
      </c>
      <c r="G1818" t="s">
        <v>4420</v>
      </c>
      <c r="H1818" t="s">
        <v>1973</v>
      </c>
      <c r="I1818" t="s">
        <v>1462</v>
      </c>
      <c r="L1818">
        <v>3</v>
      </c>
      <c r="M1818">
        <v>1275</v>
      </c>
      <c r="N1818">
        <v>-3</v>
      </c>
      <c r="O1818">
        <v>-1275</v>
      </c>
      <c r="Z1818" s="3">
        <f t="shared" si="28"/>
        <v>425</v>
      </c>
    </row>
    <row r="1819" spans="1:26" hidden="1">
      <c r="A1819" t="s">
        <v>706</v>
      </c>
      <c r="B1819" s="6">
        <v>44287</v>
      </c>
      <c r="C1819" s="6">
        <v>44651</v>
      </c>
      <c r="D1819">
        <v>20210401</v>
      </c>
      <c r="E1819">
        <v>20220331</v>
      </c>
      <c r="F1819" t="s">
        <v>4421</v>
      </c>
      <c r="G1819" t="s">
        <v>4422</v>
      </c>
      <c r="H1819" t="s">
        <v>590</v>
      </c>
      <c r="I1819" t="s">
        <v>1462</v>
      </c>
      <c r="L1819">
        <v>4</v>
      </c>
      <c r="M1819">
        <v>598</v>
      </c>
      <c r="N1819">
        <v>-4</v>
      </c>
      <c r="O1819">
        <v>-598</v>
      </c>
      <c r="Z1819" s="3">
        <f t="shared" si="28"/>
        <v>149.5</v>
      </c>
    </row>
    <row r="1820" spans="1:26" hidden="1">
      <c r="A1820" t="s">
        <v>706</v>
      </c>
      <c r="B1820" s="6">
        <v>44287</v>
      </c>
      <c r="C1820" s="6">
        <v>44651</v>
      </c>
      <c r="D1820">
        <v>20210401</v>
      </c>
      <c r="E1820">
        <v>20220331</v>
      </c>
      <c r="F1820" t="s">
        <v>4423</v>
      </c>
      <c r="G1820" t="s">
        <v>4424</v>
      </c>
      <c r="H1820" t="s">
        <v>590</v>
      </c>
      <c r="I1820" t="s">
        <v>1462</v>
      </c>
      <c r="L1820">
        <v>2</v>
      </c>
      <c r="M1820">
        <v>482</v>
      </c>
      <c r="N1820">
        <v>-2</v>
      </c>
      <c r="O1820">
        <v>-482</v>
      </c>
      <c r="Z1820" s="3">
        <f t="shared" si="28"/>
        <v>241</v>
      </c>
    </row>
    <row r="1821" spans="1:26" hidden="1">
      <c r="A1821" t="s">
        <v>706</v>
      </c>
      <c r="B1821" s="6">
        <v>44287</v>
      </c>
      <c r="C1821" s="6">
        <v>44651</v>
      </c>
      <c r="D1821">
        <v>20210401</v>
      </c>
      <c r="E1821">
        <v>20220331</v>
      </c>
      <c r="F1821" t="s">
        <v>4425</v>
      </c>
      <c r="G1821" t="s">
        <v>4426</v>
      </c>
      <c r="H1821" t="s">
        <v>590</v>
      </c>
      <c r="I1821" t="s">
        <v>1462</v>
      </c>
      <c r="J1821">
        <v>2</v>
      </c>
      <c r="K1821">
        <v>2</v>
      </c>
      <c r="N1821">
        <v>-2</v>
      </c>
      <c r="O1821">
        <v>-2</v>
      </c>
      <c r="Z1821" s="3">
        <f t="shared" si="28"/>
        <v>1</v>
      </c>
    </row>
    <row r="1822" spans="1:26" hidden="1">
      <c r="A1822" t="s">
        <v>706</v>
      </c>
      <c r="B1822" s="6">
        <v>44287</v>
      </c>
      <c r="C1822" s="6">
        <v>44651</v>
      </c>
      <c r="D1822">
        <v>20210401</v>
      </c>
      <c r="E1822">
        <v>20220331</v>
      </c>
      <c r="F1822" t="s">
        <v>4427</v>
      </c>
      <c r="G1822" t="s">
        <v>4428</v>
      </c>
      <c r="H1822" t="s">
        <v>590</v>
      </c>
      <c r="I1822" t="s">
        <v>1462</v>
      </c>
      <c r="L1822">
        <v>6025</v>
      </c>
      <c r="M1822">
        <v>13050</v>
      </c>
      <c r="N1822">
        <v>-6025</v>
      </c>
      <c r="O1822">
        <v>-13050.15</v>
      </c>
      <c r="Y1822">
        <v>-0.15</v>
      </c>
      <c r="Z1822" s="3">
        <f t="shared" si="28"/>
        <v>2.1659999999999999</v>
      </c>
    </row>
    <row r="1823" spans="1:26" hidden="1">
      <c r="A1823" t="s">
        <v>706</v>
      </c>
      <c r="B1823" s="6">
        <v>44287</v>
      </c>
      <c r="C1823" s="6">
        <v>44651</v>
      </c>
      <c r="D1823">
        <v>20210401</v>
      </c>
      <c r="E1823">
        <v>20220331</v>
      </c>
      <c r="F1823" t="s">
        <v>4429</v>
      </c>
      <c r="G1823" t="s">
        <v>4430</v>
      </c>
      <c r="H1823" t="s">
        <v>590</v>
      </c>
      <c r="I1823" t="s">
        <v>1462</v>
      </c>
      <c r="L1823">
        <v>4</v>
      </c>
      <c r="M1823">
        <v>6100</v>
      </c>
      <c r="N1823">
        <v>-4</v>
      </c>
      <c r="O1823">
        <v>-6100</v>
      </c>
      <c r="Z1823" s="3">
        <f t="shared" si="28"/>
        <v>1525</v>
      </c>
    </row>
    <row r="1824" spans="1:26" hidden="1">
      <c r="A1824" t="s">
        <v>706</v>
      </c>
      <c r="B1824" s="6">
        <v>44287</v>
      </c>
      <c r="C1824" s="6">
        <v>44651</v>
      </c>
      <c r="D1824">
        <v>20210401</v>
      </c>
      <c r="E1824">
        <v>20220331</v>
      </c>
      <c r="F1824" t="s">
        <v>4431</v>
      </c>
      <c r="G1824" t="s">
        <v>4432</v>
      </c>
      <c r="H1824" t="s">
        <v>590</v>
      </c>
      <c r="I1824" t="s">
        <v>1462</v>
      </c>
      <c r="L1824">
        <v>1</v>
      </c>
      <c r="M1824">
        <v>12500</v>
      </c>
      <c r="N1824">
        <v>-1</v>
      </c>
      <c r="O1824">
        <v>-12500</v>
      </c>
      <c r="Z1824" s="3">
        <f t="shared" si="28"/>
        <v>12500</v>
      </c>
    </row>
    <row r="1825" spans="1:26" hidden="1">
      <c r="A1825" t="s">
        <v>706</v>
      </c>
      <c r="B1825" s="6">
        <v>44287</v>
      </c>
      <c r="C1825" s="6">
        <v>44651</v>
      </c>
      <c r="D1825">
        <v>20210401</v>
      </c>
      <c r="E1825">
        <v>20220331</v>
      </c>
      <c r="F1825" t="s">
        <v>4433</v>
      </c>
      <c r="G1825" t="s">
        <v>4434</v>
      </c>
      <c r="H1825" t="s">
        <v>590</v>
      </c>
      <c r="I1825" t="s">
        <v>1462</v>
      </c>
      <c r="L1825">
        <v>3</v>
      </c>
      <c r="M1825">
        <v>17796.599999999999</v>
      </c>
      <c r="N1825">
        <v>-3</v>
      </c>
      <c r="O1825">
        <v>-17796.599999999999</v>
      </c>
      <c r="Z1825" s="3">
        <f t="shared" si="28"/>
        <v>5932.2</v>
      </c>
    </row>
    <row r="1826" spans="1:26" hidden="1">
      <c r="A1826" t="s">
        <v>706</v>
      </c>
      <c r="B1826" s="6">
        <v>44287</v>
      </c>
      <c r="C1826" s="6">
        <v>44651</v>
      </c>
      <c r="D1826">
        <v>20210401</v>
      </c>
      <c r="E1826">
        <v>20220331</v>
      </c>
      <c r="F1826" t="s">
        <v>4435</v>
      </c>
      <c r="G1826" t="s">
        <v>4436</v>
      </c>
      <c r="H1826" t="s">
        <v>590</v>
      </c>
      <c r="I1826" t="s">
        <v>1462</v>
      </c>
      <c r="L1826">
        <v>4</v>
      </c>
      <c r="M1826">
        <v>4148</v>
      </c>
      <c r="N1826">
        <v>-4</v>
      </c>
      <c r="O1826">
        <v>-4148</v>
      </c>
      <c r="Z1826" s="3">
        <f t="shared" si="28"/>
        <v>1037</v>
      </c>
    </row>
    <row r="1827" spans="1:26" hidden="1">
      <c r="A1827" t="s">
        <v>706</v>
      </c>
      <c r="B1827" s="6">
        <v>44287</v>
      </c>
      <c r="C1827" s="6">
        <v>44651</v>
      </c>
      <c r="D1827">
        <v>20210401</v>
      </c>
      <c r="E1827">
        <v>20220331</v>
      </c>
      <c r="F1827" t="s">
        <v>4437</v>
      </c>
      <c r="G1827" t="s">
        <v>4438</v>
      </c>
      <c r="H1827" t="s">
        <v>590</v>
      </c>
      <c r="I1827" t="s">
        <v>1462</v>
      </c>
      <c r="L1827">
        <v>3</v>
      </c>
      <c r="M1827">
        <v>4526.25</v>
      </c>
      <c r="N1827">
        <v>-3</v>
      </c>
      <c r="O1827">
        <v>-4526.25</v>
      </c>
      <c r="Z1827" s="3">
        <f t="shared" si="28"/>
        <v>1508.75</v>
      </c>
    </row>
    <row r="1828" spans="1:26" hidden="1">
      <c r="A1828" t="s">
        <v>706</v>
      </c>
      <c r="B1828" s="6">
        <v>44287</v>
      </c>
      <c r="C1828" s="6">
        <v>44651</v>
      </c>
      <c r="D1828">
        <v>20210401</v>
      </c>
      <c r="E1828">
        <v>20220331</v>
      </c>
      <c r="F1828" t="s">
        <v>4439</v>
      </c>
      <c r="G1828" t="s">
        <v>4440</v>
      </c>
      <c r="H1828" t="s">
        <v>590</v>
      </c>
      <c r="I1828" t="s">
        <v>1462</v>
      </c>
      <c r="L1828">
        <v>6</v>
      </c>
      <c r="M1828">
        <v>5850</v>
      </c>
      <c r="N1828">
        <v>-6</v>
      </c>
      <c r="O1828">
        <v>-5850</v>
      </c>
      <c r="Z1828" s="3">
        <f t="shared" si="28"/>
        <v>975</v>
      </c>
    </row>
    <row r="1829" spans="1:26" hidden="1">
      <c r="A1829" t="s">
        <v>706</v>
      </c>
      <c r="B1829" s="6">
        <v>44287</v>
      </c>
      <c r="C1829" s="6">
        <v>44651</v>
      </c>
      <c r="D1829">
        <v>20210401</v>
      </c>
      <c r="E1829">
        <v>20220331</v>
      </c>
      <c r="F1829" t="s">
        <v>4441</v>
      </c>
      <c r="G1829" t="s">
        <v>4442</v>
      </c>
      <c r="H1829" t="s">
        <v>590</v>
      </c>
      <c r="I1829" t="s">
        <v>805</v>
      </c>
      <c r="L1829">
        <v>123</v>
      </c>
      <c r="M1829">
        <v>14800</v>
      </c>
      <c r="N1829">
        <v>-121</v>
      </c>
      <c r="O1829">
        <v>-14550</v>
      </c>
      <c r="R1829">
        <v>-2</v>
      </c>
      <c r="S1829">
        <v>-250</v>
      </c>
      <c r="Z1829" s="3">
        <f t="shared" si="28"/>
        <v>120.24793388429752</v>
      </c>
    </row>
    <row r="1830" spans="1:26" hidden="1">
      <c r="A1830" t="s">
        <v>706</v>
      </c>
      <c r="B1830" s="6">
        <v>44287</v>
      </c>
      <c r="C1830" s="6">
        <v>44651</v>
      </c>
      <c r="D1830">
        <v>20210401</v>
      </c>
      <c r="E1830">
        <v>20220331</v>
      </c>
      <c r="F1830" t="s">
        <v>4443</v>
      </c>
      <c r="G1830" t="s">
        <v>4444</v>
      </c>
      <c r="H1830" t="s">
        <v>590</v>
      </c>
      <c r="I1830" t="s">
        <v>805</v>
      </c>
      <c r="L1830">
        <v>18</v>
      </c>
      <c r="M1830">
        <v>14040</v>
      </c>
      <c r="N1830">
        <v>-18</v>
      </c>
      <c r="O1830">
        <v>-14040</v>
      </c>
      <c r="Z1830" s="3">
        <f t="shared" si="28"/>
        <v>780</v>
      </c>
    </row>
    <row r="1831" spans="1:26" hidden="1">
      <c r="A1831" t="s">
        <v>706</v>
      </c>
      <c r="B1831" s="6">
        <v>44287</v>
      </c>
      <c r="C1831" s="6">
        <v>44651</v>
      </c>
      <c r="D1831">
        <v>20210401</v>
      </c>
      <c r="E1831">
        <v>20220331</v>
      </c>
      <c r="F1831" t="s">
        <v>4445</v>
      </c>
      <c r="G1831" t="s">
        <v>4446</v>
      </c>
      <c r="H1831" t="s">
        <v>590</v>
      </c>
      <c r="I1831" t="s">
        <v>805</v>
      </c>
      <c r="L1831">
        <v>7</v>
      </c>
      <c r="M1831">
        <v>4130</v>
      </c>
      <c r="N1831">
        <v>-7</v>
      </c>
      <c r="O1831">
        <v>-4130</v>
      </c>
      <c r="Z1831" s="3">
        <f t="shared" si="28"/>
        <v>590</v>
      </c>
    </row>
    <row r="1832" spans="1:26" hidden="1">
      <c r="A1832" t="s">
        <v>706</v>
      </c>
      <c r="B1832" s="6">
        <v>44287</v>
      </c>
      <c r="C1832" s="6">
        <v>44651</v>
      </c>
      <c r="D1832">
        <v>20210401</v>
      </c>
      <c r="E1832">
        <v>20220331</v>
      </c>
      <c r="F1832" t="s">
        <v>4447</v>
      </c>
      <c r="G1832" t="s">
        <v>4448</v>
      </c>
      <c r="H1832" t="s">
        <v>590</v>
      </c>
      <c r="I1832" t="s">
        <v>805</v>
      </c>
      <c r="L1832">
        <v>804</v>
      </c>
      <c r="M1832">
        <v>79004</v>
      </c>
      <c r="N1832">
        <v>-804</v>
      </c>
      <c r="O1832">
        <v>-79004</v>
      </c>
      <c r="Z1832" s="3">
        <f t="shared" si="28"/>
        <v>98.263681592039802</v>
      </c>
    </row>
    <row r="1833" spans="1:26" hidden="1">
      <c r="A1833" t="s">
        <v>706</v>
      </c>
      <c r="B1833" s="6">
        <v>44287</v>
      </c>
      <c r="C1833" s="6">
        <v>44651</v>
      </c>
      <c r="D1833">
        <v>20210401</v>
      </c>
      <c r="E1833">
        <v>20220331</v>
      </c>
      <c r="F1833" t="s">
        <v>4449</v>
      </c>
      <c r="G1833" t="s">
        <v>4450</v>
      </c>
      <c r="H1833" t="s">
        <v>590</v>
      </c>
      <c r="I1833" t="s">
        <v>805</v>
      </c>
      <c r="L1833">
        <v>650</v>
      </c>
      <c r="M1833">
        <v>9500</v>
      </c>
      <c r="N1833">
        <v>-650</v>
      </c>
      <c r="O1833">
        <v>-9500</v>
      </c>
      <c r="Z1833" s="3">
        <f t="shared" si="28"/>
        <v>14.615384615384615</v>
      </c>
    </row>
    <row r="1834" spans="1:26" hidden="1">
      <c r="A1834" t="s">
        <v>706</v>
      </c>
      <c r="B1834" s="6">
        <v>44287</v>
      </c>
      <c r="C1834" s="6">
        <v>44651</v>
      </c>
      <c r="D1834">
        <v>20210401</v>
      </c>
      <c r="E1834">
        <v>20220331</v>
      </c>
      <c r="F1834" t="s">
        <v>4451</v>
      </c>
      <c r="G1834" t="s">
        <v>4452</v>
      </c>
      <c r="H1834" t="s">
        <v>590</v>
      </c>
      <c r="I1834" t="s">
        <v>805</v>
      </c>
      <c r="L1834">
        <v>50</v>
      </c>
      <c r="M1834">
        <v>12250</v>
      </c>
      <c r="N1834">
        <v>-50</v>
      </c>
      <c r="O1834">
        <v>-12250</v>
      </c>
      <c r="Z1834" s="3">
        <f t="shared" si="28"/>
        <v>245</v>
      </c>
    </row>
    <row r="1835" spans="1:26" hidden="1">
      <c r="A1835" t="s">
        <v>706</v>
      </c>
      <c r="B1835" s="6">
        <v>44287</v>
      </c>
      <c r="C1835" s="6">
        <v>44651</v>
      </c>
      <c r="D1835">
        <v>20210401</v>
      </c>
      <c r="E1835">
        <v>20220331</v>
      </c>
      <c r="F1835" t="s">
        <v>4453</v>
      </c>
      <c r="G1835" t="s">
        <v>4454</v>
      </c>
      <c r="H1835" t="s">
        <v>590</v>
      </c>
      <c r="I1835" t="s">
        <v>1462</v>
      </c>
      <c r="L1835">
        <v>15</v>
      </c>
      <c r="M1835">
        <v>11175</v>
      </c>
      <c r="N1835">
        <v>-15</v>
      </c>
      <c r="O1835">
        <v>-11175</v>
      </c>
      <c r="Z1835" s="3">
        <f t="shared" si="28"/>
        <v>745</v>
      </c>
    </row>
    <row r="1836" spans="1:26" hidden="1">
      <c r="A1836" t="s">
        <v>706</v>
      </c>
      <c r="B1836" s="6">
        <v>44287</v>
      </c>
      <c r="C1836" s="6">
        <v>44651</v>
      </c>
      <c r="D1836">
        <v>20210401</v>
      </c>
      <c r="E1836">
        <v>20220331</v>
      </c>
      <c r="F1836" t="s">
        <v>4455</v>
      </c>
      <c r="G1836" t="s">
        <v>4456</v>
      </c>
      <c r="H1836" t="s">
        <v>590</v>
      </c>
      <c r="I1836" t="s">
        <v>1462</v>
      </c>
      <c r="L1836">
        <v>10</v>
      </c>
      <c r="M1836">
        <v>950</v>
      </c>
      <c r="N1836">
        <v>-10</v>
      </c>
      <c r="O1836">
        <v>-950</v>
      </c>
      <c r="Z1836" s="3">
        <f t="shared" si="28"/>
        <v>95</v>
      </c>
    </row>
    <row r="1837" spans="1:26" hidden="1">
      <c r="A1837" t="s">
        <v>706</v>
      </c>
      <c r="B1837" s="6">
        <v>44287</v>
      </c>
      <c r="C1837" s="6">
        <v>44651</v>
      </c>
      <c r="D1837">
        <v>20210401</v>
      </c>
      <c r="E1837">
        <v>20220331</v>
      </c>
      <c r="F1837" t="s">
        <v>4457</v>
      </c>
      <c r="G1837" t="s">
        <v>4458</v>
      </c>
      <c r="H1837" t="s">
        <v>590</v>
      </c>
      <c r="I1837" t="s">
        <v>805</v>
      </c>
      <c r="J1837">
        <v>235</v>
      </c>
      <c r="K1837">
        <v>3514.26</v>
      </c>
      <c r="L1837">
        <v>2300</v>
      </c>
      <c r="M1837">
        <v>38100</v>
      </c>
      <c r="N1837">
        <v>-2535</v>
      </c>
      <c r="O1837">
        <v>-41625.160000000003</v>
      </c>
      <c r="Y1837">
        <v>-10.9</v>
      </c>
      <c r="Z1837" s="3">
        <f t="shared" si="28"/>
        <v>16.420181459566077</v>
      </c>
    </row>
    <row r="1838" spans="1:26" hidden="1">
      <c r="A1838" t="s">
        <v>706</v>
      </c>
      <c r="B1838" s="6">
        <v>44287</v>
      </c>
      <c r="C1838" s="6">
        <v>44651</v>
      </c>
      <c r="D1838">
        <v>20210401</v>
      </c>
      <c r="E1838">
        <v>20220331</v>
      </c>
      <c r="F1838" t="s">
        <v>4459</v>
      </c>
      <c r="G1838" t="s">
        <v>4460</v>
      </c>
      <c r="H1838" t="s">
        <v>590</v>
      </c>
      <c r="I1838" t="s">
        <v>805</v>
      </c>
      <c r="J1838">
        <v>8</v>
      </c>
      <c r="K1838">
        <v>23502.28</v>
      </c>
      <c r="L1838">
        <v>218</v>
      </c>
      <c r="M1838">
        <v>666800</v>
      </c>
      <c r="N1838">
        <v>-218</v>
      </c>
      <c r="O1838">
        <v>-665199.91</v>
      </c>
      <c r="X1838">
        <v>8</v>
      </c>
      <c r="Y1838">
        <v>25102.37</v>
      </c>
      <c r="Z1838" s="3">
        <f t="shared" si="28"/>
        <v>3051.3757339449544</v>
      </c>
    </row>
    <row r="1839" spans="1:26" hidden="1">
      <c r="A1839" t="s">
        <v>706</v>
      </c>
      <c r="B1839" s="6">
        <v>44287</v>
      </c>
      <c r="C1839" s="6">
        <v>44651</v>
      </c>
      <c r="D1839">
        <v>20210401</v>
      </c>
      <c r="E1839">
        <v>20220331</v>
      </c>
      <c r="F1839" t="s">
        <v>4461</v>
      </c>
      <c r="G1839" t="s">
        <v>4462</v>
      </c>
      <c r="H1839" t="s">
        <v>590</v>
      </c>
      <c r="I1839" t="s">
        <v>1462</v>
      </c>
      <c r="K1839">
        <v>0.05</v>
      </c>
      <c r="L1839">
        <v>16</v>
      </c>
      <c r="M1839">
        <v>10100</v>
      </c>
      <c r="N1839">
        <v>-16</v>
      </c>
      <c r="O1839">
        <v>-10100</v>
      </c>
      <c r="Y1839">
        <v>0.05</v>
      </c>
      <c r="Z1839" s="3">
        <f t="shared" si="28"/>
        <v>631.25</v>
      </c>
    </row>
    <row r="1840" spans="1:26" hidden="1">
      <c r="A1840" t="s">
        <v>706</v>
      </c>
      <c r="B1840" s="6">
        <v>44287</v>
      </c>
      <c r="C1840" s="6">
        <v>44651</v>
      </c>
      <c r="D1840">
        <v>20210401</v>
      </c>
      <c r="E1840">
        <v>20220331</v>
      </c>
      <c r="F1840" t="s">
        <v>4463</v>
      </c>
      <c r="G1840" t="s">
        <v>4464</v>
      </c>
      <c r="H1840" t="s">
        <v>590</v>
      </c>
      <c r="I1840" t="s">
        <v>1462</v>
      </c>
      <c r="L1840">
        <v>5</v>
      </c>
      <c r="M1840">
        <v>6250</v>
      </c>
      <c r="N1840">
        <v>-5</v>
      </c>
      <c r="O1840">
        <v>-6250</v>
      </c>
      <c r="Z1840" s="3">
        <f t="shared" si="28"/>
        <v>1250</v>
      </c>
    </row>
    <row r="1841" spans="1:26" hidden="1">
      <c r="A1841" t="s">
        <v>706</v>
      </c>
      <c r="B1841" s="6">
        <v>44287</v>
      </c>
      <c r="C1841" s="6">
        <v>44651</v>
      </c>
      <c r="D1841">
        <v>20210401</v>
      </c>
      <c r="E1841">
        <v>20220331</v>
      </c>
      <c r="F1841" t="s">
        <v>4465</v>
      </c>
      <c r="G1841" t="s">
        <v>4466</v>
      </c>
      <c r="H1841" t="s">
        <v>590</v>
      </c>
      <c r="I1841" t="s">
        <v>805</v>
      </c>
      <c r="L1841">
        <v>1</v>
      </c>
      <c r="M1841">
        <v>14650</v>
      </c>
      <c r="N1841">
        <v>-1.5</v>
      </c>
      <c r="O1841">
        <v>-17650</v>
      </c>
      <c r="P1841">
        <v>0.5</v>
      </c>
      <c r="Q1841">
        <v>3000</v>
      </c>
      <c r="Z1841" s="3">
        <f t="shared" si="28"/>
        <v>14650</v>
      </c>
    </row>
    <row r="1842" spans="1:26" hidden="1">
      <c r="A1842" t="s">
        <v>706</v>
      </c>
      <c r="B1842" s="6">
        <v>44287</v>
      </c>
      <c r="C1842" s="6">
        <v>44651</v>
      </c>
      <c r="D1842">
        <v>20210401</v>
      </c>
      <c r="E1842">
        <v>20220331</v>
      </c>
      <c r="F1842" t="s">
        <v>4467</v>
      </c>
      <c r="G1842" t="s">
        <v>4468</v>
      </c>
      <c r="H1842" t="s">
        <v>590</v>
      </c>
      <c r="I1842" t="s">
        <v>1462</v>
      </c>
      <c r="L1842">
        <v>6</v>
      </c>
      <c r="M1842">
        <v>119700</v>
      </c>
      <c r="N1842">
        <v>-3</v>
      </c>
      <c r="O1842">
        <v>-57000</v>
      </c>
      <c r="X1842">
        <v>3</v>
      </c>
      <c r="Y1842">
        <v>62700</v>
      </c>
      <c r="Z1842" s="3">
        <f t="shared" si="28"/>
        <v>19000</v>
      </c>
    </row>
    <row r="1843" spans="1:26" hidden="1">
      <c r="A1843" t="s">
        <v>706</v>
      </c>
      <c r="B1843" s="6">
        <v>44287</v>
      </c>
      <c r="C1843" s="6">
        <v>44651</v>
      </c>
      <c r="D1843">
        <v>20210401</v>
      </c>
      <c r="E1843">
        <v>20220331</v>
      </c>
      <c r="F1843" t="s">
        <v>4469</v>
      </c>
      <c r="G1843" t="s">
        <v>4470</v>
      </c>
      <c r="H1843" t="s">
        <v>2073</v>
      </c>
      <c r="I1843" t="s">
        <v>1462</v>
      </c>
      <c r="L1843">
        <v>51</v>
      </c>
      <c r="M1843">
        <v>27275</v>
      </c>
      <c r="N1843">
        <v>-51</v>
      </c>
      <c r="O1843">
        <v>-27275</v>
      </c>
      <c r="Z1843" s="3">
        <f t="shared" si="28"/>
        <v>534.8039215686274</v>
      </c>
    </row>
    <row r="1844" spans="1:26" hidden="1">
      <c r="A1844" t="s">
        <v>706</v>
      </c>
      <c r="B1844" s="6">
        <v>44287</v>
      </c>
      <c r="C1844" s="6">
        <v>44651</v>
      </c>
      <c r="D1844">
        <v>20210401</v>
      </c>
      <c r="E1844">
        <v>20220331</v>
      </c>
      <c r="F1844" t="s">
        <v>4471</v>
      </c>
      <c r="G1844" t="s">
        <v>4472</v>
      </c>
      <c r="H1844" t="s">
        <v>590</v>
      </c>
      <c r="I1844" t="s">
        <v>1462</v>
      </c>
      <c r="J1844">
        <v>1</v>
      </c>
      <c r="K1844">
        <v>2000</v>
      </c>
      <c r="N1844">
        <v>-1</v>
      </c>
      <c r="O1844">
        <v>-2000</v>
      </c>
      <c r="Z1844" s="3">
        <f t="shared" si="28"/>
        <v>2000</v>
      </c>
    </row>
    <row r="1845" spans="1:26" hidden="1">
      <c r="A1845" t="s">
        <v>706</v>
      </c>
      <c r="B1845" s="6">
        <v>44287</v>
      </c>
      <c r="C1845" s="6">
        <v>44651</v>
      </c>
      <c r="D1845">
        <v>20210401</v>
      </c>
      <c r="E1845">
        <v>20220331</v>
      </c>
      <c r="F1845" t="s">
        <v>4473</v>
      </c>
      <c r="G1845" t="s">
        <v>4474</v>
      </c>
      <c r="H1845" t="s">
        <v>590</v>
      </c>
      <c r="I1845" t="s">
        <v>1462</v>
      </c>
      <c r="L1845">
        <v>2</v>
      </c>
      <c r="M1845">
        <v>2350</v>
      </c>
      <c r="N1845">
        <v>-2</v>
      </c>
      <c r="O1845">
        <v>-2350</v>
      </c>
      <c r="Z1845" s="3">
        <f t="shared" si="28"/>
        <v>1175</v>
      </c>
    </row>
    <row r="1846" spans="1:26" hidden="1">
      <c r="A1846" t="s">
        <v>706</v>
      </c>
      <c r="B1846" s="6">
        <v>44287</v>
      </c>
      <c r="C1846" s="6">
        <v>44651</v>
      </c>
      <c r="D1846">
        <v>20210401</v>
      </c>
      <c r="E1846">
        <v>20220331</v>
      </c>
      <c r="F1846" t="s">
        <v>4475</v>
      </c>
      <c r="G1846" t="s">
        <v>4476</v>
      </c>
      <c r="H1846" t="s">
        <v>590</v>
      </c>
      <c r="I1846" t="s">
        <v>1462</v>
      </c>
      <c r="L1846">
        <v>4</v>
      </c>
      <c r="M1846">
        <v>12952</v>
      </c>
      <c r="N1846">
        <v>-7</v>
      </c>
      <c r="O1846">
        <v>-22666</v>
      </c>
      <c r="P1846">
        <v>3</v>
      </c>
      <c r="Q1846">
        <v>9714</v>
      </c>
      <c r="Z1846" s="3">
        <f t="shared" si="28"/>
        <v>3238</v>
      </c>
    </row>
    <row r="1847" spans="1:26" hidden="1">
      <c r="A1847" t="s">
        <v>706</v>
      </c>
      <c r="B1847" s="6">
        <v>44287</v>
      </c>
      <c r="C1847" s="6">
        <v>44651</v>
      </c>
      <c r="D1847">
        <v>20210401</v>
      </c>
      <c r="E1847">
        <v>20220331</v>
      </c>
      <c r="F1847" t="s">
        <v>4477</v>
      </c>
      <c r="G1847" t="s">
        <v>4478</v>
      </c>
      <c r="H1847" t="s">
        <v>590</v>
      </c>
      <c r="I1847" t="s">
        <v>805</v>
      </c>
      <c r="L1847">
        <v>15</v>
      </c>
      <c r="M1847">
        <v>3000</v>
      </c>
      <c r="N1847">
        <v>-15</v>
      </c>
      <c r="O1847">
        <v>-3000</v>
      </c>
      <c r="Z1847" s="3">
        <f t="shared" si="28"/>
        <v>200</v>
      </c>
    </row>
    <row r="1848" spans="1:26" hidden="1">
      <c r="A1848" t="s">
        <v>706</v>
      </c>
      <c r="B1848" s="6">
        <v>44287</v>
      </c>
      <c r="C1848" s="6">
        <v>44651</v>
      </c>
      <c r="D1848">
        <v>20210401</v>
      </c>
      <c r="E1848">
        <v>20220331</v>
      </c>
      <c r="F1848" t="s">
        <v>4479</v>
      </c>
      <c r="G1848" t="s">
        <v>4480</v>
      </c>
      <c r="H1848" t="s">
        <v>590</v>
      </c>
      <c r="I1848" t="s">
        <v>1462</v>
      </c>
      <c r="L1848">
        <v>8</v>
      </c>
      <c r="M1848">
        <v>1600</v>
      </c>
      <c r="N1848">
        <v>-8</v>
      </c>
      <c r="O1848">
        <v>-1600</v>
      </c>
      <c r="Z1848" s="3">
        <f t="shared" si="28"/>
        <v>200</v>
      </c>
    </row>
    <row r="1849" spans="1:26" hidden="1">
      <c r="A1849" t="s">
        <v>706</v>
      </c>
      <c r="B1849" s="6">
        <v>44287</v>
      </c>
      <c r="C1849" s="6">
        <v>44651</v>
      </c>
      <c r="D1849">
        <v>20210401</v>
      </c>
      <c r="E1849">
        <v>20220331</v>
      </c>
      <c r="F1849" t="s">
        <v>4481</v>
      </c>
      <c r="G1849" t="s">
        <v>4482</v>
      </c>
      <c r="H1849" t="s">
        <v>590</v>
      </c>
      <c r="I1849" t="s">
        <v>1462</v>
      </c>
      <c r="L1849">
        <v>50</v>
      </c>
      <c r="M1849">
        <v>212.5</v>
      </c>
      <c r="N1849">
        <v>-50</v>
      </c>
      <c r="O1849">
        <v>-212.5</v>
      </c>
      <c r="Z1849" s="3">
        <f t="shared" si="28"/>
        <v>4.25</v>
      </c>
    </row>
    <row r="1850" spans="1:26" hidden="1">
      <c r="A1850" t="s">
        <v>706</v>
      </c>
      <c r="B1850" s="6">
        <v>44287</v>
      </c>
      <c r="C1850" s="6">
        <v>44651</v>
      </c>
      <c r="D1850">
        <v>20210401</v>
      </c>
      <c r="E1850">
        <v>20220331</v>
      </c>
      <c r="F1850" t="s">
        <v>4483</v>
      </c>
      <c r="G1850" t="s">
        <v>4484</v>
      </c>
      <c r="H1850" t="s">
        <v>613</v>
      </c>
      <c r="I1850" t="s">
        <v>1462</v>
      </c>
      <c r="L1850">
        <v>12</v>
      </c>
      <c r="M1850">
        <v>360</v>
      </c>
      <c r="N1850">
        <v>-12</v>
      </c>
      <c r="O1850">
        <v>-360</v>
      </c>
      <c r="Z1850" s="3">
        <f t="shared" si="28"/>
        <v>30</v>
      </c>
    </row>
    <row r="1851" spans="1:26" hidden="1">
      <c r="A1851" t="s">
        <v>706</v>
      </c>
      <c r="B1851" s="6">
        <v>44287</v>
      </c>
      <c r="C1851" s="6">
        <v>44651</v>
      </c>
      <c r="D1851">
        <v>20210401</v>
      </c>
      <c r="E1851">
        <v>20220331</v>
      </c>
      <c r="F1851" t="s">
        <v>4485</v>
      </c>
      <c r="G1851" t="s">
        <v>4486</v>
      </c>
      <c r="H1851" t="s">
        <v>590</v>
      </c>
      <c r="I1851" t="s">
        <v>1462</v>
      </c>
      <c r="L1851">
        <v>10</v>
      </c>
      <c r="M1851">
        <v>12000</v>
      </c>
      <c r="N1851">
        <v>-10</v>
      </c>
      <c r="O1851">
        <v>-12000</v>
      </c>
      <c r="Z1851" s="3">
        <f t="shared" si="28"/>
        <v>1200</v>
      </c>
    </row>
    <row r="1852" spans="1:26" hidden="1">
      <c r="A1852" t="s">
        <v>706</v>
      </c>
      <c r="B1852" s="6">
        <v>44287</v>
      </c>
      <c r="C1852" s="6">
        <v>44651</v>
      </c>
      <c r="D1852">
        <v>20210401</v>
      </c>
      <c r="E1852">
        <v>20220331</v>
      </c>
      <c r="F1852" t="s">
        <v>4487</v>
      </c>
      <c r="G1852" t="s">
        <v>4488</v>
      </c>
      <c r="H1852" t="s">
        <v>590</v>
      </c>
      <c r="I1852" t="s">
        <v>1462</v>
      </c>
      <c r="L1852">
        <v>7</v>
      </c>
      <c r="M1852">
        <v>5250</v>
      </c>
      <c r="N1852">
        <v>-8</v>
      </c>
      <c r="O1852">
        <v>-6000</v>
      </c>
      <c r="P1852">
        <v>1</v>
      </c>
      <c r="Q1852">
        <v>750</v>
      </c>
      <c r="Z1852" s="3">
        <f t="shared" si="28"/>
        <v>750</v>
      </c>
    </row>
    <row r="1853" spans="1:26" hidden="1">
      <c r="A1853" t="s">
        <v>706</v>
      </c>
      <c r="B1853" s="6">
        <v>44287</v>
      </c>
      <c r="C1853" s="6">
        <v>44651</v>
      </c>
      <c r="D1853">
        <v>20210401</v>
      </c>
      <c r="E1853">
        <v>20220331</v>
      </c>
      <c r="F1853" t="s">
        <v>4489</v>
      </c>
      <c r="G1853" t="s">
        <v>4490</v>
      </c>
      <c r="H1853" t="s">
        <v>590</v>
      </c>
      <c r="I1853" t="s">
        <v>1462</v>
      </c>
      <c r="L1853">
        <v>4</v>
      </c>
      <c r="M1853">
        <v>2000</v>
      </c>
      <c r="N1853">
        <v>-4</v>
      </c>
      <c r="O1853">
        <v>-2000</v>
      </c>
      <c r="Z1853" s="3">
        <f t="shared" si="28"/>
        <v>500</v>
      </c>
    </row>
    <row r="1854" spans="1:26" hidden="1">
      <c r="A1854" t="s">
        <v>706</v>
      </c>
      <c r="B1854" s="6">
        <v>44287</v>
      </c>
      <c r="C1854" s="6">
        <v>44651</v>
      </c>
      <c r="D1854">
        <v>20210401</v>
      </c>
      <c r="E1854">
        <v>20220331</v>
      </c>
      <c r="F1854" t="s">
        <v>4491</v>
      </c>
      <c r="G1854" t="s">
        <v>4492</v>
      </c>
      <c r="H1854" t="s">
        <v>590</v>
      </c>
      <c r="I1854" t="s">
        <v>1462</v>
      </c>
      <c r="K1854">
        <v>0.06</v>
      </c>
      <c r="L1854">
        <v>11</v>
      </c>
      <c r="M1854">
        <v>5494.5</v>
      </c>
      <c r="N1854">
        <v>-8</v>
      </c>
      <c r="O1854">
        <v>-4015.98</v>
      </c>
      <c r="P1854">
        <v>2</v>
      </c>
      <c r="Q1854">
        <v>1018.98</v>
      </c>
      <c r="X1854">
        <v>5</v>
      </c>
      <c r="Y1854">
        <v>2497.56</v>
      </c>
      <c r="Z1854" s="3">
        <f t="shared" si="28"/>
        <v>499.5</v>
      </c>
    </row>
    <row r="1855" spans="1:26" hidden="1">
      <c r="A1855" t="s">
        <v>706</v>
      </c>
      <c r="B1855" s="6">
        <v>44287</v>
      </c>
      <c r="C1855" s="6">
        <v>44651</v>
      </c>
      <c r="D1855">
        <v>20210401</v>
      </c>
      <c r="E1855">
        <v>20220331</v>
      </c>
      <c r="F1855" t="s">
        <v>4493</v>
      </c>
      <c r="G1855" t="s">
        <v>4494</v>
      </c>
      <c r="H1855" t="s">
        <v>590</v>
      </c>
      <c r="I1855" t="s">
        <v>1462</v>
      </c>
      <c r="L1855">
        <v>8</v>
      </c>
      <c r="M1855">
        <v>100012.33</v>
      </c>
      <c r="N1855">
        <v>-8</v>
      </c>
      <c r="O1855">
        <v>-99742.78</v>
      </c>
      <c r="P1855">
        <v>1</v>
      </c>
      <c r="Q1855">
        <v>12352.5</v>
      </c>
      <c r="X1855">
        <v>1</v>
      </c>
      <c r="Y1855">
        <v>12622.05</v>
      </c>
      <c r="Z1855" s="3">
        <f t="shared" si="28"/>
        <v>12484.325714285715</v>
      </c>
    </row>
    <row r="1856" spans="1:26" hidden="1">
      <c r="A1856" t="s">
        <v>706</v>
      </c>
      <c r="B1856" s="6">
        <v>44287</v>
      </c>
      <c r="C1856" s="6">
        <v>44651</v>
      </c>
      <c r="D1856">
        <v>20210401</v>
      </c>
      <c r="E1856">
        <v>20220331</v>
      </c>
      <c r="F1856" t="s">
        <v>4495</v>
      </c>
      <c r="G1856" t="s">
        <v>4496</v>
      </c>
      <c r="H1856" t="s">
        <v>590</v>
      </c>
      <c r="I1856" t="s">
        <v>805</v>
      </c>
      <c r="K1856">
        <v>0.02</v>
      </c>
      <c r="L1856">
        <v>105</v>
      </c>
      <c r="M1856">
        <v>3307.5</v>
      </c>
      <c r="N1856">
        <v>-117</v>
      </c>
      <c r="O1856">
        <v>-3693.06</v>
      </c>
      <c r="P1856">
        <v>12</v>
      </c>
      <c r="Q1856">
        <v>385.56</v>
      </c>
      <c r="Y1856">
        <v>0.02</v>
      </c>
      <c r="Z1856" s="3">
        <f t="shared" si="28"/>
        <v>31.5</v>
      </c>
    </row>
    <row r="1857" spans="1:26" hidden="1">
      <c r="A1857" t="s">
        <v>706</v>
      </c>
      <c r="B1857" s="6">
        <v>44287</v>
      </c>
      <c r="C1857" s="6">
        <v>44651</v>
      </c>
      <c r="D1857">
        <v>20210401</v>
      </c>
      <c r="E1857">
        <v>20220331</v>
      </c>
      <c r="F1857" t="s">
        <v>4497</v>
      </c>
      <c r="G1857" t="s">
        <v>4498</v>
      </c>
      <c r="H1857" t="s">
        <v>590</v>
      </c>
      <c r="I1857" t="s">
        <v>1462</v>
      </c>
      <c r="L1857">
        <v>1</v>
      </c>
      <c r="M1857">
        <v>5500</v>
      </c>
      <c r="N1857">
        <v>-1</v>
      </c>
      <c r="O1857">
        <v>-5500</v>
      </c>
      <c r="Z1857" s="3">
        <f t="shared" si="28"/>
        <v>5500</v>
      </c>
    </row>
    <row r="1858" spans="1:26" hidden="1">
      <c r="A1858" t="s">
        <v>706</v>
      </c>
      <c r="B1858" s="6">
        <v>44287</v>
      </c>
      <c r="C1858" s="6">
        <v>44651</v>
      </c>
      <c r="D1858">
        <v>20210401</v>
      </c>
      <c r="E1858">
        <v>20220331</v>
      </c>
      <c r="F1858" t="s">
        <v>4499</v>
      </c>
      <c r="G1858" t="s">
        <v>4500</v>
      </c>
      <c r="H1858" t="s">
        <v>590</v>
      </c>
      <c r="I1858" t="s">
        <v>805</v>
      </c>
      <c r="L1858">
        <v>5</v>
      </c>
      <c r="M1858">
        <v>14332.5</v>
      </c>
      <c r="N1858">
        <v>-5</v>
      </c>
      <c r="O1858">
        <v>-14332.5</v>
      </c>
      <c r="Z1858" s="3">
        <f t="shared" si="28"/>
        <v>2866.5</v>
      </c>
    </row>
    <row r="1859" spans="1:26" hidden="1">
      <c r="A1859" t="s">
        <v>706</v>
      </c>
      <c r="B1859" s="6">
        <v>44287</v>
      </c>
      <c r="C1859" s="6">
        <v>44651</v>
      </c>
      <c r="D1859">
        <v>20210401</v>
      </c>
      <c r="E1859">
        <v>20220331</v>
      </c>
      <c r="F1859" t="s">
        <v>4501</v>
      </c>
      <c r="G1859" t="s">
        <v>4502</v>
      </c>
      <c r="H1859" t="s">
        <v>590</v>
      </c>
      <c r="I1859" t="s">
        <v>805</v>
      </c>
      <c r="L1859">
        <v>6</v>
      </c>
      <c r="M1859">
        <v>3834</v>
      </c>
      <c r="N1859">
        <v>-6</v>
      </c>
      <c r="O1859">
        <v>-3834</v>
      </c>
      <c r="Z1859" s="3">
        <f t="shared" ref="Z1859:Z1922" si="29">IFERROR((O1859+Q1859)/(N1859+P1859),Y1859/X1859)</f>
        <v>639</v>
      </c>
    </row>
    <row r="1860" spans="1:26" hidden="1">
      <c r="A1860" t="s">
        <v>706</v>
      </c>
      <c r="B1860" s="6">
        <v>44287</v>
      </c>
      <c r="C1860" s="6">
        <v>44651</v>
      </c>
      <c r="D1860">
        <v>20210401</v>
      </c>
      <c r="E1860">
        <v>20220331</v>
      </c>
      <c r="F1860" t="s">
        <v>4503</v>
      </c>
      <c r="G1860" t="s">
        <v>4504</v>
      </c>
      <c r="H1860" t="s">
        <v>590</v>
      </c>
      <c r="I1860" t="s">
        <v>805</v>
      </c>
      <c r="L1860">
        <v>168</v>
      </c>
      <c r="M1860">
        <v>91224</v>
      </c>
      <c r="N1860">
        <v>-164</v>
      </c>
      <c r="O1860">
        <v>-89052</v>
      </c>
      <c r="P1860">
        <v>8</v>
      </c>
      <c r="Q1860">
        <v>4344</v>
      </c>
      <c r="X1860">
        <v>12</v>
      </c>
      <c r="Y1860">
        <v>6516</v>
      </c>
      <c r="Z1860" s="3">
        <f t="shared" si="29"/>
        <v>543</v>
      </c>
    </row>
    <row r="1861" spans="1:26" hidden="1">
      <c r="A1861" t="s">
        <v>706</v>
      </c>
      <c r="B1861" s="6">
        <v>44287</v>
      </c>
      <c r="C1861" s="6">
        <v>44651</v>
      </c>
      <c r="D1861">
        <v>20210401</v>
      </c>
      <c r="E1861">
        <v>20220331</v>
      </c>
      <c r="F1861" t="s">
        <v>4505</v>
      </c>
      <c r="G1861" t="s">
        <v>4506</v>
      </c>
      <c r="H1861" t="s">
        <v>590</v>
      </c>
      <c r="I1861" t="s">
        <v>1462</v>
      </c>
      <c r="L1861">
        <v>14</v>
      </c>
      <c r="M1861">
        <v>228411.07</v>
      </c>
      <c r="N1861">
        <v>-16</v>
      </c>
      <c r="O1861">
        <v>-260926.63</v>
      </c>
      <c r="P1861">
        <v>2</v>
      </c>
      <c r="Q1861">
        <v>32515.56</v>
      </c>
      <c r="Z1861" s="3">
        <f t="shared" si="29"/>
        <v>16315.076428571429</v>
      </c>
    </row>
    <row r="1862" spans="1:26" hidden="1">
      <c r="A1862" t="s">
        <v>706</v>
      </c>
      <c r="B1862" s="6">
        <v>44287</v>
      </c>
      <c r="C1862" s="6">
        <v>44651</v>
      </c>
      <c r="D1862">
        <v>20210401</v>
      </c>
      <c r="E1862">
        <v>20220331</v>
      </c>
      <c r="F1862" t="s">
        <v>4507</v>
      </c>
      <c r="G1862" t="s">
        <v>4508</v>
      </c>
      <c r="H1862" t="s">
        <v>590</v>
      </c>
      <c r="I1862" t="s">
        <v>1462</v>
      </c>
      <c r="L1862">
        <v>6</v>
      </c>
      <c r="M1862">
        <v>10125</v>
      </c>
      <c r="N1862">
        <v>-6</v>
      </c>
      <c r="O1862">
        <v>-10125</v>
      </c>
      <c r="Z1862" s="3">
        <f t="shared" si="29"/>
        <v>1687.5</v>
      </c>
    </row>
    <row r="1863" spans="1:26" hidden="1">
      <c r="A1863" t="s">
        <v>706</v>
      </c>
      <c r="B1863" s="6">
        <v>44287</v>
      </c>
      <c r="C1863" s="6">
        <v>44651</v>
      </c>
      <c r="D1863">
        <v>20210401</v>
      </c>
      <c r="E1863">
        <v>20220331</v>
      </c>
      <c r="F1863" t="s">
        <v>4509</v>
      </c>
      <c r="G1863" t="s">
        <v>4510</v>
      </c>
      <c r="H1863" t="s">
        <v>590</v>
      </c>
      <c r="I1863" t="s">
        <v>805</v>
      </c>
      <c r="L1863">
        <v>5</v>
      </c>
      <c r="M1863">
        <v>945</v>
      </c>
      <c r="N1863">
        <v>-5</v>
      </c>
      <c r="O1863">
        <v>-945</v>
      </c>
      <c r="Z1863" s="3">
        <f t="shared" si="29"/>
        <v>189</v>
      </c>
    </row>
    <row r="1864" spans="1:26" hidden="1">
      <c r="A1864" t="s">
        <v>706</v>
      </c>
      <c r="B1864" s="6">
        <v>44287</v>
      </c>
      <c r="C1864" s="6">
        <v>44651</v>
      </c>
      <c r="D1864">
        <v>20210401</v>
      </c>
      <c r="E1864">
        <v>20220331</v>
      </c>
      <c r="F1864" t="s">
        <v>4511</v>
      </c>
      <c r="G1864" t="s">
        <v>4512</v>
      </c>
      <c r="H1864" t="s">
        <v>590</v>
      </c>
      <c r="I1864" t="s">
        <v>1462</v>
      </c>
      <c r="N1864">
        <v>-1</v>
      </c>
      <c r="O1864">
        <v>-29850</v>
      </c>
      <c r="X1864">
        <v>-1</v>
      </c>
      <c r="Y1864">
        <v>-29850</v>
      </c>
      <c r="Z1864" s="3">
        <f t="shared" si="29"/>
        <v>29850</v>
      </c>
    </row>
    <row r="1865" spans="1:26" hidden="1">
      <c r="A1865" t="s">
        <v>706</v>
      </c>
      <c r="B1865" s="6">
        <v>44287</v>
      </c>
      <c r="C1865" s="6">
        <v>44651</v>
      </c>
      <c r="D1865">
        <v>20210401</v>
      </c>
      <c r="E1865">
        <v>20220331</v>
      </c>
      <c r="F1865" t="s">
        <v>4513</v>
      </c>
      <c r="G1865" t="s">
        <v>4514</v>
      </c>
      <c r="H1865" t="s">
        <v>590</v>
      </c>
      <c r="I1865" t="s">
        <v>1462</v>
      </c>
      <c r="L1865">
        <v>35</v>
      </c>
      <c r="M1865">
        <v>1338.75</v>
      </c>
      <c r="N1865">
        <v>-35</v>
      </c>
      <c r="O1865">
        <v>-1338.75</v>
      </c>
      <c r="Z1865" s="3">
        <f t="shared" si="29"/>
        <v>38.25</v>
      </c>
    </row>
    <row r="1866" spans="1:26" hidden="1">
      <c r="A1866" t="s">
        <v>706</v>
      </c>
      <c r="B1866" s="6">
        <v>44287</v>
      </c>
      <c r="C1866" s="6">
        <v>44651</v>
      </c>
      <c r="D1866">
        <v>20210401</v>
      </c>
      <c r="E1866">
        <v>20220331</v>
      </c>
      <c r="F1866" t="s">
        <v>4515</v>
      </c>
      <c r="G1866" t="s">
        <v>4516</v>
      </c>
      <c r="H1866" t="s">
        <v>590</v>
      </c>
      <c r="I1866" t="s">
        <v>1462</v>
      </c>
      <c r="K1866">
        <v>0.09</v>
      </c>
      <c r="L1866">
        <v>40</v>
      </c>
      <c r="M1866">
        <v>600</v>
      </c>
      <c r="N1866">
        <v>-68</v>
      </c>
      <c r="O1866">
        <v>-1020</v>
      </c>
      <c r="P1866">
        <v>28</v>
      </c>
      <c r="Q1866">
        <v>420</v>
      </c>
      <c r="Y1866">
        <v>0.09</v>
      </c>
      <c r="Z1866" s="3">
        <f t="shared" si="29"/>
        <v>15</v>
      </c>
    </row>
    <row r="1867" spans="1:26" hidden="1">
      <c r="A1867" t="s">
        <v>706</v>
      </c>
      <c r="B1867" s="6">
        <v>44287</v>
      </c>
      <c r="C1867" s="6">
        <v>44651</v>
      </c>
      <c r="D1867">
        <v>20210401</v>
      </c>
      <c r="E1867">
        <v>20220331</v>
      </c>
      <c r="F1867" t="s">
        <v>4517</v>
      </c>
      <c r="G1867" t="s">
        <v>4518</v>
      </c>
      <c r="H1867" t="s">
        <v>590</v>
      </c>
      <c r="I1867" t="s">
        <v>805</v>
      </c>
      <c r="L1867">
        <v>4250</v>
      </c>
      <c r="M1867">
        <v>110925</v>
      </c>
      <c r="N1867">
        <v>-4497</v>
      </c>
      <c r="O1867">
        <v>-117371.7</v>
      </c>
      <c r="P1867">
        <v>247</v>
      </c>
      <c r="Q1867">
        <v>6446.7</v>
      </c>
      <c r="Z1867" s="3">
        <f t="shared" si="29"/>
        <v>26.1</v>
      </c>
    </row>
    <row r="1868" spans="1:26" hidden="1">
      <c r="A1868" t="s">
        <v>706</v>
      </c>
      <c r="B1868" s="6">
        <v>44287</v>
      </c>
      <c r="C1868" s="6">
        <v>44651</v>
      </c>
      <c r="D1868">
        <v>20210401</v>
      </c>
      <c r="E1868">
        <v>20220331</v>
      </c>
      <c r="F1868" t="s">
        <v>4519</v>
      </c>
      <c r="G1868" t="s">
        <v>4520</v>
      </c>
      <c r="H1868" t="s">
        <v>590</v>
      </c>
      <c r="I1868" t="s">
        <v>1462</v>
      </c>
      <c r="K1868">
        <v>0.16</v>
      </c>
      <c r="L1868">
        <v>84</v>
      </c>
      <c r="M1868">
        <v>9450</v>
      </c>
      <c r="N1868">
        <v>-81</v>
      </c>
      <c r="O1868">
        <v>-9112.5</v>
      </c>
      <c r="P1868">
        <v>7</v>
      </c>
      <c r="Q1868">
        <v>787.5</v>
      </c>
      <c r="X1868">
        <v>10</v>
      </c>
      <c r="Y1868">
        <v>1125.1600000000001</v>
      </c>
      <c r="Z1868" s="3">
        <f t="shared" si="29"/>
        <v>112.5</v>
      </c>
    </row>
    <row r="1869" spans="1:26" hidden="1">
      <c r="A1869" t="s">
        <v>706</v>
      </c>
      <c r="B1869" s="6">
        <v>44287</v>
      </c>
      <c r="C1869" s="6">
        <v>44651</v>
      </c>
      <c r="D1869">
        <v>20210401</v>
      </c>
      <c r="E1869">
        <v>20220331</v>
      </c>
      <c r="F1869" t="s">
        <v>4521</v>
      </c>
      <c r="G1869" t="s">
        <v>4522</v>
      </c>
      <c r="H1869" t="s">
        <v>590</v>
      </c>
      <c r="I1869" t="s">
        <v>1462</v>
      </c>
      <c r="L1869">
        <v>131</v>
      </c>
      <c r="M1869">
        <v>76752.899999999994</v>
      </c>
      <c r="N1869">
        <v>-137</v>
      </c>
      <c r="O1869">
        <v>-80268.3</v>
      </c>
      <c r="P1869">
        <v>6</v>
      </c>
      <c r="Q1869">
        <v>3515.4</v>
      </c>
      <c r="Z1869" s="3">
        <f t="shared" si="29"/>
        <v>585.90000000000009</v>
      </c>
    </row>
    <row r="1870" spans="1:26" hidden="1">
      <c r="A1870" t="s">
        <v>706</v>
      </c>
      <c r="B1870" s="6">
        <v>44287</v>
      </c>
      <c r="C1870" s="6">
        <v>44651</v>
      </c>
      <c r="D1870">
        <v>20210401</v>
      </c>
      <c r="E1870">
        <v>20220331</v>
      </c>
      <c r="F1870" t="s">
        <v>4523</v>
      </c>
      <c r="G1870" t="s">
        <v>4524</v>
      </c>
      <c r="H1870" t="s">
        <v>590</v>
      </c>
      <c r="I1870" t="s">
        <v>1462</v>
      </c>
      <c r="L1870">
        <v>43</v>
      </c>
      <c r="M1870">
        <v>4386</v>
      </c>
      <c r="N1870">
        <v>-33</v>
      </c>
      <c r="O1870">
        <v>-3366</v>
      </c>
      <c r="X1870">
        <v>10</v>
      </c>
      <c r="Y1870">
        <v>1020</v>
      </c>
      <c r="Z1870" s="3">
        <f t="shared" si="29"/>
        <v>102</v>
      </c>
    </row>
    <row r="1871" spans="1:26" hidden="1">
      <c r="A1871" t="s">
        <v>706</v>
      </c>
      <c r="B1871" s="6">
        <v>44287</v>
      </c>
      <c r="C1871" s="6">
        <v>44651</v>
      </c>
      <c r="D1871">
        <v>20210401</v>
      </c>
      <c r="E1871">
        <v>20220331</v>
      </c>
      <c r="F1871" t="s">
        <v>4525</v>
      </c>
      <c r="G1871" t="s">
        <v>4526</v>
      </c>
      <c r="H1871" t="s">
        <v>590</v>
      </c>
      <c r="I1871" t="s">
        <v>805</v>
      </c>
      <c r="L1871">
        <v>108</v>
      </c>
      <c r="M1871">
        <v>57348</v>
      </c>
      <c r="N1871">
        <v>-118</v>
      </c>
      <c r="O1871">
        <v>-62658</v>
      </c>
      <c r="P1871">
        <v>10</v>
      </c>
      <c r="Q1871">
        <v>5310</v>
      </c>
      <c r="Z1871" s="3">
        <f t="shared" si="29"/>
        <v>531</v>
      </c>
    </row>
    <row r="1872" spans="1:26" hidden="1">
      <c r="A1872" t="s">
        <v>706</v>
      </c>
      <c r="B1872" s="6">
        <v>44287</v>
      </c>
      <c r="C1872" s="6">
        <v>44651</v>
      </c>
      <c r="D1872">
        <v>20210401</v>
      </c>
      <c r="E1872">
        <v>20220331</v>
      </c>
      <c r="F1872" t="s">
        <v>4527</v>
      </c>
      <c r="G1872" t="s">
        <v>4528</v>
      </c>
      <c r="H1872" t="s">
        <v>590</v>
      </c>
      <c r="I1872" t="s">
        <v>1462</v>
      </c>
      <c r="K1872">
        <v>91.12</v>
      </c>
      <c r="L1872">
        <v>46</v>
      </c>
      <c r="M1872">
        <v>14674</v>
      </c>
      <c r="N1872">
        <v>-36</v>
      </c>
      <c r="O1872">
        <v>-11484</v>
      </c>
      <c r="X1872">
        <v>10</v>
      </c>
      <c r="Y1872">
        <v>3281.12</v>
      </c>
      <c r="Z1872" s="3">
        <f t="shared" si="29"/>
        <v>319</v>
      </c>
    </row>
    <row r="1873" spans="1:26" hidden="1">
      <c r="A1873" t="s">
        <v>706</v>
      </c>
      <c r="B1873" s="6">
        <v>44287</v>
      </c>
      <c r="C1873" s="6">
        <v>44651</v>
      </c>
      <c r="D1873">
        <v>20210401</v>
      </c>
      <c r="E1873">
        <v>20220331</v>
      </c>
      <c r="F1873" t="s">
        <v>4529</v>
      </c>
      <c r="G1873" t="s">
        <v>4530</v>
      </c>
      <c r="H1873" t="s">
        <v>590</v>
      </c>
      <c r="I1873" t="s">
        <v>1462</v>
      </c>
      <c r="K1873">
        <v>0.03</v>
      </c>
      <c r="L1873">
        <v>30</v>
      </c>
      <c r="M1873">
        <v>4455</v>
      </c>
      <c r="N1873">
        <v>-20</v>
      </c>
      <c r="O1873">
        <v>-2970</v>
      </c>
      <c r="X1873">
        <v>10</v>
      </c>
      <c r="Y1873">
        <v>1485.03</v>
      </c>
      <c r="Z1873" s="3">
        <f t="shared" si="29"/>
        <v>148.5</v>
      </c>
    </row>
    <row r="1874" spans="1:26" hidden="1">
      <c r="A1874" t="s">
        <v>706</v>
      </c>
      <c r="B1874" s="6">
        <v>44287</v>
      </c>
      <c r="C1874" s="6">
        <v>44651</v>
      </c>
      <c r="D1874">
        <v>20210401</v>
      </c>
      <c r="E1874">
        <v>20220331</v>
      </c>
      <c r="F1874" t="s">
        <v>4531</v>
      </c>
      <c r="G1874" t="s">
        <v>4532</v>
      </c>
      <c r="H1874" t="s">
        <v>590</v>
      </c>
      <c r="I1874" t="s">
        <v>1462</v>
      </c>
      <c r="L1874">
        <v>36</v>
      </c>
      <c r="M1874">
        <v>35802</v>
      </c>
      <c r="N1874">
        <v>-33</v>
      </c>
      <c r="O1874">
        <v>-32818.5</v>
      </c>
      <c r="X1874">
        <v>3</v>
      </c>
      <c r="Y1874">
        <v>2983.5</v>
      </c>
      <c r="Z1874" s="3">
        <f t="shared" si="29"/>
        <v>994.5</v>
      </c>
    </row>
    <row r="1875" spans="1:26" hidden="1">
      <c r="A1875" t="s">
        <v>706</v>
      </c>
      <c r="B1875" s="6">
        <v>44287</v>
      </c>
      <c r="C1875" s="6">
        <v>44651</v>
      </c>
      <c r="D1875">
        <v>20210401</v>
      </c>
      <c r="E1875">
        <v>20220331</v>
      </c>
      <c r="F1875" t="s">
        <v>4533</v>
      </c>
      <c r="G1875" t="s">
        <v>4534</v>
      </c>
      <c r="H1875" t="s">
        <v>590</v>
      </c>
      <c r="I1875" t="s">
        <v>1462</v>
      </c>
      <c r="L1875">
        <v>6</v>
      </c>
      <c r="M1875">
        <v>816</v>
      </c>
      <c r="N1875">
        <v>-6</v>
      </c>
      <c r="O1875">
        <v>-816</v>
      </c>
      <c r="Z1875" s="3">
        <f t="shared" si="29"/>
        <v>136</v>
      </c>
    </row>
    <row r="1876" spans="1:26" hidden="1">
      <c r="A1876" t="s">
        <v>706</v>
      </c>
      <c r="B1876" s="6">
        <v>44287</v>
      </c>
      <c r="C1876" s="6">
        <v>44651</v>
      </c>
      <c r="D1876">
        <v>20210401</v>
      </c>
      <c r="E1876">
        <v>20220331</v>
      </c>
      <c r="F1876" t="s">
        <v>4535</v>
      </c>
      <c r="G1876" t="s">
        <v>4536</v>
      </c>
      <c r="H1876" t="s">
        <v>590</v>
      </c>
      <c r="I1876" t="s">
        <v>1462</v>
      </c>
      <c r="L1876">
        <v>40</v>
      </c>
      <c r="M1876">
        <v>5456</v>
      </c>
      <c r="N1876">
        <v>-43</v>
      </c>
      <c r="O1876">
        <v>-5864</v>
      </c>
      <c r="P1876">
        <v>3</v>
      </c>
      <c r="Q1876">
        <v>408</v>
      </c>
      <c r="Z1876" s="3">
        <f t="shared" si="29"/>
        <v>136.4</v>
      </c>
    </row>
    <row r="1877" spans="1:26" hidden="1">
      <c r="A1877" t="s">
        <v>706</v>
      </c>
      <c r="B1877" s="6">
        <v>44287</v>
      </c>
      <c r="C1877" s="6">
        <v>44651</v>
      </c>
      <c r="D1877">
        <v>20210401</v>
      </c>
      <c r="E1877">
        <v>20220331</v>
      </c>
      <c r="F1877" t="s">
        <v>4537</v>
      </c>
      <c r="G1877" t="s">
        <v>4538</v>
      </c>
      <c r="H1877" t="s">
        <v>590</v>
      </c>
      <c r="I1877" t="s">
        <v>1462</v>
      </c>
      <c r="L1877">
        <v>58</v>
      </c>
      <c r="M1877">
        <v>16808.400000000001</v>
      </c>
      <c r="N1877">
        <v>-61</v>
      </c>
      <c r="O1877">
        <v>-17677.8</v>
      </c>
      <c r="P1877">
        <v>3</v>
      </c>
      <c r="Q1877">
        <v>869.4</v>
      </c>
      <c r="Z1877" s="3">
        <f t="shared" si="29"/>
        <v>289.79999999999995</v>
      </c>
    </row>
    <row r="1878" spans="1:26" hidden="1">
      <c r="A1878" t="s">
        <v>706</v>
      </c>
      <c r="B1878" s="6">
        <v>44287</v>
      </c>
      <c r="C1878" s="6">
        <v>44651</v>
      </c>
      <c r="D1878">
        <v>20210401</v>
      </c>
      <c r="E1878">
        <v>20220331</v>
      </c>
      <c r="F1878" t="s">
        <v>4539</v>
      </c>
      <c r="G1878" t="s">
        <v>4540</v>
      </c>
      <c r="H1878" t="s">
        <v>590</v>
      </c>
      <c r="I1878" t="s">
        <v>1462</v>
      </c>
      <c r="K1878">
        <v>0.13</v>
      </c>
      <c r="L1878">
        <v>10</v>
      </c>
      <c r="M1878">
        <v>314</v>
      </c>
      <c r="N1878">
        <v>-10</v>
      </c>
      <c r="O1878">
        <v>-314</v>
      </c>
      <c r="Y1878">
        <v>0.13</v>
      </c>
      <c r="Z1878" s="3">
        <f t="shared" si="29"/>
        <v>31.4</v>
      </c>
    </row>
    <row r="1879" spans="1:26" hidden="1">
      <c r="A1879" t="s">
        <v>706</v>
      </c>
      <c r="B1879" s="6">
        <v>44287</v>
      </c>
      <c r="C1879" s="6">
        <v>44651</v>
      </c>
      <c r="D1879">
        <v>20210401</v>
      </c>
      <c r="E1879">
        <v>20220331</v>
      </c>
      <c r="F1879" t="s">
        <v>4541</v>
      </c>
      <c r="G1879" t="s">
        <v>4542</v>
      </c>
      <c r="H1879" t="s">
        <v>590</v>
      </c>
      <c r="I1879" t="s">
        <v>1462</v>
      </c>
      <c r="L1879">
        <v>240</v>
      </c>
      <c r="M1879">
        <v>9180</v>
      </c>
      <c r="N1879">
        <v>-190</v>
      </c>
      <c r="O1879">
        <v>-7267.5</v>
      </c>
      <c r="X1879">
        <v>50</v>
      </c>
      <c r="Y1879">
        <v>1912.5</v>
      </c>
      <c r="Z1879" s="3">
        <f t="shared" si="29"/>
        <v>38.25</v>
      </c>
    </row>
    <row r="1880" spans="1:26" hidden="1">
      <c r="A1880" t="s">
        <v>706</v>
      </c>
      <c r="B1880" s="6">
        <v>44287</v>
      </c>
      <c r="C1880" s="6">
        <v>44651</v>
      </c>
      <c r="D1880">
        <v>20210401</v>
      </c>
      <c r="E1880">
        <v>20220331</v>
      </c>
      <c r="F1880" t="s">
        <v>4543</v>
      </c>
      <c r="G1880" t="s">
        <v>4544</v>
      </c>
      <c r="H1880" t="s">
        <v>590</v>
      </c>
      <c r="I1880" t="s">
        <v>1462</v>
      </c>
      <c r="L1880">
        <v>93</v>
      </c>
      <c r="M1880">
        <v>3557.25</v>
      </c>
      <c r="N1880">
        <v>-78</v>
      </c>
      <c r="O1880">
        <v>-2983.5</v>
      </c>
      <c r="X1880">
        <v>15</v>
      </c>
      <c r="Y1880">
        <v>573.75</v>
      </c>
      <c r="Z1880" s="3">
        <f t="shared" si="29"/>
        <v>38.25</v>
      </c>
    </row>
    <row r="1881" spans="1:26" hidden="1">
      <c r="A1881" t="s">
        <v>706</v>
      </c>
      <c r="B1881" s="6">
        <v>44287</v>
      </c>
      <c r="C1881" s="6">
        <v>44651</v>
      </c>
      <c r="D1881">
        <v>20210401</v>
      </c>
      <c r="E1881">
        <v>20220331</v>
      </c>
      <c r="F1881" t="s">
        <v>4545</v>
      </c>
      <c r="G1881" t="s">
        <v>4546</v>
      </c>
      <c r="H1881" t="s">
        <v>590</v>
      </c>
      <c r="I1881" t="s">
        <v>1462</v>
      </c>
      <c r="L1881">
        <v>10</v>
      </c>
      <c r="M1881">
        <v>833</v>
      </c>
      <c r="X1881">
        <v>10</v>
      </c>
      <c r="Y1881">
        <v>833</v>
      </c>
      <c r="Z1881" s="3">
        <f t="shared" si="29"/>
        <v>83.3</v>
      </c>
    </row>
    <row r="1882" spans="1:26" hidden="1">
      <c r="A1882" t="s">
        <v>706</v>
      </c>
      <c r="B1882" s="6">
        <v>44287</v>
      </c>
      <c r="C1882" s="6">
        <v>44651</v>
      </c>
      <c r="D1882">
        <v>20210401</v>
      </c>
      <c r="E1882">
        <v>20220331</v>
      </c>
      <c r="F1882" t="s">
        <v>4547</v>
      </c>
      <c r="G1882" t="s">
        <v>4548</v>
      </c>
      <c r="H1882" t="s">
        <v>590</v>
      </c>
      <c r="I1882" t="s">
        <v>1462</v>
      </c>
      <c r="L1882">
        <v>30</v>
      </c>
      <c r="M1882">
        <v>450</v>
      </c>
      <c r="N1882">
        <v>-30</v>
      </c>
      <c r="O1882">
        <v>-450</v>
      </c>
      <c r="Z1882" s="3">
        <f t="shared" si="29"/>
        <v>15</v>
      </c>
    </row>
    <row r="1883" spans="1:26" hidden="1">
      <c r="A1883" t="s">
        <v>706</v>
      </c>
      <c r="B1883" s="6">
        <v>44287</v>
      </c>
      <c r="C1883" s="6">
        <v>44651</v>
      </c>
      <c r="D1883">
        <v>20210401</v>
      </c>
      <c r="E1883">
        <v>20220331</v>
      </c>
      <c r="F1883" t="s">
        <v>4549</v>
      </c>
      <c r="G1883" t="s">
        <v>4550</v>
      </c>
      <c r="H1883" t="s">
        <v>590</v>
      </c>
      <c r="I1883" t="s">
        <v>1462</v>
      </c>
      <c r="L1883">
        <v>4</v>
      </c>
      <c r="M1883">
        <v>2344.6</v>
      </c>
      <c r="N1883">
        <v>-4</v>
      </c>
      <c r="O1883">
        <v>-2344.6</v>
      </c>
      <c r="Z1883" s="3">
        <f t="shared" si="29"/>
        <v>586.15</v>
      </c>
    </row>
    <row r="1884" spans="1:26" hidden="1">
      <c r="A1884" t="s">
        <v>706</v>
      </c>
      <c r="B1884" s="6">
        <v>44287</v>
      </c>
      <c r="C1884" s="6">
        <v>44651</v>
      </c>
      <c r="D1884">
        <v>20210401</v>
      </c>
      <c r="E1884">
        <v>20220331</v>
      </c>
      <c r="F1884" t="s">
        <v>4551</v>
      </c>
      <c r="G1884" t="s">
        <v>4552</v>
      </c>
      <c r="H1884" t="s">
        <v>590</v>
      </c>
      <c r="I1884" t="s">
        <v>1462</v>
      </c>
      <c r="L1884">
        <v>2</v>
      </c>
      <c r="M1884">
        <v>1231.2</v>
      </c>
      <c r="N1884">
        <v>-2</v>
      </c>
      <c r="O1884">
        <v>-1231.2</v>
      </c>
      <c r="Z1884" s="3">
        <f t="shared" si="29"/>
        <v>615.6</v>
      </c>
    </row>
    <row r="1885" spans="1:26" hidden="1">
      <c r="A1885" t="s">
        <v>706</v>
      </c>
      <c r="B1885" s="6">
        <v>44287</v>
      </c>
      <c r="C1885" s="6">
        <v>44651</v>
      </c>
      <c r="D1885">
        <v>20210401</v>
      </c>
      <c r="E1885">
        <v>20220331</v>
      </c>
      <c r="F1885" t="s">
        <v>4553</v>
      </c>
      <c r="G1885" t="s">
        <v>4554</v>
      </c>
      <c r="H1885" t="s">
        <v>590</v>
      </c>
      <c r="I1885" t="s">
        <v>1462</v>
      </c>
      <c r="L1885">
        <v>1</v>
      </c>
      <c r="M1885">
        <v>983.25</v>
      </c>
      <c r="N1885">
        <v>-1</v>
      </c>
      <c r="O1885">
        <v>-983.25</v>
      </c>
      <c r="Z1885" s="3">
        <f t="shared" si="29"/>
        <v>983.25</v>
      </c>
    </row>
    <row r="1886" spans="1:26" hidden="1">
      <c r="A1886" t="s">
        <v>706</v>
      </c>
      <c r="B1886" s="6">
        <v>44287</v>
      </c>
      <c r="C1886" s="6">
        <v>44651</v>
      </c>
      <c r="D1886">
        <v>20210401</v>
      </c>
      <c r="E1886">
        <v>20220331</v>
      </c>
      <c r="F1886" t="s">
        <v>4555</v>
      </c>
      <c r="G1886" t="s">
        <v>4556</v>
      </c>
      <c r="H1886" t="s">
        <v>590</v>
      </c>
      <c r="I1886" t="s">
        <v>1462</v>
      </c>
      <c r="L1886">
        <v>1</v>
      </c>
      <c r="M1886">
        <v>923.4</v>
      </c>
      <c r="N1886">
        <v>-1</v>
      </c>
      <c r="O1886">
        <v>-923.4</v>
      </c>
      <c r="Z1886" s="3">
        <f t="shared" si="29"/>
        <v>923.4</v>
      </c>
    </row>
    <row r="1887" spans="1:26" hidden="1">
      <c r="A1887" t="s">
        <v>706</v>
      </c>
      <c r="B1887" s="6">
        <v>44287</v>
      </c>
      <c r="C1887" s="6">
        <v>44651</v>
      </c>
      <c r="D1887">
        <v>20210401</v>
      </c>
      <c r="E1887">
        <v>20220331</v>
      </c>
      <c r="F1887" t="s">
        <v>4557</v>
      </c>
      <c r="G1887" t="s">
        <v>4558</v>
      </c>
      <c r="H1887" t="s">
        <v>590</v>
      </c>
      <c r="I1887" t="s">
        <v>1462</v>
      </c>
      <c r="L1887">
        <v>1</v>
      </c>
      <c r="M1887">
        <v>1389.85</v>
      </c>
      <c r="N1887">
        <v>-1</v>
      </c>
      <c r="O1887">
        <v>-1389.85</v>
      </c>
      <c r="Z1887" s="3">
        <f t="shared" si="29"/>
        <v>1389.85</v>
      </c>
    </row>
    <row r="1888" spans="1:26" hidden="1">
      <c r="A1888" t="s">
        <v>706</v>
      </c>
      <c r="B1888" s="6">
        <v>44287</v>
      </c>
      <c r="C1888" s="6">
        <v>44651</v>
      </c>
      <c r="D1888">
        <v>20210401</v>
      </c>
      <c r="E1888">
        <v>20220331</v>
      </c>
      <c r="F1888" t="s">
        <v>4559</v>
      </c>
      <c r="G1888" t="s">
        <v>4560</v>
      </c>
      <c r="H1888" t="s">
        <v>590</v>
      </c>
      <c r="I1888" t="s">
        <v>1462</v>
      </c>
      <c r="L1888">
        <v>7</v>
      </c>
      <c r="M1888">
        <v>5153.75</v>
      </c>
      <c r="N1888">
        <v>-5</v>
      </c>
      <c r="O1888">
        <v>-3690.75</v>
      </c>
      <c r="X1888">
        <v>2</v>
      </c>
      <c r="Y1888">
        <v>1463</v>
      </c>
      <c r="Z1888" s="3">
        <f t="shared" si="29"/>
        <v>738.15</v>
      </c>
    </row>
    <row r="1889" spans="1:26" hidden="1">
      <c r="A1889" t="s">
        <v>706</v>
      </c>
      <c r="B1889" s="6">
        <v>44287</v>
      </c>
      <c r="C1889" s="6">
        <v>44651</v>
      </c>
      <c r="D1889">
        <v>20210401</v>
      </c>
      <c r="E1889">
        <v>20220331</v>
      </c>
      <c r="F1889" t="s">
        <v>4561</v>
      </c>
      <c r="G1889" t="s">
        <v>4562</v>
      </c>
      <c r="H1889" t="s">
        <v>590</v>
      </c>
      <c r="I1889" t="s">
        <v>1462</v>
      </c>
      <c r="L1889">
        <v>22</v>
      </c>
      <c r="M1889">
        <v>760</v>
      </c>
      <c r="N1889">
        <v>-22</v>
      </c>
      <c r="O1889">
        <v>-760</v>
      </c>
      <c r="Z1889" s="3">
        <f t="shared" si="29"/>
        <v>34.545454545454547</v>
      </c>
    </row>
    <row r="1890" spans="1:26" hidden="1">
      <c r="A1890" t="s">
        <v>706</v>
      </c>
      <c r="B1890" s="6">
        <v>44287</v>
      </c>
      <c r="C1890" s="6">
        <v>44651</v>
      </c>
      <c r="D1890">
        <v>20210401</v>
      </c>
      <c r="E1890">
        <v>20220331</v>
      </c>
      <c r="F1890" t="s">
        <v>4563</v>
      </c>
      <c r="G1890" t="s">
        <v>4564</v>
      </c>
      <c r="H1890" t="s">
        <v>590</v>
      </c>
      <c r="I1890" t="s">
        <v>1462</v>
      </c>
      <c r="L1890">
        <v>5</v>
      </c>
      <c r="M1890">
        <v>2075</v>
      </c>
      <c r="N1890">
        <v>-5</v>
      </c>
      <c r="O1890">
        <v>-2075</v>
      </c>
      <c r="Z1890" s="3">
        <f t="shared" si="29"/>
        <v>415</v>
      </c>
    </row>
    <row r="1891" spans="1:26" hidden="1">
      <c r="A1891" t="s">
        <v>706</v>
      </c>
      <c r="B1891" s="6">
        <v>44287</v>
      </c>
      <c r="C1891" s="6">
        <v>44651</v>
      </c>
      <c r="D1891">
        <v>20210401</v>
      </c>
      <c r="E1891">
        <v>20220331</v>
      </c>
      <c r="F1891" t="s">
        <v>4565</v>
      </c>
      <c r="G1891" t="s">
        <v>4566</v>
      </c>
      <c r="H1891" t="s">
        <v>590</v>
      </c>
      <c r="I1891" t="s">
        <v>1462</v>
      </c>
      <c r="L1891">
        <v>8</v>
      </c>
      <c r="M1891">
        <v>2080</v>
      </c>
      <c r="N1891">
        <v>-8</v>
      </c>
      <c r="O1891">
        <v>-2080</v>
      </c>
      <c r="Z1891" s="3">
        <f t="shared" si="29"/>
        <v>260</v>
      </c>
    </row>
    <row r="1892" spans="1:26" hidden="1">
      <c r="A1892" t="s">
        <v>706</v>
      </c>
      <c r="B1892" s="6">
        <v>44287</v>
      </c>
      <c r="C1892" s="6">
        <v>44651</v>
      </c>
      <c r="D1892">
        <v>20210401</v>
      </c>
      <c r="E1892">
        <v>20220331</v>
      </c>
      <c r="F1892" t="s">
        <v>4567</v>
      </c>
      <c r="G1892" t="s">
        <v>4568</v>
      </c>
      <c r="H1892" t="s">
        <v>3319</v>
      </c>
      <c r="I1892" t="s">
        <v>1462</v>
      </c>
      <c r="L1892">
        <v>250</v>
      </c>
      <c r="M1892">
        <v>9527.5</v>
      </c>
      <c r="N1892">
        <v>-250</v>
      </c>
      <c r="O1892">
        <v>-9527.5</v>
      </c>
      <c r="Z1892" s="3">
        <f t="shared" si="29"/>
        <v>38.11</v>
      </c>
    </row>
    <row r="1893" spans="1:26" hidden="1">
      <c r="A1893" t="s">
        <v>706</v>
      </c>
      <c r="B1893" s="6">
        <v>44287</v>
      </c>
      <c r="C1893" s="6">
        <v>44651</v>
      </c>
      <c r="D1893">
        <v>20210401</v>
      </c>
      <c r="E1893">
        <v>20220331</v>
      </c>
      <c r="F1893" t="s">
        <v>4569</v>
      </c>
      <c r="G1893" t="s">
        <v>4570</v>
      </c>
      <c r="H1893" t="s">
        <v>590</v>
      </c>
      <c r="I1893" t="s">
        <v>1462</v>
      </c>
      <c r="L1893">
        <v>20</v>
      </c>
      <c r="M1893">
        <v>1500</v>
      </c>
      <c r="N1893">
        <v>-20</v>
      </c>
      <c r="O1893">
        <v>-1500</v>
      </c>
      <c r="Z1893" s="3">
        <f t="shared" si="29"/>
        <v>75</v>
      </c>
    </row>
    <row r="1894" spans="1:26" hidden="1">
      <c r="A1894" t="s">
        <v>706</v>
      </c>
      <c r="B1894" s="6">
        <v>44287</v>
      </c>
      <c r="C1894" s="6">
        <v>44651</v>
      </c>
      <c r="D1894">
        <v>20210401</v>
      </c>
      <c r="E1894">
        <v>20220331</v>
      </c>
      <c r="F1894" t="s">
        <v>4571</v>
      </c>
      <c r="G1894" t="s">
        <v>4572</v>
      </c>
      <c r="H1894" t="s">
        <v>590</v>
      </c>
      <c r="I1894" t="s">
        <v>1462</v>
      </c>
      <c r="L1894">
        <v>10</v>
      </c>
      <c r="M1894">
        <v>90</v>
      </c>
      <c r="N1894">
        <v>-10</v>
      </c>
      <c r="O1894">
        <v>-90</v>
      </c>
      <c r="Z1894" s="3">
        <f t="shared" si="29"/>
        <v>9</v>
      </c>
    </row>
    <row r="1895" spans="1:26" hidden="1">
      <c r="A1895" t="s">
        <v>706</v>
      </c>
      <c r="B1895" s="6">
        <v>44287</v>
      </c>
      <c r="C1895" s="6">
        <v>44651</v>
      </c>
      <c r="D1895">
        <v>20210401</v>
      </c>
      <c r="E1895">
        <v>20220331</v>
      </c>
      <c r="F1895" t="s">
        <v>4573</v>
      </c>
      <c r="G1895" t="s">
        <v>4574</v>
      </c>
      <c r="H1895" t="s">
        <v>590</v>
      </c>
      <c r="I1895" t="s">
        <v>1462</v>
      </c>
      <c r="L1895">
        <v>5</v>
      </c>
      <c r="M1895">
        <v>70</v>
      </c>
      <c r="N1895">
        <v>-5</v>
      </c>
      <c r="O1895">
        <v>-70</v>
      </c>
      <c r="Z1895" s="3">
        <f t="shared" si="29"/>
        <v>14</v>
      </c>
    </row>
    <row r="1896" spans="1:26" hidden="1">
      <c r="A1896" t="s">
        <v>706</v>
      </c>
      <c r="B1896" s="6">
        <v>44287</v>
      </c>
      <c r="C1896" s="6">
        <v>44651</v>
      </c>
      <c r="D1896">
        <v>20210401</v>
      </c>
      <c r="E1896">
        <v>20220331</v>
      </c>
      <c r="F1896" t="s">
        <v>4575</v>
      </c>
      <c r="G1896" t="s">
        <v>4576</v>
      </c>
      <c r="H1896" t="s">
        <v>590</v>
      </c>
      <c r="I1896" t="s">
        <v>1462</v>
      </c>
      <c r="L1896">
        <v>5</v>
      </c>
      <c r="M1896">
        <v>95</v>
      </c>
      <c r="N1896">
        <v>-5</v>
      </c>
      <c r="O1896">
        <v>-95</v>
      </c>
      <c r="Z1896" s="3">
        <f t="shared" si="29"/>
        <v>19</v>
      </c>
    </row>
    <row r="1897" spans="1:26" hidden="1">
      <c r="A1897" t="s">
        <v>706</v>
      </c>
      <c r="B1897" s="6">
        <v>44287</v>
      </c>
      <c r="C1897" s="6">
        <v>44651</v>
      </c>
      <c r="D1897">
        <v>20210401</v>
      </c>
      <c r="E1897">
        <v>20220331</v>
      </c>
      <c r="F1897" t="s">
        <v>4577</v>
      </c>
      <c r="G1897" t="s">
        <v>4578</v>
      </c>
      <c r="H1897" t="s">
        <v>590</v>
      </c>
      <c r="I1897" t="s">
        <v>1462</v>
      </c>
      <c r="L1897">
        <v>5</v>
      </c>
      <c r="M1897">
        <v>135</v>
      </c>
      <c r="N1897">
        <v>-5</v>
      </c>
      <c r="O1897">
        <v>-135</v>
      </c>
      <c r="Z1897" s="3">
        <f t="shared" si="29"/>
        <v>27</v>
      </c>
    </row>
    <row r="1898" spans="1:26" hidden="1">
      <c r="A1898" t="s">
        <v>706</v>
      </c>
      <c r="B1898" s="6">
        <v>44287</v>
      </c>
      <c r="C1898" s="6">
        <v>44651</v>
      </c>
      <c r="D1898">
        <v>20210401</v>
      </c>
      <c r="E1898">
        <v>20220331</v>
      </c>
      <c r="F1898" t="s">
        <v>4579</v>
      </c>
      <c r="G1898" t="s">
        <v>4580</v>
      </c>
      <c r="H1898" t="s">
        <v>590</v>
      </c>
      <c r="I1898" t="s">
        <v>1462</v>
      </c>
      <c r="L1898">
        <v>5</v>
      </c>
      <c r="M1898">
        <v>75</v>
      </c>
      <c r="N1898">
        <v>-5</v>
      </c>
      <c r="O1898">
        <v>-75</v>
      </c>
      <c r="Z1898" s="3">
        <f t="shared" si="29"/>
        <v>15</v>
      </c>
    </row>
    <row r="1899" spans="1:26" hidden="1">
      <c r="A1899" t="s">
        <v>706</v>
      </c>
      <c r="B1899" s="6">
        <v>44287</v>
      </c>
      <c r="C1899" s="6">
        <v>44651</v>
      </c>
      <c r="D1899">
        <v>20210401</v>
      </c>
      <c r="E1899">
        <v>20220331</v>
      </c>
      <c r="F1899" t="s">
        <v>4581</v>
      </c>
      <c r="G1899" t="s">
        <v>4572</v>
      </c>
      <c r="H1899" t="s">
        <v>590</v>
      </c>
      <c r="I1899" t="s">
        <v>1462</v>
      </c>
      <c r="L1899">
        <v>10</v>
      </c>
      <c r="M1899">
        <v>110</v>
      </c>
      <c r="N1899">
        <v>-10</v>
      </c>
      <c r="O1899">
        <v>-110</v>
      </c>
      <c r="Z1899" s="3">
        <f t="shared" si="29"/>
        <v>11</v>
      </c>
    </row>
    <row r="1900" spans="1:26" hidden="1">
      <c r="A1900" t="s">
        <v>706</v>
      </c>
      <c r="B1900" s="6">
        <v>44287</v>
      </c>
      <c r="C1900" s="6">
        <v>44651</v>
      </c>
      <c r="D1900">
        <v>20210401</v>
      </c>
      <c r="E1900">
        <v>20220331</v>
      </c>
      <c r="F1900" t="s">
        <v>4582</v>
      </c>
      <c r="G1900" t="s">
        <v>4572</v>
      </c>
      <c r="H1900" t="s">
        <v>590</v>
      </c>
      <c r="I1900" t="s">
        <v>1462</v>
      </c>
      <c r="L1900">
        <v>10</v>
      </c>
      <c r="M1900">
        <v>90</v>
      </c>
      <c r="N1900">
        <v>-10</v>
      </c>
      <c r="O1900">
        <v>-90</v>
      </c>
      <c r="Z1900" s="3">
        <f t="shared" si="29"/>
        <v>9</v>
      </c>
    </row>
    <row r="1901" spans="1:26" hidden="1">
      <c r="A1901" t="s">
        <v>706</v>
      </c>
      <c r="B1901" s="6">
        <v>44287</v>
      </c>
      <c r="C1901" s="6">
        <v>44651</v>
      </c>
      <c r="D1901">
        <v>20210401</v>
      </c>
      <c r="E1901">
        <v>20220331</v>
      </c>
      <c r="F1901" t="s">
        <v>4583</v>
      </c>
      <c r="G1901" t="s">
        <v>4584</v>
      </c>
      <c r="H1901" t="s">
        <v>590</v>
      </c>
      <c r="I1901" t="s">
        <v>1462</v>
      </c>
      <c r="L1901">
        <v>1</v>
      </c>
      <c r="M1901">
        <v>450</v>
      </c>
      <c r="N1901">
        <v>-1</v>
      </c>
      <c r="O1901">
        <v>-450</v>
      </c>
      <c r="Z1901" s="3">
        <f t="shared" si="29"/>
        <v>450</v>
      </c>
    </row>
    <row r="1902" spans="1:26" hidden="1">
      <c r="A1902" t="s">
        <v>706</v>
      </c>
      <c r="B1902" s="6">
        <v>44287</v>
      </c>
      <c r="C1902" s="6">
        <v>44651</v>
      </c>
      <c r="D1902">
        <v>20210401</v>
      </c>
      <c r="E1902">
        <v>20220331</v>
      </c>
      <c r="F1902" t="s">
        <v>4585</v>
      </c>
      <c r="G1902" t="s">
        <v>4586</v>
      </c>
      <c r="H1902" t="s">
        <v>2834</v>
      </c>
      <c r="I1902" t="s">
        <v>1462</v>
      </c>
      <c r="L1902">
        <v>10</v>
      </c>
      <c r="M1902">
        <v>1000</v>
      </c>
      <c r="N1902">
        <v>-10</v>
      </c>
      <c r="O1902">
        <v>-1000</v>
      </c>
      <c r="Z1902" s="3">
        <f t="shared" si="29"/>
        <v>100</v>
      </c>
    </row>
    <row r="1903" spans="1:26" hidden="1">
      <c r="A1903" t="s">
        <v>706</v>
      </c>
      <c r="B1903" s="6">
        <v>44287</v>
      </c>
      <c r="C1903" s="6">
        <v>44651</v>
      </c>
      <c r="D1903">
        <v>20210401</v>
      </c>
      <c r="E1903">
        <v>20220331</v>
      </c>
      <c r="F1903" t="s">
        <v>4587</v>
      </c>
      <c r="G1903" t="s">
        <v>4588</v>
      </c>
      <c r="H1903" t="s">
        <v>590</v>
      </c>
      <c r="I1903" t="s">
        <v>1462</v>
      </c>
      <c r="L1903">
        <v>1</v>
      </c>
      <c r="M1903">
        <v>3150</v>
      </c>
      <c r="N1903">
        <v>-1</v>
      </c>
      <c r="O1903">
        <v>-3150</v>
      </c>
      <c r="Z1903" s="3">
        <f t="shared" si="29"/>
        <v>3150</v>
      </c>
    </row>
    <row r="1904" spans="1:26" hidden="1">
      <c r="A1904" t="s">
        <v>706</v>
      </c>
      <c r="B1904" s="6">
        <v>44287</v>
      </c>
      <c r="C1904" s="6">
        <v>44651</v>
      </c>
      <c r="D1904">
        <v>20210401</v>
      </c>
      <c r="E1904">
        <v>20220331</v>
      </c>
      <c r="F1904" t="s">
        <v>4589</v>
      </c>
      <c r="G1904" t="s">
        <v>4590</v>
      </c>
      <c r="H1904" t="s">
        <v>590</v>
      </c>
      <c r="I1904" t="s">
        <v>1462</v>
      </c>
      <c r="L1904">
        <v>35</v>
      </c>
      <c r="M1904">
        <v>630</v>
      </c>
      <c r="N1904">
        <v>-35</v>
      </c>
      <c r="O1904">
        <v>-630</v>
      </c>
      <c r="Z1904" s="3">
        <f t="shared" si="29"/>
        <v>18</v>
      </c>
    </row>
    <row r="1905" spans="1:26" hidden="1">
      <c r="A1905" t="s">
        <v>706</v>
      </c>
      <c r="B1905" s="6">
        <v>44287</v>
      </c>
      <c r="C1905" s="6">
        <v>44651</v>
      </c>
      <c r="D1905">
        <v>20210401</v>
      </c>
      <c r="E1905">
        <v>20220331</v>
      </c>
      <c r="F1905" t="s">
        <v>4591</v>
      </c>
      <c r="G1905" t="s">
        <v>4592</v>
      </c>
      <c r="H1905" t="s">
        <v>590</v>
      </c>
      <c r="I1905" t="s">
        <v>1462</v>
      </c>
      <c r="L1905">
        <v>15</v>
      </c>
      <c r="M1905">
        <v>2790</v>
      </c>
      <c r="N1905">
        <v>-15</v>
      </c>
      <c r="O1905">
        <v>-2790</v>
      </c>
      <c r="Z1905" s="3">
        <f t="shared" si="29"/>
        <v>186</v>
      </c>
    </row>
    <row r="1906" spans="1:26" hidden="1">
      <c r="A1906" t="s">
        <v>706</v>
      </c>
      <c r="B1906" s="6">
        <v>44287</v>
      </c>
      <c r="C1906" s="6">
        <v>44651</v>
      </c>
      <c r="D1906">
        <v>20210401</v>
      </c>
      <c r="E1906">
        <v>20220331</v>
      </c>
      <c r="F1906" t="s">
        <v>4593</v>
      </c>
      <c r="G1906" t="s">
        <v>4594</v>
      </c>
      <c r="H1906" t="s">
        <v>590</v>
      </c>
      <c r="I1906" t="s">
        <v>1462</v>
      </c>
      <c r="L1906">
        <v>20</v>
      </c>
      <c r="M1906">
        <v>2800</v>
      </c>
      <c r="N1906">
        <v>-20</v>
      </c>
      <c r="O1906">
        <v>-2800</v>
      </c>
      <c r="Z1906" s="3">
        <f t="shared" si="29"/>
        <v>140</v>
      </c>
    </row>
    <row r="1907" spans="1:26" hidden="1">
      <c r="A1907" t="s">
        <v>706</v>
      </c>
      <c r="B1907" s="6">
        <v>44287</v>
      </c>
      <c r="C1907" s="6">
        <v>44651</v>
      </c>
      <c r="D1907">
        <v>20210401</v>
      </c>
      <c r="E1907">
        <v>20220331</v>
      </c>
      <c r="F1907" t="s">
        <v>4595</v>
      </c>
      <c r="G1907" t="s">
        <v>4596</v>
      </c>
      <c r="H1907" t="s">
        <v>590</v>
      </c>
      <c r="I1907" t="s">
        <v>1462</v>
      </c>
      <c r="L1907">
        <v>20</v>
      </c>
      <c r="M1907">
        <v>1980</v>
      </c>
      <c r="N1907">
        <v>-20</v>
      </c>
      <c r="O1907">
        <v>-1980</v>
      </c>
      <c r="Z1907" s="3">
        <f t="shared" si="29"/>
        <v>99</v>
      </c>
    </row>
    <row r="1908" spans="1:26" hidden="1">
      <c r="A1908" t="s">
        <v>706</v>
      </c>
      <c r="B1908" s="6">
        <v>44287</v>
      </c>
      <c r="C1908" s="6">
        <v>44651</v>
      </c>
      <c r="D1908">
        <v>20210401</v>
      </c>
      <c r="E1908">
        <v>20220331</v>
      </c>
      <c r="F1908" t="s">
        <v>4597</v>
      </c>
      <c r="G1908" t="s">
        <v>4598</v>
      </c>
      <c r="H1908" t="s">
        <v>590</v>
      </c>
      <c r="I1908" t="s">
        <v>1462</v>
      </c>
      <c r="L1908">
        <v>6</v>
      </c>
      <c r="M1908">
        <v>6060</v>
      </c>
      <c r="N1908">
        <v>-6</v>
      </c>
      <c r="O1908">
        <v>-6060</v>
      </c>
      <c r="Z1908" s="3">
        <f t="shared" si="29"/>
        <v>1010</v>
      </c>
    </row>
    <row r="1909" spans="1:26" hidden="1">
      <c r="A1909" t="s">
        <v>706</v>
      </c>
      <c r="B1909" s="6">
        <v>44287</v>
      </c>
      <c r="C1909" s="6">
        <v>44651</v>
      </c>
      <c r="D1909">
        <v>20210401</v>
      </c>
      <c r="E1909">
        <v>20220331</v>
      </c>
      <c r="F1909" t="s">
        <v>4599</v>
      </c>
      <c r="G1909" t="s">
        <v>4600</v>
      </c>
      <c r="H1909" t="s">
        <v>590</v>
      </c>
      <c r="I1909" t="s">
        <v>1462</v>
      </c>
      <c r="L1909">
        <v>10</v>
      </c>
      <c r="M1909">
        <v>950</v>
      </c>
      <c r="N1909">
        <v>-10</v>
      </c>
      <c r="O1909">
        <v>-950</v>
      </c>
      <c r="Z1909" s="3">
        <f t="shared" si="29"/>
        <v>95</v>
      </c>
    </row>
    <row r="1910" spans="1:26" hidden="1">
      <c r="A1910" t="s">
        <v>706</v>
      </c>
      <c r="B1910" s="6">
        <v>44287</v>
      </c>
      <c r="C1910" s="6">
        <v>44651</v>
      </c>
      <c r="D1910">
        <v>20210401</v>
      </c>
      <c r="E1910">
        <v>20220331</v>
      </c>
      <c r="F1910" t="s">
        <v>4601</v>
      </c>
      <c r="G1910" t="s">
        <v>4602</v>
      </c>
      <c r="H1910" t="s">
        <v>590</v>
      </c>
      <c r="I1910" t="s">
        <v>1462</v>
      </c>
      <c r="L1910">
        <v>30</v>
      </c>
      <c r="M1910">
        <v>420</v>
      </c>
      <c r="N1910">
        <v>-20</v>
      </c>
      <c r="O1910">
        <v>-280</v>
      </c>
      <c r="X1910">
        <v>10</v>
      </c>
      <c r="Y1910">
        <v>140</v>
      </c>
      <c r="Z1910" s="3">
        <f t="shared" si="29"/>
        <v>14</v>
      </c>
    </row>
    <row r="1911" spans="1:26" hidden="1">
      <c r="A1911" t="s">
        <v>706</v>
      </c>
      <c r="B1911" s="6">
        <v>44287</v>
      </c>
      <c r="C1911" s="6">
        <v>44651</v>
      </c>
      <c r="D1911">
        <v>20210401</v>
      </c>
      <c r="E1911">
        <v>20220331</v>
      </c>
      <c r="F1911" t="s">
        <v>4603</v>
      </c>
      <c r="G1911" t="s">
        <v>4604</v>
      </c>
      <c r="H1911" t="s">
        <v>590</v>
      </c>
      <c r="I1911" t="s">
        <v>805</v>
      </c>
      <c r="J1911">
        <v>18</v>
      </c>
      <c r="K1911">
        <v>37518.769999999997</v>
      </c>
      <c r="L1911">
        <v>189</v>
      </c>
      <c r="M1911">
        <v>238824</v>
      </c>
      <c r="N1911">
        <v>-198</v>
      </c>
      <c r="O1911">
        <v>-249857.96</v>
      </c>
      <c r="X1911">
        <v>9</v>
      </c>
      <c r="Y1911">
        <v>26484.81</v>
      </c>
      <c r="Z1911" s="3">
        <f t="shared" si="29"/>
        <v>1261.9088888888889</v>
      </c>
    </row>
    <row r="1912" spans="1:26" hidden="1">
      <c r="A1912" t="s">
        <v>706</v>
      </c>
      <c r="B1912" s="6">
        <v>44287</v>
      </c>
      <c r="C1912" s="6">
        <v>44651</v>
      </c>
      <c r="D1912">
        <v>20210401</v>
      </c>
      <c r="E1912">
        <v>20220331</v>
      </c>
      <c r="F1912" t="s">
        <v>4605</v>
      </c>
      <c r="G1912" t="s">
        <v>4606</v>
      </c>
      <c r="H1912" t="s">
        <v>590</v>
      </c>
      <c r="I1912" t="s">
        <v>805</v>
      </c>
      <c r="J1912">
        <v>10</v>
      </c>
      <c r="K1912">
        <v>7451.66</v>
      </c>
      <c r="L1912">
        <v>318</v>
      </c>
      <c r="M1912">
        <v>193512</v>
      </c>
      <c r="N1912">
        <v>-320</v>
      </c>
      <c r="O1912">
        <v>-193203.37</v>
      </c>
      <c r="X1912">
        <v>8</v>
      </c>
      <c r="Y1912">
        <v>7760.29</v>
      </c>
      <c r="Z1912" s="3">
        <f t="shared" si="29"/>
        <v>603.76053124999999</v>
      </c>
    </row>
    <row r="1913" spans="1:26" hidden="1">
      <c r="A1913" t="s">
        <v>706</v>
      </c>
      <c r="B1913" s="6">
        <v>44287</v>
      </c>
      <c r="C1913" s="6">
        <v>44651</v>
      </c>
      <c r="D1913">
        <v>20210401</v>
      </c>
      <c r="E1913">
        <v>20220331</v>
      </c>
      <c r="F1913" t="s">
        <v>4607</v>
      </c>
      <c r="G1913" t="s">
        <v>4608</v>
      </c>
      <c r="H1913" t="s">
        <v>590</v>
      </c>
      <c r="I1913" t="s">
        <v>1462</v>
      </c>
      <c r="K1913">
        <v>0.01</v>
      </c>
      <c r="L1913">
        <v>6</v>
      </c>
      <c r="M1913">
        <v>5700</v>
      </c>
      <c r="N1913">
        <v>-6</v>
      </c>
      <c r="O1913">
        <v>-5700</v>
      </c>
      <c r="Y1913">
        <v>0.01</v>
      </c>
      <c r="Z1913" s="3">
        <f t="shared" si="29"/>
        <v>950</v>
      </c>
    </row>
    <row r="1914" spans="1:26" hidden="1">
      <c r="A1914" t="s">
        <v>706</v>
      </c>
      <c r="B1914" s="6">
        <v>44287</v>
      </c>
      <c r="C1914" s="6">
        <v>44651</v>
      </c>
      <c r="D1914">
        <v>20210401</v>
      </c>
      <c r="E1914">
        <v>20220331</v>
      </c>
      <c r="F1914" t="s">
        <v>4609</v>
      </c>
      <c r="G1914" t="s">
        <v>4610</v>
      </c>
      <c r="H1914" t="s">
        <v>590</v>
      </c>
      <c r="I1914" t="s">
        <v>805</v>
      </c>
      <c r="K1914">
        <v>0.05</v>
      </c>
      <c r="L1914">
        <v>74</v>
      </c>
      <c r="M1914">
        <v>145960</v>
      </c>
      <c r="N1914">
        <v>-58</v>
      </c>
      <c r="O1914">
        <v>-112330.4</v>
      </c>
      <c r="P1914">
        <v>7</v>
      </c>
      <c r="Q1914">
        <v>13230</v>
      </c>
      <c r="X1914">
        <v>23</v>
      </c>
      <c r="Y1914">
        <v>46859.65</v>
      </c>
      <c r="Z1914" s="3">
        <f t="shared" si="29"/>
        <v>1943.1450980392156</v>
      </c>
    </row>
    <row r="1915" spans="1:26" hidden="1">
      <c r="A1915" t="s">
        <v>706</v>
      </c>
      <c r="B1915" s="6">
        <v>44287</v>
      </c>
      <c r="C1915" s="6">
        <v>44651</v>
      </c>
      <c r="D1915">
        <v>20210401</v>
      </c>
      <c r="E1915">
        <v>20220331</v>
      </c>
      <c r="F1915" t="s">
        <v>4611</v>
      </c>
      <c r="G1915" t="s">
        <v>4612</v>
      </c>
      <c r="H1915" t="s">
        <v>590</v>
      </c>
      <c r="I1915" t="s">
        <v>805</v>
      </c>
      <c r="L1915">
        <v>44</v>
      </c>
      <c r="M1915">
        <v>24200</v>
      </c>
      <c r="N1915">
        <v>-44</v>
      </c>
      <c r="O1915">
        <v>-24200</v>
      </c>
      <c r="Z1915" s="3">
        <f t="shared" si="29"/>
        <v>550</v>
      </c>
    </row>
    <row r="1916" spans="1:26" hidden="1">
      <c r="A1916" t="s">
        <v>706</v>
      </c>
      <c r="B1916" s="6">
        <v>44287</v>
      </c>
      <c r="C1916" s="6">
        <v>44651</v>
      </c>
      <c r="D1916">
        <v>20210401</v>
      </c>
      <c r="E1916">
        <v>20220331</v>
      </c>
      <c r="F1916" t="s">
        <v>4613</v>
      </c>
      <c r="G1916" t="s">
        <v>4614</v>
      </c>
      <c r="H1916" t="s">
        <v>590</v>
      </c>
      <c r="I1916" t="s">
        <v>805</v>
      </c>
      <c r="L1916">
        <v>6</v>
      </c>
      <c r="M1916">
        <v>3600</v>
      </c>
      <c r="N1916">
        <v>-6</v>
      </c>
      <c r="O1916">
        <v>-3600</v>
      </c>
      <c r="Z1916" s="3">
        <f t="shared" si="29"/>
        <v>600</v>
      </c>
    </row>
    <row r="1917" spans="1:26" hidden="1">
      <c r="A1917" t="s">
        <v>706</v>
      </c>
      <c r="B1917" s="6">
        <v>44287</v>
      </c>
      <c r="C1917" s="6">
        <v>44651</v>
      </c>
      <c r="D1917">
        <v>20210401</v>
      </c>
      <c r="E1917">
        <v>20220331</v>
      </c>
      <c r="F1917" t="s">
        <v>4615</v>
      </c>
      <c r="G1917" t="s">
        <v>4616</v>
      </c>
      <c r="H1917" t="s">
        <v>590</v>
      </c>
      <c r="I1917" t="s">
        <v>805</v>
      </c>
      <c r="L1917">
        <v>650</v>
      </c>
      <c r="M1917">
        <v>19575</v>
      </c>
      <c r="N1917">
        <v>-650</v>
      </c>
      <c r="O1917">
        <v>-19575</v>
      </c>
      <c r="Z1917" s="3">
        <f t="shared" si="29"/>
        <v>30.115384615384617</v>
      </c>
    </row>
    <row r="1918" spans="1:26" hidden="1">
      <c r="A1918" t="s">
        <v>706</v>
      </c>
      <c r="B1918" s="6">
        <v>44287</v>
      </c>
      <c r="C1918" s="6">
        <v>44651</v>
      </c>
      <c r="D1918">
        <v>20210401</v>
      </c>
      <c r="E1918">
        <v>20220331</v>
      </c>
      <c r="F1918" t="s">
        <v>4617</v>
      </c>
      <c r="G1918" t="s">
        <v>4618</v>
      </c>
      <c r="H1918" t="s">
        <v>1973</v>
      </c>
      <c r="I1918" t="s">
        <v>805</v>
      </c>
      <c r="L1918">
        <v>1</v>
      </c>
      <c r="M1918">
        <v>2825</v>
      </c>
      <c r="N1918">
        <v>-1</v>
      </c>
      <c r="O1918">
        <v>-2825</v>
      </c>
      <c r="Z1918" s="3">
        <f t="shared" si="29"/>
        <v>2825</v>
      </c>
    </row>
    <row r="1919" spans="1:26" hidden="1">
      <c r="A1919" t="s">
        <v>706</v>
      </c>
      <c r="B1919" s="6">
        <v>44287</v>
      </c>
      <c r="C1919" s="6">
        <v>44651</v>
      </c>
      <c r="D1919">
        <v>20210401</v>
      </c>
      <c r="E1919">
        <v>20220331</v>
      </c>
      <c r="F1919" t="s">
        <v>4619</v>
      </c>
      <c r="G1919" t="s">
        <v>4620</v>
      </c>
      <c r="H1919" t="s">
        <v>590</v>
      </c>
      <c r="I1919" t="s">
        <v>805</v>
      </c>
      <c r="L1919">
        <v>300</v>
      </c>
      <c r="M1919">
        <v>9750</v>
      </c>
      <c r="N1919">
        <v>-300</v>
      </c>
      <c r="O1919">
        <v>-9750</v>
      </c>
      <c r="Z1919" s="3">
        <f t="shared" si="29"/>
        <v>32.5</v>
      </c>
    </row>
    <row r="1920" spans="1:26" hidden="1">
      <c r="A1920" t="s">
        <v>706</v>
      </c>
      <c r="B1920" s="6">
        <v>44287</v>
      </c>
      <c r="C1920" s="6">
        <v>44651</v>
      </c>
      <c r="D1920">
        <v>20210401</v>
      </c>
      <c r="E1920">
        <v>20220331</v>
      </c>
      <c r="F1920" t="s">
        <v>4621</v>
      </c>
      <c r="G1920" t="s">
        <v>4622</v>
      </c>
      <c r="H1920" t="s">
        <v>590</v>
      </c>
      <c r="I1920" t="s">
        <v>805</v>
      </c>
      <c r="J1920">
        <v>41</v>
      </c>
      <c r="K1920">
        <v>41</v>
      </c>
      <c r="N1920">
        <v>-41</v>
      </c>
      <c r="O1920">
        <v>-41</v>
      </c>
      <c r="Z1920" s="3">
        <f t="shared" si="29"/>
        <v>1</v>
      </c>
    </row>
    <row r="1921" spans="1:26" hidden="1">
      <c r="A1921" t="s">
        <v>706</v>
      </c>
      <c r="B1921" s="6">
        <v>44287</v>
      </c>
      <c r="C1921" s="6">
        <v>44651</v>
      </c>
      <c r="D1921">
        <v>20210401</v>
      </c>
      <c r="E1921">
        <v>20220331</v>
      </c>
      <c r="F1921" t="s">
        <v>4623</v>
      </c>
      <c r="G1921" t="s">
        <v>4624</v>
      </c>
      <c r="H1921" t="s">
        <v>1973</v>
      </c>
      <c r="I1921" t="s">
        <v>805</v>
      </c>
      <c r="L1921">
        <v>250</v>
      </c>
      <c r="M1921">
        <v>14400</v>
      </c>
      <c r="N1921">
        <v>-250</v>
      </c>
      <c r="O1921">
        <v>-14400</v>
      </c>
      <c r="Z1921" s="3">
        <f t="shared" si="29"/>
        <v>57.6</v>
      </c>
    </row>
    <row r="1922" spans="1:26" hidden="1">
      <c r="A1922" t="s">
        <v>706</v>
      </c>
      <c r="B1922" s="6">
        <v>44287</v>
      </c>
      <c r="C1922" s="6">
        <v>44651</v>
      </c>
      <c r="D1922">
        <v>20210401</v>
      </c>
      <c r="E1922">
        <v>20220331</v>
      </c>
      <c r="F1922" t="s">
        <v>4625</v>
      </c>
      <c r="G1922" t="s">
        <v>4626</v>
      </c>
      <c r="H1922" t="s">
        <v>590</v>
      </c>
      <c r="I1922" t="s">
        <v>805</v>
      </c>
      <c r="L1922">
        <v>250</v>
      </c>
      <c r="M1922">
        <v>6875</v>
      </c>
      <c r="N1922">
        <v>-250</v>
      </c>
      <c r="O1922">
        <v>-6875</v>
      </c>
      <c r="Z1922" s="3">
        <f t="shared" si="29"/>
        <v>27.5</v>
      </c>
    </row>
    <row r="1923" spans="1:26" hidden="1">
      <c r="A1923" t="s">
        <v>706</v>
      </c>
      <c r="B1923" s="6">
        <v>44287</v>
      </c>
      <c r="C1923" s="6">
        <v>44651</v>
      </c>
      <c r="D1923">
        <v>20210401</v>
      </c>
      <c r="E1923">
        <v>20220331</v>
      </c>
      <c r="F1923" t="s">
        <v>4627</v>
      </c>
      <c r="G1923" t="s">
        <v>4628</v>
      </c>
      <c r="H1923" t="s">
        <v>590</v>
      </c>
      <c r="I1923" t="s">
        <v>805</v>
      </c>
      <c r="L1923">
        <v>500</v>
      </c>
      <c r="M1923">
        <v>3250</v>
      </c>
      <c r="N1923">
        <v>-200</v>
      </c>
      <c r="O1923">
        <v>-1300</v>
      </c>
      <c r="X1923">
        <v>300</v>
      </c>
      <c r="Y1923">
        <v>1950</v>
      </c>
      <c r="Z1923" s="3">
        <f t="shared" ref="Z1923:Z1986" si="30">IFERROR((O1923+Q1923)/(N1923+P1923),Y1923/X1923)</f>
        <v>6.5</v>
      </c>
    </row>
    <row r="1924" spans="1:26" hidden="1">
      <c r="A1924" t="s">
        <v>706</v>
      </c>
      <c r="B1924" s="6">
        <v>44287</v>
      </c>
      <c r="C1924" s="6">
        <v>44651</v>
      </c>
      <c r="D1924">
        <v>20210401</v>
      </c>
      <c r="E1924">
        <v>20220331</v>
      </c>
      <c r="F1924" t="s">
        <v>4629</v>
      </c>
      <c r="G1924" t="s">
        <v>4630</v>
      </c>
      <c r="H1924" t="s">
        <v>590</v>
      </c>
      <c r="I1924" t="s">
        <v>805</v>
      </c>
      <c r="L1924">
        <v>150</v>
      </c>
      <c r="M1924">
        <v>1500</v>
      </c>
      <c r="N1924">
        <v>-150</v>
      </c>
      <c r="O1924">
        <v>-1500</v>
      </c>
      <c r="Z1924" s="3">
        <f t="shared" si="30"/>
        <v>10</v>
      </c>
    </row>
    <row r="1925" spans="1:26" hidden="1">
      <c r="A1925" t="s">
        <v>706</v>
      </c>
      <c r="B1925" s="6">
        <v>44287</v>
      </c>
      <c r="C1925" s="6">
        <v>44651</v>
      </c>
      <c r="D1925">
        <v>20210401</v>
      </c>
      <c r="E1925">
        <v>20220331</v>
      </c>
      <c r="F1925" t="s">
        <v>4631</v>
      </c>
      <c r="G1925" t="s">
        <v>4632</v>
      </c>
      <c r="H1925" t="s">
        <v>590</v>
      </c>
      <c r="I1925" t="s">
        <v>805</v>
      </c>
      <c r="L1925">
        <v>150</v>
      </c>
      <c r="M1925">
        <v>1800</v>
      </c>
      <c r="N1925">
        <v>-150</v>
      </c>
      <c r="O1925">
        <v>-1800</v>
      </c>
      <c r="Z1925" s="3">
        <f t="shared" si="30"/>
        <v>12</v>
      </c>
    </row>
    <row r="1926" spans="1:26" hidden="1">
      <c r="A1926" t="s">
        <v>706</v>
      </c>
      <c r="B1926" s="6">
        <v>44287</v>
      </c>
      <c r="C1926" s="6">
        <v>44651</v>
      </c>
      <c r="D1926">
        <v>20210401</v>
      </c>
      <c r="E1926">
        <v>20220331</v>
      </c>
      <c r="F1926" t="s">
        <v>4633</v>
      </c>
      <c r="G1926" t="s">
        <v>4634</v>
      </c>
      <c r="H1926" t="s">
        <v>590</v>
      </c>
      <c r="I1926" t="s">
        <v>805</v>
      </c>
      <c r="J1926">
        <v>1800</v>
      </c>
      <c r="K1926">
        <v>10800</v>
      </c>
      <c r="R1926">
        <v>-1800</v>
      </c>
      <c r="S1926">
        <v>-10800</v>
      </c>
      <c r="Z1926" s="3" t="e">
        <f t="shared" si="30"/>
        <v>#DIV/0!</v>
      </c>
    </row>
    <row r="1927" spans="1:26" hidden="1">
      <c r="A1927" t="s">
        <v>706</v>
      </c>
      <c r="B1927" s="6">
        <v>44287</v>
      </c>
      <c r="C1927" s="6">
        <v>44651</v>
      </c>
      <c r="D1927">
        <v>20210401</v>
      </c>
      <c r="E1927">
        <v>20220331</v>
      </c>
      <c r="F1927" t="s">
        <v>4635</v>
      </c>
      <c r="G1927" t="s">
        <v>4636</v>
      </c>
      <c r="H1927" t="s">
        <v>590</v>
      </c>
      <c r="I1927" t="s">
        <v>805</v>
      </c>
      <c r="J1927">
        <v>2891</v>
      </c>
      <c r="K1927">
        <v>79502.679999999993</v>
      </c>
      <c r="R1927">
        <v>-2891</v>
      </c>
      <c r="S1927">
        <v>-79502.5</v>
      </c>
      <c r="Y1927">
        <v>0.18</v>
      </c>
      <c r="Z1927" s="3" t="e">
        <f t="shared" si="30"/>
        <v>#DIV/0!</v>
      </c>
    </row>
    <row r="1928" spans="1:26" hidden="1">
      <c r="A1928" t="s">
        <v>706</v>
      </c>
      <c r="B1928" s="6">
        <v>44287</v>
      </c>
      <c r="C1928" s="6">
        <v>44651</v>
      </c>
      <c r="D1928">
        <v>20210401</v>
      </c>
      <c r="E1928">
        <v>20220331</v>
      </c>
      <c r="F1928" t="s">
        <v>4637</v>
      </c>
      <c r="G1928" t="s">
        <v>4638</v>
      </c>
      <c r="H1928" t="s">
        <v>590</v>
      </c>
      <c r="I1928" t="s">
        <v>805</v>
      </c>
      <c r="J1928">
        <v>2885</v>
      </c>
      <c r="K1928">
        <v>92319.88</v>
      </c>
      <c r="R1928">
        <v>-2885</v>
      </c>
      <c r="S1928">
        <v>-92320</v>
      </c>
      <c r="Y1928">
        <v>-0.12</v>
      </c>
      <c r="Z1928" s="3" t="e">
        <f t="shared" si="30"/>
        <v>#DIV/0!</v>
      </c>
    </row>
    <row r="1929" spans="1:26" hidden="1">
      <c r="A1929" t="s">
        <v>706</v>
      </c>
      <c r="B1929" s="6">
        <v>44287</v>
      </c>
      <c r="C1929" s="6">
        <v>44651</v>
      </c>
      <c r="D1929">
        <v>20210401</v>
      </c>
      <c r="E1929">
        <v>20220331</v>
      </c>
      <c r="F1929" t="s">
        <v>4639</v>
      </c>
      <c r="G1929" t="s">
        <v>4640</v>
      </c>
      <c r="H1929" t="s">
        <v>590</v>
      </c>
      <c r="I1929" t="s">
        <v>1462</v>
      </c>
      <c r="L1929">
        <v>180</v>
      </c>
      <c r="M1929">
        <v>144000</v>
      </c>
      <c r="N1929">
        <v>-180</v>
      </c>
      <c r="O1929">
        <v>-144000</v>
      </c>
      <c r="Z1929" s="3">
        <f t="shared" si="30"/>
        <v>800</v>
      </c>
    </row>
    <row r="1930" spans="1:26" hidden="1">
      <c r="A1930" t="s">
        <v>706</v>
      </c>
      <c r="B1930" s="6">
        <v>44287</v>
      </c>
      <c r="C1930" s="6">
        <v>44651</v>
      </c>
      <c r="D1930">
        <v>20210401</v>
      </c>
      <c r="E1930">
        <v>20220331</v>
      </c>
      <c r="F1930" t="s">
        <v>4641</v>
      </c>
      <c r="G1930" t="s">
        <v>4642</v>
      </c>
      <c r="H1930" t="s">
        <v>590</v>
      </c>
      <c r="I1930" t="s">
        <v>1462</v>
      </c>
      <c r="J1930">
        <v>3</v>
      </c>
      <c r="K1930">
        <v>3</v>
      </c>
      <c r="N1930">
        <v>-3</v>
      </c>
      <c r="O1930">
        <v>-3</v>
      </c>
      <c r="Z1930" s="3">
        <f t="shared" si="30"/>
        <v>1</v>
      </c>
    </row>
    <row r="1931" spans="1:26" hidden="1">
      <c r="A1931" t="s">
        <v>706</v>
      </c>
      <c r="B1931" s="6">
        <v>44287</v>
      </c>
      <c r="C1931" s="6">
        <v>44651</v>
      </c>
      <c r="D1931">
        <v>20210401</v>
      </c>
      <c r="E1931">
        <v>20220331</v>
      </c>
      <c r="F1931" t="s">
        <v>4643</v>
      </c>
      <c r="G1931" t="s">
        <v>4644</v>
      </c>
      <c r="H1931" t="s">
        <v>590</v>
      </c>
      <c r="I1931" t="s">
        <v>1462</v>
      </c>
      <c r="L1931">
        <v>3</v>
      </c>
      <c r="M1931">
        <v>16848</v>
      </c>
      <c r="N1931">
        <v>-4</v>
      </c>
      <c r="O1931">
        <v>-22248</v>
      </c>
      <c r="P1931">
        <v>1</v>
      </c>
      <c r="Q1931">
        <v>5400</v>
      </c>
      <c r="Z1931" s="3">
        <f t="shared" si="30"/>
        <v>5616</v>
      </c>
    </row>
    <row r="1932" spans="1:26" hidden="1">
      <c r="A1932" t="s">
        <v>706</v>
      </c>
      <c r="B1932" s="6">
        <v>44287</v>
      </c>
      <c r="C1932" s="6">
        <v>44651</v>
      </c>
      <c r="D1932">
        <v>20210401</v>
      </c>
      <c r="E1932">
        <v>20220331</v>
      </c>
      <c r="F1932" t="s">
        <v>4645</v>
      </c>
      <c r="G1932" t="s">
        <v>4646</v>
      </c>
      <c r="H1932" t="s">
        <v>590</v>
      </c>
      <c r="I1932" t="s">
        <v>1462</v>
      </c>
      <c r="L1932">
        <v>1</v>
      </c>
      <c r="M1932">
        <v>4800</v>
      </c>
      <c r="X1932">
        <v>1</v>
      </c>
      <c r="Y1932">
        <v>4800</v>
      </c>
      <c r="Z1932" s="3">
        <f t="shared" si="30"/>
        <v>4800</v>
      </c>
    </row>
    <row r="1933" spans="1:26" hidden="1">
      <c r="A1933" t="s">
        <v>706</v>
      </c>
      <c r="B1933" s="6">
        <v>44287</v>
      </c>
      <c r="C1933" s="6">
        <v>44651</v>
      </c>
      <c r="D1933">
        <v>20210401</v>
      </c>
      <c r="E1933">
        <v>20220331</v>
      </c>
      <c r="F1933" t="s">
        <v>4647</v>
      </c>
      <c r="G1933" t="s">
        <v>4648</v>
      </c>
      <c r="H1933" t="s">
        <v>590</v>
      </c>
      <c r="I1933" t="s">
        <v>1462</v>
      </c>
      <c r="L1933">
        <v>17</v>
      </c>
      <c r="M1933">
        <v>37776</v>
      </c>
      <c r="N1933">
        <v>-18</v>
      </c>
      <c r="O1933">
        <v>-39976</v>
      </c>
      <c r="P1933">
        <v>1</v>
      </c>
      <c r="Q1933">
        <v>2200</v>
      </c>
      <c r="Z1933" s="3">
        <f t="shared" si="30"/>
        <v>2222.1176470588234</v>
      </c>
    </row>
    <row r="1934" spans="1:26" hidden="1">
      <c r="A1934" t="s">
        <v>706</v>
      </c>
      <c r="B1934" s="6">
        <v>44287</v>
      </c>
      <c r="C1934" s="6">
        <v>44651</v>
      </c>
      <c r="D1934">
        <v>20210401</v>
      </c>
      <c r="E1934">
        <v>20220331</v>
      </c>
      <c r="F1934" t="s">
        <v>4649</v>
      </c>
      <c r="G1934" t="s">
        <v>4650</v>
      </c>
      <c r="H1934" t="s">
        <v>590</v>
      </c>
      <c r="I1934" t="s">
        <v>1462</v>
      </c>
      <c r="L1934">
        <v>4</v>
      </c>
      <c r="M1934">
        <v>4800</v>
      </c>
      <c r="N1934">
        <v>-4</v>
      </c>
      <c r="O1934">
        <v>-4800</v>
      </c>
      <c r="Z1934" s="3">
        <f t="shared" si="30"/>
        <v>1200</v>
      </c>
    </row>
    <row r="1935" spans="1:26" hidden="1">
      <c r="A1935" t="s">
        <v>706</v>
      </c>
      <c r="B1935" s="6">
        <v>44287</v>
      </c>
      <c r="C1935" s="6">
        <v>44651</v>
      </c>
      <c r="D1935">
        <v>20210401</v>
      </c>
      <c r="E1935">
        <v>20220331</v>
      </c>
      <c r="F1935" t="s">
        <v>4651</v>
      </c>
      <c r="G1935" t="s">
        <v>4652</v>
      </c>
      <c r="H1935" t="s">
        <v>590</v>
      </c>
      <c r="I1935" t="s">
        <v>1462</v>
      </c>
      <c r="L1935">
        <v>2</v>
      </c>
      <c r="M1935">
        <v>7500</v>
      </c>
      <c r="N1935">
        <v>-2</v>
      </c>
      <c r="O1935">
        <v>-7500</v>
      </c>
      <c r="Z1935" s="3">
        <f t="shared" si="30"/>
        <v>3750</v>
      </c>
    </row>
    <row r="1936" spans="1:26" hidden="1">
      <c r="A1936" t="s">
        <v>706</v>
      </c>
      <c r="B1936" s="6">
        <v>44287</v>
      </c>
      <c r="C1936" s="6">
        <v>44651</v>
      </c>
      <c r="D1936">
        <v>20210401</v>
      </c>
      <c r="E1936">
        <v>20220331</v>
      </c>
      <c r="F1936" t="s">
        <v>4653</v>
      </c>
      <c r="G1936" t="s">
        <v>4654</v>
      </c>
      <c r="H1936" t="s">
        <v>590</v>
      </c>
      <c r="I1936" t="s">
        <v>1462</v>
      </c>
      <c r="L1936">
        <v>2</v>
      </c>
      <c r="M1936">
        <v>21081.22</v>
      </c>
      <c r="N1936">
        <v>-2</v>
      </c>
      <c r="O1936">
        <v>-21081.22</v>
      </c>
      <c r="Z1936" s="3">
        <f t="shared" si="30"/>
        <v>10540.61</v>
      </c>
    </row>
    <row r="1937" spans="1:26" hidden="1">
      <c r="A1937" t="s">
        <v>706</v>
      </c>
      <c r="B1937" s="6">
        <v>44287</v>
      </c>
      <c r="C1937" s="6">
        <v>44651</v>
      </c>
      <c r="D1937">
        <v>20210401</v>
      </c>
      <c r="E1937">
        <v>20220331</v>
      </c>
      <c r="F1937" t="s">
        <v>4655</v>
      </c>
      <c r="G1937" t="s">
        <v>4656</v>
      </c>
      <c r="H1937" t="s">
        <v>1973</v>
      </c>
      <c r="I1937" t="s">
        <v>805</v>
      </c>
      <c r="J1937">
        <v>19</v>
      </c>
      <c r="K1937">
        <v>3921.51</v>
      </c>
      <c r="N1937">
        <v>-19</v>
      </c>
      <c r="O1937">
        <v>-3921.52</v>
      </c>
      <c r="Y1937">
        <v>-0.01</v>
      </c>
      <c r="Z1937" s="3">
        <f t="shared" si="30"/>
        <v>206.3957894736842</v>
      </c>
    </row>
    <row r="1938" spans="1:26" hidden="1">
      <c r="A1938" t="s">
        <v>706</v>
      </c>
      <c r="B1938" s="6">
        <v>44287</v>
      </c>
      <c r="C1938" s="6">
        <v>44651</v>
      </c>
      <c r="D1938">
        <v>20210401</v>
      </c>
      <c r="E1938">
        <v>20220331</v>
      </c>
      <c r="F1938" t="s">
        <v>4657</v>
      </c>
      <c r="G1938" t="s">
        <v>4658</v>
      </c>
      <c r="H1938" t="s">
        <v>590</v>
      </c>
      <c r="I1938" t="s">
        <v>1462</v>
      </c>
      <c r="L1938">
        <v>7</v>
      </c>
      <c r="M1938">
        <v>4200</v>
      </c>
      <c r="N1938">
        <v>-7</v>
      </c>
      <c r="O1938">
        <v>-4200</v>
      </c>
      <c r="Z1938" s="3">
        <f t="shared" si="30"/>
        <v>600</v>
      </c>
    </row>
    <row r="1939" spans="1:26" hidden="1">
      <c r="A1939" t="s">
        <v>706</v>
      </c>
      <c r="B1939" s="6">
        <v>44287</v>
      </c>
      <c r="C1939" s="6">
        <v>44651</v>
      </c>
      <c r="D1939">
        <v>20210401</v>
      </c>
      <c r="E1939">
        <v>20220331</v>
      </c>
      <c r="F1939" t="s">
        <v>4659</v>
      </c>
      <c r="G1939" t="s">
        <v>4660</v>
      </c>
      <c r="H1939" t="s">
        <v>613</v>
      </c>
      <c r="I1939" t="s">
        <v>805</v>
      </c>
      <c r="N1939">
        <v>-2</v>
      </c>
      <c r="O1939">
        <v>-1040</v>
      </c>
      <c r="P1939">
        <v>2</v>
      </c>
      <c r="Q1939">
        <v>1040</v>
      </c>
      <c r="Z1939" s="3" t="e">
        <f t="shared" si="30"/>
        <v>#DIV/0!</v>
      </c>
    </row>
    <row r="1940" spans="1:26" hidden="1">
      <c r="A1940" t="s">
        <v>706</v>
      </c>
      <c r="B1940" s="6">
        <v>44287</v>
      </c>
      <c r="C1940" s="6">
        <v>44651</v>
      </c>
      <c r="D1940">
        <v>20210401</v>
      </c>
      <c r="E1940">
        <v>20220331</v>
      </c>
      <c r="F1940" t="s">
        <v>4661</v>
      </c>
      <c r="G1940" t="s">
        <v>4662</v>
      </c>
      <c r="H1940" t="s">
        <v>1267</v>
      </c>
      <c r="I1940" t="s">
        <v>805</v>
      </c>
      <c r="L1940">
        <v>4</v>
      </c>
      <c r="M1940">
        <v>600</v>
      </c>
      <c r="N1940">
        <v>-4</v>
      </c>
      <c r="O1940">
        <v>-600</v>
      </c>
      <c r="Z1940" s="3">
        <f t="shared" si="30"/>
        <v>150</v>
      </c>
    </row>
    <row r="1941" spans="1:26" hidden="1">
      <c r="A1941" t="s">
        <v>706</v>
      </c>
      <c r="B1941" s="6">
        <v>44287</v>
      </c>
      <c r="C1941" s="6">
        <v>44651</v>
      </c>
      <c r="D1941">
        <v>20210401</v>
      </c>
      <c r="E1941">
        <v>20220331</v>
      </c>
      <c r="F1941" t="s">
        <v>4663</v>
      </c>
      <c r="G1941" t="s">
        <v>4664</v>
      </c>
      <c r="H1941" t="s">
        <v>590</v>
      </c>
      <c r="I1941" t="s">
        <v>805</v>
      </c>
      <c r="L1941">
        <v>2</v>
      </c>
      <c r="M1941">
        <v>106</v>
      </c>
      <c r="N1941">
        <v>-2</v>
      </c>
      <c r="O1941">
        <v>-106</v>
      </c>
      <c r="Z1941" s="3">
        <f t="shared" si="30"/>
        <v>53</v>
      </c>
    </row>
    <row r="1942" spans="1:26" hidden="1">
      <c r="A1942" t="s">
        <v>706</v>
      </c>
      <c r="B1942" s="6">
        <v>44287</v>
      </c>
      <c r="C1942" s="6">
        <v>44651</v>
      </c>
      <c r="D1942">
        <v>20210401</v>
      </c>
      <c r="E1942">
        <v>20220331</v>
      </c>
      <c r="F1942" t="s">
        <v>4665</v>
      </c>
      <c r="G1942" t="s">
        <v>4666</v>
      </c>
      <c r="H1942" t="s">
        <v>590</v>
      </c>
      <c r="I1942" t="s">
        <v>805</v>
      </c>
      <c r="L1942">
        <v>2</v>
      </c>
      <c r="M1942">
        <v>106</v>
      </c>
      <c r="N1942">
        <v>-2</v>
      </c>
      <c r="O1942">
        <v>-106</v>
      </c>
      <c r="Z1942" s="3">
        <f t="shared" si="30"/>
        <v>53</v>
      </c>
    </row>
    <row r="1943" spans="1:26" hidden="1">
      <c r="A1943" t="s">
        <v>706</v>
      </c>
      <c r="B1943" s="6">
        <v>44287</v>
      </c>
      <c r="C1943" s="6">
        <v>44651</v>
      </c>
      <c r="D1943">
        <v>20210401</v>
      </c>
      <c r="E1943">
        <v>20220331</v>
      </c>
      <c r="F1943" t="s">
        <v>4667</v>
      </c>
      <c r="G1943" t="s">
        <v>4668</v>
      </c>
      <c r="H1943" t="s">
        <v>2073</v>
      </c>
      <c r="I1943" t="s">
        <v>1462</v>
      </c>
      <c r="N1943">
        <v>-32</v>
      </c>
      <c r="O1943">
        <v>-4416</v>
      </c>
      <c r="P1943">
        <v>32</v>
      </c>
      <c r="Q1943">
        <v>4416</v>
      </c>
      <c r="Z1943" s="3" t="e">
        <f t="shared" si="30"/>
        <v>#DIV/0!</v>
      </c>
    </row>
    <row r="1944" spans="1:26" hidden="1">
      <c r="A1944" t="s">
        <v>706</v>
      </c>
      <c r="B1944" s="6">
        <v>44287</v>
      </c>
      <c r="C1944" s="6">
        <v>44651</v>
      </c>
      <c r="D1944">
        <v>20210401</v>
      </c>
      <c r="E1944">
        <v>20220331</v>
      </c>
      <c r="F1944" t="s">
        <v>4669</v>
      </c>
      <c r="G1944" t="s">
        <v>4670</v>
      </c>
      <c r="H1944" t="s">
        <v>590</v>
      </c>
      <c r="I1944" t="s">
        <v>1462</v>
      </c>
      <c r="L1944">
        <v>2</v>
      </c>
      <c r="M1944">
        <v>17632</v>
      </c>
      <c r="N1944">
        <v>-2</v>
      </c>
      <c r="O1944">
        <v>-17632</v>
      </c>
      <c r="Z1944" s="3">
        <f t="shared" si="30"/>
        <v>8816</v>
      </c>
    </row>
    <row r="1945" spans="1:26" hidden="1">
      <c r="A1945" t="s">
        <v>706</v>
      </c>
      <c r="B1945" s="6">
        <v>44287</v>
      </c>
      <c r="C1945" s="6">
        <v>44651</v>
      </c>
      <c r="D1945">
        <v>20210401</v>
      </c>
      <c r="E1945">
        <v>20220331</v>
      </c>
      <c r="F1945" t="s">
        <v>4671</v>
      </c>
      <c r="G1945" t="s">
        <v>4672</v>
      </c>
      <c r="H1945" t="s">
        <v>590</v>
      </c>
      <c r="I1945" t="s">
        <v>805</v>
      </c>
      <c r="J1945">
        <v>14</v>
      </c>
      <c r="K1945">
        <v>14000</v>
      </c>
      <c r="N1945">
        <v>-14</v>
      </c>
      <c r="O1945">
        <v>-14000</v>
      </c>
      <c r="Z1945" s="3">
        <f t="shared" si="30"/>
        <v>1000</v>
      </c>
    </row>
    <row r="1946" spans="1:26" hidden="1">
      <c r="A1946" t="s">
        <v>706</v>
      </c>
      <c r="B1946" s="6">
        <v>44287</v>
      </c>
      <c r="C1946" s="6">
        <v>44651</v>
      </c>
      <c r="D1946">
        <v>20210401</v>
      </c>
      <c r="E1946">
        <v>20220331</v>
      </c>
      <c r="F1946" t="s">
        <v>4673</v>
      </c>
      <c r="G1946" t="s">
        <v>4674</v>
      </c>
      <c r="H1946" t="s">
        <v>590</v>
      </c>
      <c r="I1946" t="s">
        <v>1462</v>
      </c>
      <c r="L1946">
        <v>89</v>
      </c>
      <c r="M1946">
        <v>76650</v>
      </c>
      <c r="N1946">
        <v>-87</v>
      </c>
      <c r="O1946">
        <v>-73950</v>
      </c>
      <c r="P1946">
        <v>8</v>
      </c>
      <c r="Q1946">
        <v>6800</v>
      </c>
      <c r="X1946">
        <v>10</v>
      </c>
      <c r="Y1946">
        <v>9500</v>
      </c>
      <c r="Z1946" s="3">
        <f t="shared" si="30"/>
        <v>850</v>
      </c>
    </row>
    <row r="1947" spans="1:26" hidden="1">
      <c r="A1947" t="s">
        <v>706</v>
      </c>
      <c r="B1947" s="6">
        <v>44287</v>
      </c>
      <c r="C1947" s="6">
        <v>44651</v>
      </c>
      <c r="D1947">
        <v>20210401</v>
      </c>
      <c r="E1947">
        <v>20220331</v>
      </c>
      <c r="F1947" t="s">
        <v>4675</v>
      </c>
      <c r="G1947" t="s">
        <v>4676</v>
      </c>
      <c r="H1947" t="s">
        <v>590</v>
      </c>
      <c r="I1947" t="s">
        <v>805</v>
      </c>
      <c r="L1947">
        <v>2</v>
      </c>
      <c r="M1947">
        <v>6240</v>
      </c>
      <c r="X1947">
        <v>2</v>
      </c>
      <c r="Y1947">
        <v>6240</v>
      </c>
      <c r="Z1947" s="3">
        <f t="shared" si="30"/>
        <v>3120</v>
      </c>
    </row>
    <row r="1948" spans="1:26" hidden="1">
      <c r="A1948" t="s">
        <v>706</v>
      </c>
      <c r="B1948" s="6">
        <v>44287</v>
      </c>
      <c r="C1948" s="6">
        <v>44651</v>
      </c>
      <c r="D1948">
        <v>20210401</v>
      </c>
      <c r="E1948">
        <v>20220331</v>
      </c>
      <c r="F1948" t="s">
        <v>4677</v>
      </c>
      <c r="G1948" t="s">
        <v>4678</v>
      </c>
      <c r="H1948" t="s">
        <v>590</v>
      </c>
      <c r="I1948" t="s">
        <v>805</v>
      </c>
      <c r="J1948">
        <v>4</v>
      </c>
      <c r="K1948">
        <v>3200</v>
      </c>
      <c r="N1948">
        <v>-4</v>
      </c>
      <c r="O1948">
        <v>-3200</v>
      </c>
      <c r="Z1948" s="3">
        <f t="shared" si="30"/>
        <v>800</v>
      </c>
    </row>
    <row r="1949" spans="1:26" hidden="1">
      <c r="A1949" t="s">
        <v>706</v>
      </c>
      <c r="B1949" s="6">
        <v>44287</v>
      </c>
      <c r="C1949" s="6">
        <v>44651</v>
      </c>
      <c r="D1949">
        <v>20210401</v>
      </c>
      <c r="E1949">
        <v>20220331</v>
      </c>
      <c r="F1949" t="s">
        <v>4679</v>
      </c>
      <c r="G1949" t="s">
        <v>4680</v>
      </c>
      <c r="H1949" t="s">
        <v>590</v>
      </c>
      <c r="I1949" t="s">
        <v>1462</v>
      </c>
      <c r="L1949">
        <v>6</v>
      </c>
      <c r="M1949">
        <v>1674</v>
      </c>
      <c r="N1949">
        <v>-6</v>
      </c>
      <c r="O1949">
        <v>-1674</v>
      </c>
      <c r="Z1949" s="3">
        <f t="shared" si="30"/>
        <v>279</v>
      </c>
    </row>
    <row r="1950" spans="1:26" hidden="1">
      <c r="A1950" t="s">
        <v>706</v>
      </c>
      <c r="B1950" s="6">
        <v>44287</v>
      </c>
      <c r="C1950" s="6">
        <v>44651</v>
      </c>
      <c r="D1950">
        <v>20210401</v>
      </c>
      <c r="E1950">
        <v>20220331</v>
      </c>
      <c r="F1950" t="s">
        <v>4681</v>
      </c>
      <c r="G1950" t="s">
        <v>4682</v>
      </c>
      <c r="H1950" t="s">
        <v>590</v>
      </c>
      <c r="I1950" t="s">
        <v>1462</v>
      </c>
      <c r="L1950">
        <v>5</v>
      </c>
      <c r="M1950">
        <v>2700</v>
      </c>
      <c r="N1950">
        <v>-5</v>
      </c>
      <c r="O1950">
        <v>-2700</v>
      </c>
      <c r="Z1950" s="3">
        <f t="shared" si="30"/>
        <v>540</v>
      </c>
    </row>
    <row r="1951" spans="1:26" hidden="1">
      <c r="A1951" t="s">
        <v>706</v>
      </c>
      <c r="B1951" s="6">
        <v>44287</v>
      </c>
      <c r="C1951" s="6">
        <v>44651</v>
      </c>
      <c r="D1951">
        <v>20210401</v>
      </c>
      <c r="E1951">
        <v>20220331</v>
      </c>
      <c r="F1951" t="s">
        <v>4683</v>
      </c>
      <c r="G1951" t="s">
        <v>4684</v>
      </c>
      <c r="H1951" t="s">
        <v>590</v>
      </c>
      <c r="I1951" t="s">
        <v>805</v>
      </c>
      <c r="L1951">
        <v>20</v>
      </c>
      <c r="M1951">
        <v>16500</v>
      </c>
      <c r="N1951">
        <v>-28</v>
      </c>
      <c r="O1951">
        <v>-22997.34</v>
      </c>
      <c r="P1951">
        <v>8</v>
      </c>
      <c r="Q1951">
        <v>6597.33</v>
      </c>
      <c r="Y1951">
        <v>99.99</v>
      </c>
      <c r="Z1951" s="3">
        <f t="shared" si="30"/>
        <v>820.0005000000001</v>
      </c>
    </row>
    <row r="1952" spans="1:26" hidden="1">
      <c r="A1952" t="s">
        <v>706</v>
      </c>
      <c r="B1952" s="6">
        <v>44287</v>
      </c>
      <c r="C1952" s="6">
        <v>44651</v>
      </c>
      <c r="D1952">
        <v>20210401</v>
      </c>
      <c r="E1952">
        <v>20220331</v>
      </c>
      <c r="F1952" t="s">
        <v>4685</v>
      </c>
      <c r="G1952" t="s">
        <v>4686</v>
      </c>
      <c r="H1952" t="s">
        <v>590</v>
      </c>
      <c r="I1952" t="s">
        <v>805</v>
      </c>
      <c r="J1952">
        <v>98</v>
      </c>
      <c r="K1952">
        <v>3551.78</v>
      </c>
      <c r="L1952">
        <v>9700</v>
      </c>
      <c r="M1952">
        <v>349200</v>
      </c>
      <c r="N1952">
        <v>-9498</v>
      </c>
      <c r="O1952">
        <v>-341928</v>
      </c>
      <c r="X1952">
        <v>300</v>
      </c>
      <c r="Y1952">
        <v>10823.78</v>
      </c>
      <c r="Z1952" s="3">
        <f t="shared" si="30"/>
        <v>36</v>
      </c>
    </row>
    <row r="1953" spans="1:26" hidden="1">
      <c r="A1953" t="s">
        <v>706</v>
      </c>
      <c r="B1953" s="6">
        <v>44287</v>
      </c>
      <c r="C1953" s="6">
        <v>44651</v>
      </c>
      <c r="D1953">
        <v>20210401</v>
      </c>
      <c r="E1953">
        <v>20220331</v>
      </c>
      <c r="F1953" t="s">
        <v>4687</v>
      </c>
      <c r="G1953" t="s">
        <v>4688</v>
      </c>
      <c r="H1953" t="s">
        <v>2073</v>
      </c>
      <c r="I1953" t="s">
        <v>805</v>
      </c>
      <c r="L1953">
        <v>50</v>
      </c>
      <c r="M1953">
        <v>8150</v>
      </c>
      <c r="N1953">
        <v>-50</v>
      </c>
      <c r="O1953">
        <v>-8150</v>
      </c>
      <c r="Z1953" s="3">
        <f t="shared" si="30"/>
        <v>163</v>
      </c>
    </row>
    <row r="1954" spans="1:26" hidden="1">
      <c r="A1954" t="s">
        <v>706</v>
      </c>
      <c r="B1954" s="6">
        <v>44287</v>
      </c>
      <c r="C1954" s="6">
        <v>44651</v>
      </c>
      <c r="D1954">
        <v>20210401</v>
      </c>
      <c r="E1954">
        <v>20220331</v>
      </c>
      <c r="F1954" t="s">
        <v>4689</v>
      </c>
      <c r="G1954" t="s">
        <v>4690</v>
      </c>
      <c r="H1954" t="s">
        <v>2073</v>
      </c>
      <c r="I1954" t="s">
        <v>805</v>
      </c>
      <c r="L1954">
        <v>225</v>
      </c>
      <c r="M1954">
        <v>31050</v>
      </c>
      <c r="N1954">
        <v>-225</v>
      </c>
      <c r="O1954">
        <v>-31050</v>
      </c>
      <c r="Z1954" s="3">
        <f t="shared" si="30"/>
        <v>138</v>
      </c>
    </row>
    <row r="1955" spans="1:26" hidden="1">
      <c r="A1955" t="s">
        <v>706</v>
      </c>
      <c r="B1955" s="6">
        <v>44287</v>
      </c>
      <c r="C1955" s="6">
        <v>44651</v>
      </c>
      <c r="D1955">
        <v>20210401</v>
      </c>
      <c r="E1955">
        <v>20220331</v>
      </c>
      <c r="F1955" t="s">
        <v>4691</v>
      </c>
      <c r="G1955" t="s">
        <v>4692</v>
      </c>
      <c r="H1955" t="s">
        <v>590</v>
      </c>
      <c r="I1955" t="s">
        <v>1462</v>
      </c>
      <c r="N1955">
        <v>-1</v>
      </c>
      <c r="O1955">
        <v>-300</v>
      </c>
      <c r="P1955">
        <v>1</v>
      </c>
      <c r="Q1955">
        <v>300</v>
      </c>
      <c r="Z1955" s="3" t="e">
        <f t="shared" si="30"/>
        <v>#DIV/0!</v>
      </c>
    </row>
    <row r="1956" spans="1:26" hidden="1">
      <c r="A1956" t="s">
        <v>706</v>
      </c>
      <c r="B1956" s="6">
        <v>44287</v>
      </c>
      <c r="C1956" s="6">
        <v>44651</v>
      </c>
      <c r="D1956">
        <v>20210401</v>
      </c>
      <c r="E1956">
        <v>20220331</v>
      </c>
      <c r="F1956" t="s">
        <v>4693</v>
      </c>
      <c r="G1956" t="s">
        <v>4694</v>
      </c>
      <c r="H1956" t="s">
        <v>1973</v>
      </c>
      <c r="I1956" t="s">
        <v>1462</v>
      </c>
      <c r="N1956">
        <v>-1</v>
      </c>
      <c r="O1956">
        <v>-610</v>
      </c>
      <c r="P1956">
        <v>1</v>
      </c>
      <c r="Q1956">
        <v>610</v>
      </c>
      <c r="Z1956" s="3" t="e">
        <f t="shared" si="30"/>
        <v>#DIV/0!</v>
      </c>
    </row>
    <row r="1957" spans="1:26" hidden="1">
      <c r="A1957" t="s">
        <v>706</v>
      </c>
      <c r="B1957" s="6">
        <v>44287</v>
      </c>
      <c r="C1957" s="6">
        <v>44651</v>
      </c>
      <c r="D1957">
        <v>20210401</v>
      </c>
      <c r="E1957">
        <v>20220331</v>
      </c>
      <c r="F1957" t="s">
        <v>4695</v>
      </c>
      <c r="G1957" t="s">
        <v>4696</v>
      </c>
      <c r="H1957" t="s">
        <v>590</v>
      </c>
      <c r="I1957" t="s">
        <v>1462</v>
      </c>
      <c r="L1957">
        <v>5</v>
      </c>
      <c r="M1957">
        <v>3120</v>
      </c>
      <c r="N1957">
        <v>-5</v>
      </c>
      <c r="O1957">
        <v>-3120</v>
      </c>
      <c r="Z1957" s="3">
        <f t="shared" si="30"/>
        <v>624</v>
      </c>
    </row>
    <row r="1958" spans="1:26" hidden="1">
      <c r="A1958" t="s">
        <v>706</v>
      </c>
      <c r="B1958" s="6">
        <v>44287</v>
      </c>
      <c r="C1958" s="6">
        <v>44651</v>
      </c>
      <c r="D1958">
        <v>20210401</v>
      </c>
      <c r="E1958">
        <v>20220331</v>
      </c>
      <c r="F1958" t="s">
        <v>4697</v>
      </c>
      <c r="G1958" t="s">
        <v>4698</v>
      </c>
      <c r="H1958" t="s">
        <v>590</v>
      </c>
      <c r="I1958" t="s">
        <v>1462</v>
      </c>
      <c r="L1958">
        <v>6</v>
      </c>
      <c r="M1958">
        <v>3642</v>
      </c>
      <c r="N1958">
        <v>-6</v>
      </c>
      <c r="O1958">
        <v>-3642</v>
      </c>
      <c r="Z1958" s="3">
        <f t="shared" si="30"/>
        <v>607</v>
      </c>
    </row>
    <row r="1959" spans="1:26" hidden="1">
      <c r="A1959" t="s">
        <v>706</v>
      </c>
      <c r="B1959" s="6">
        <v>44287</v>
      </c>
      <c r="C1959" s="6">
        <v>44651</v>
      </c>
      <c r="D1959">
        <v>20210401</v>
      </c>
      <c r="E1959">
        <v>20220331</v>
      </c>
      <c r="F1959" t="s">
        <v>4699</v>
      </c>
      <c r="G1959" t="s">
        <v>4700</v>
      </c>
      <c r="H1959" t="s">
        <v>590</v>
      </c>
      <c r="I1959" t="s">
        <v>1462</v>
      </c>
      <c r="L1959">
        <v>2</v>
      </c>
      <c r="M1959">
        <v>2306</v>
      </c>
      <c r="N1959">
        <v>-2</v>
      </c>
      <c r="O1959">
        <v>-2306</v>
      </c>
      <c r="Z1959" s="3">
        <f t="shared" si="30"/>
        <v>1153</v>
      </c>
    </row>
    <row r="1960" spans="1:26" hidden="1">
      <c r="A1960" t="s">
        <v>706</v>
      </c>
      <c r="B1960" s="6">
        <v>44287</v>
      </c>
      <c r="C1960" s="6">
        <v>44651</v>
      </c>
      <c r="D1960">
        <v>20210401</v>
      </c>
      <c r="E1960">
        <v>20220331</v>
      </c>
      <c r="F1960" t="s">
        <v>4701</v>
      </c>
      <c r="G1960" t="s">
        <v>4702</v>
      </c>
      <c r="H1960" t="s">
        <v>590</v>
      </c>
      <c r="I1960" t="s">
        <v>1462</v>
      </c>
      <c r="L1960">
        <v>4</v>
      </c>
      <c r="M1960">
        <v>4800</v>
      </c>
      <c r="N1960">
        <v>-4</v>
      </c>
      <c r="O1960">
        <v>-4800</v>
      </c>
      <c r="Z1960" s="3">
        <f t="shared" si="30"/>
        <v>1200</v>
      </c>
    </row>
    <row r="1961" spans="1:26" hidden="1">
      <c r="A1961" t="s">
        <v>706</v>
      </c>
      <c r="B1961" s="6">
        <v>44287</v>
      </c>
      <c r="C1961" s="6">
        <v>44651</v>
      </c>
      <c r="D1961">
        <v>20210401</v>
      </c>
      <c r="E1961">
        <v>20220331</v>
      </c>
      <c r="F1961" t="s">
        <v>4703</v>
      </c>
      <c r="G1961" t="s">
        <v>4704</v>
      </c>
      <c r="H1961" t="s">
        <v>590</v>
      </c>
      <c r="I1961" t="s">
        <v>805</v>
      </c>
      <c r="L1961">
        <v>2</v>
      </c>
      <c r="M1961">
        <v>15600</v>
      </c>
      <c r="N1961">
        <v>-2</v>
      </c>
      <c r="O1961">
        <v>-15600</v>
      </c>
      <c r="Z1961" s="3">
        <f t="shared" si="30"/>
        <v>7800</v>
      </c>
    </row>
    <row r="1962" spans="1:26" hidden="1">
      <c r="A1962" t="s">
        <v>706</v>
      </c>
      <c r="B1962" s="6">
        <v>44287</v>
      </c>
      <c r="C1962" s="6">
        <v>44651</v>
      </c>
      <c r="D1962">
        <v>20210401</v>
      </c>
      <c r="E1962">
        <v>20220331</v>
      </c>
      <c r="F1962" t="s">
        <v>4705</v>
      </c>
      <c r="G1962" t="s">
        <v>4706</v>
      </c>
      <c r="H1962" t="s">
        <v>1973</v>
      </c>
      <c r="I1962" t="s">
        <v>805</v>
      </c>
      <c r="K1962">
        <v>3.01</v>
      </c>
      <c r="L1962">
        <v>19</v>
      </c>
      <c r="M1962">
        <v>31488</v>
      </c>
      <c r="N1962">
        <v>-19</v>
      </c>
      <c r="O1962">
        <v>-31491</v>
      </c>
      <c r="Y1962">
        <v>0.01</v>
      </c>
      <c r="Z1962" s="3">
        <f t="shared" si="30"/>
        <v>1657.421052631579</v>
      </c>
    </row>
    <row r="1963" spans="1:26" hidden="1">
      <c r="A1963" t="s">
        <v>706</v>
      </c>
      <c r="B1963" s="6">
        <v>44287</v>
      </c>
      <c r="C1963" s="6">
        <v>44651</v>
      </c>
      <c r="D1963">
        <v>20210401</v>
      </c>
      <c r="E1963">
        <v>20220331</v>
      </c>
      <c r="F1963" t="s">
        <v>4707</v>
      </c>
      <c r="G1963" t="s">
        <v>4708</v>
      </c>
      <c r="H1963" t="s">
        <v>590</v>
      </c>
      <c r="I1963" t="s">
        <v>1462</v>
      </c>
      <c r="L1963">
        <v>10</v>
      </c>
      <c r="M1963">
        <v>14250</v>
      </c>
      <c r="N1963">
        <v>-10</v>
      </c>
      <c r="O1963">
        <v>-14250</v>
      </c>
      <c r="Z1963" s="3">
        <f t="shared" si="30"/>
        <v>1425</v>
      </c>
    </row>
    <row r="1964" spans="1:26" hidden="1">
      <c r="A1964" t="s">
        <v>706</v>
      </c>
      <c r="B1964" s="6">
        <v>44287</v>
      </c>
      <c r="C1964" s="6">
        <v>44651</v>
      </c>
      <c r="D1964">
        <v>20210401</v>
      </c>
      <c r="E1964">
        <v>20220331</v>
      </c>
      <c r="F1964" t="s">
        <v>4709</v>
      </c>
      <c r="G1964" t="s">
        <v>4710</v>
      </c>
      <c r="H1964" t="s">
        <v>590</v>
      </c>
      <c r="I1964" t="s">
        <v>1462</v>
      </c>
      <c r="K1964">
        <v>0.02</v>
      </c>
      <c r="L1964">
        <v>8</v>
      </c>
      <c r="M1964">
        <v>30800</v>
      </c>
      <c r="N1964">
        <v>-8</v>
      </c>
      <c r="O1964">
        <v>-30800</v>
      </c>
      <c r="Y1964">
        <v>0.02</v>
      </c>
      <c r="Z1964" s="3">
        <f t="shared" si="30"/>
        <v>3850</v>
      </c>
    </row>
    <row r="1965" spans="1:26" hidden="1">
      <c r="A1965" t="s">
        <v>706</v>
      </c>
      <c r="B1965" s="6">
        <v>44287</v>
      </c>
      <c r="C1965" s="6">
        <v>44651</v>
      </c>
      <c r="D1965">
        <v>20210401</v>
      </c>
      <c r="E1965">
        <v>20220331</v>
      </c>
      <c r="F1965" t="s">
        <v>4711</v>
      </c>
      <c r="G1965" t="s">
        <v>4712</v>
      </c>
      <c r="H1965" t="s">
        <v>590</v>
      </c>
      <c r="I1965" t="s">
        <v>1462</v>
      </c>
      <c r="L1965">
        <v>2</v>
      </c>
      <c r="M1965">
        <v>7600</v>
      </c>
      <c r="N1965">
        <v>-2</v>
      </c>
      <c r="O1965">
        <v>-7600</v>
      </c>
      <c r="Z1965" s="3">
        <f t="shared" si="30"/>
        <v>3800</v>
      </c>
    </row>
    <row r="1966" spans="1:26" hidden="1">
      <c r="A1966" t="s">
        <v>706</v>
      </c>
      <c r="B1966" s="6">
        <v>44287</v>
      </c>
      <c r="C1966" s="6">
        <v>44651</v>
      </c>
      <c r="D1966">
        <v>20210401</v>
      </c>
      <c r="E1966">
        <v>20220331</v>
      </c>
      <c r="F1966" t="s">
        <v>4713</v>
      </c>
      <c r="G1966" t="s">
        <v>4714</v>
      </c>
      <c r="H1966" t="s">
        <v>590</v>
      </c>
      <c r="I1966" t="s">
        <v>1462</v>
      </c>
      <c r="L1966">
        <v>6</v>
      </c>
      <c r="M1966">
        <v>2820</v>
      </c>
      <c r="N1966">
        <v>-6</v>
      </c>
      <c r="O1966">
        <v>-2820</v>
      </c>
      <c r="Z1966" s="3">
        <f t="shared" si="30"/>
        <v>470</v>
      </c>
    </row>
    <row r="1967" spans="1:26" hidden="1">
      <c r="A1967" t="s">
        <v>706</v>
      </c>
      <c r="B1967" s="6">
        <v>44287</v>
      </c>
      <c r="C1967" s="6">
        <v>44651</v>
      </c>
      <c r="D1967">
        <v>20210401</v>
      </c>
      <c r="E1967">
        <v>20220331</v>
      </c>
      <c r="F1967" t="s">
        <v>4715</v>
      </c>
      <c r="G1967" t="s">
        <v>4716</v>
      </c>
      <c r="H1967" t="s">
        <v>590</v>
      </c>
      <c r="I1967" t="s">
        <v>1462</v>
      </c>
      <c r="N1967">
        <v>-1</v>
      </c>
      <c r="O1967">
        <v>-13750</v>
      </c>
      <c r="P1967">
        <v>1</v>
      </c>
      <c r="Q1967">
        <v>13750</v>
      </c>
      <c r="Z1967" s="3" t="e">
        <f t="shared" si="30"/>
        <v>#DIV/0!</v>
      </c>
    </row>
    <row r="1968" spans="1:26" hidden="1">
      <c r="A1968" t="s">
        <v>706</v>
      </c>
      <c r="B1968" s="6">
        <v>44287</v>
      </c>
      <c r="C1968" s="6">
        <v>44651</v>
      </c>
      <c r="D1968">
        <v>20210401</v>
      </c>
      <c r="E1968">
        <v>20220331</v>
      </c>
      <c r="F1968" t="s">
        <v>4717</v>
      </c>
      <c r="G1968" t="s">
        <v>4718</v>
      </c>
      <c r="H1968" t="s">
        <v>590</v>
      </c>
      <c r="I1968" t="s">
        <v>1462</v>
      </c>
      <c r="K1968">
        <v>0.03</v>
      </c>
      <c r="N1968">
        <v>-1</v>
      </c>
      <c r="O1968">
        <v>-155.01</v>
      </c>
      <c r="P1968">
        <v>1</v>
      </c>
      <c r="Q1968">
        <v>155.01</v>
      </c>
      <c r="Y1968">
        <v>0.03</v>
      </c>
      <c r="Z1968" s="3" t="e">
        <f t="shared" si="30"/>
        <v>#DIV/0!</v>
      </c>
    </row>
    <row r="1969" spans="1:26" hidden="1">
      <c r="A1969" t="s">
        <v>706</v>
      </c>
      <c r="B1969" s="6">
        <v>44287</v>
      </c>
      <c r="C1969" s="6">
        <v>44651</v>
      </c>
      <c r="D1969">
        <v>20210401</v>
      </c>
      <c r="E1969">
        <v>20220331</v>
      </c>
      <c r="F1969" t="s">
        <v>4719</v>
      </c>
      <c r="G1969" t="s">
        <v>4720</v>
      </c>
      <c r="H1969" t="s">
        <v>590</v>
      </c>
      <c r="I1969" t="s">
        <v>1462</v>
      </c>
      <c r="N1969">
        <v>-1</v>
      </c>
      <c r="O1969">
        <v>-5250</v>
      </c>
      <c r="P1969">
        <v>1</v>
      </c>
      <c r="Q1969">
        <v>5250</v>
      </c>
      <c r="Z1969" s="3" t="e">
        <f t="shared" si="30"/>
        <v>#DIV/0!</v>
      </c>
    </row>
    <row r="1970" spans="1:26" hidden="1">
      <c r="A1970" t="s">
        <v>706</v>
      </c>
      <c r="B1970" s="6">
        <v>44287</v>
      </c>
      <c r="C1970" s="6">
        <v>44651</v>
      </c>
      <c r="D1970">
        <v>20210401</v>
      </c>
      <c r="E1970">
        <v>20220331</v>
      </c>
      <c r="F1970" t="s">
        <v>4721</v>
      </c>
      <c r="G1970" t="s">
        <v>4722</v>
      </c>
      <c r="H1970" t="s">
        <v>590</v>
      </c>
      <c r="I1970" t="s">
        <v>1462</v>
      </c>
      <c r="K1970">
        <v>0.01</v>
      </c>
      <c r="L1970">
        <v>8</v>
      </c>
      <c r="M1970">
        <v>15200</v>
      </c>
      <c r="N1970">
        <v>-10</v>
      </c>
      <c r="O1970">
        <v>-19000</v>
      </c>
      <c r="P1970">
        <v>2</v>
      </c>
      <c r="Q1970">
        <v>3800</v>
      </c>
      <c r="Y1970">
        <v>0.01</v>
      </c>
      <c r="Z1970" s="3">
        <f t="shared" si="30"/>
        <v>1900</v>
      </c>
    </row>
    <row r="1971" spans="1:26" hidden="1">
      <c r="A1971" t="s">
        <v>706</v>
      </c>
      <c r="B1971" s="6">
        <v>44287</v>
      </c>
      <c r="C1971" s="6">
        <v>44651</v>
      </c>
      <c r="D1971">
        <v>20210401</v>
      </c>
      <c r="E1971">
        <v>20220331</v>
      </c>
      <c r="F1971" t="s">
        <v>4723</v>
      </c>
      <c r="G1971" t="s">
        <v>4724</v>
      </c>
      <c r="H1971" t="s">
        <v>590</v>
      </c>
      <c r="I1971" t="s">
        <v>1462</v>
      </c>
      <c r="K1971">
        <v>0.01</v>
      </c>
      <c r="L1971">
        <v>1</v>
      </c>
      <c r="M1971">
        <v>4750</v>
      </c>
      <c r="N1971">
        <v>-1</v>
      </c>
      <c r="O1971">
        <v>-4750</v>
      </c>
      <c r="Y1971">
        <v>0.01</v>
      </c>
      <c r="Z1971" s="3">
        <f t="shared" si="30"/>
        <v>4750</v>
      </c>
    </row>
    <row r="1972" spans="1:26" hidden="1">
      <c r="A1972" t="s">
        <v>706</v>
      </c>
      <c r="B1972" s="6">
        <v>44287</v>
      </c>
      <c r="C1972" s="6">
        <v>44651</v>
      </c>
      <c r="D1972">
        <v>20210401</v>
      </c>
      <c r="E1972">
        <v>20220331</v>
      </c>
      <c r="F1972" t="s">
        <v>4725</v>
      </c>
      <c r="G1972" t="s">
        <v>4726</v>
      </c>
      <c r="H1972" t="s">
        <v>590</v>
      </c>
      <c r="I1972" t="s">
        <v>1462</v>
      </c>
      <c r="L1972">
        <v>6</v>
      </c>
      <c r="M1972">
        <v>10200</v>
      </c>
      <c r="N1972">
        <v>-6</v>
      </c>
      <c r="O1972">
        <v>-10200</v>
      </c>
      <c r="Z1972" s="3">
        <f t="shared" si="30"/>
        <v>1700</v>
      </c>
    </row>
    <row r="1973" spans="1:26" hidden="1">
      <c r="A1973" t="s">
        <v>706</v>
      </c>
      <c r="B1973" s="6">
        <v>44287</v>
      </c>
      <c r="C1973" s="6">
        <v>44651</v>
      </c>
      <c r="D1973">
        <v>20210401</v>
      </c>
      <c r="E1973">
        <v>20220331</v>
      </c>
      <c r="F1973" t="s">
        <v>4727</v>
      </c>
      <c r="G1973" t="s">
        <v>4728</v>
      </c>
      <c r="H1973" t="s">
        <v>590</v>
      </c>
      <c r="I1973" t="s">
        <v>1462</v>
      </c>
      <c r="L1973">
        <v>6</v>
      </c>
      <c r="M1973">
        <v>2820</v>
      </c>
      <c r="N1973">
        <v>-6</v>
      </c>
      <c r="O1973">
        <v>-2820</v>
      </c>
      <c r="Z1973" s="3">
        <f t="shared" si="30"/>
        <v>470</v>
      </c>
    </row>
    <row r="1974" spans="1:26" hidden="1">
      <c r="A1974" t="s">
        <v>706</v>
      </c>
      <c r="B1974" s="6">
        <v>44287</v>
      </c>
      <c r="C1974" s="6">
        <v>44651</v>
      </c>
      <c r="D1974">
        <v>20210401</v>
      </c>
      <c r="E1974">
        <v>20220331</v>
      </c>
      <c r="F1974" t="s">
        <v>4729</v>
      </c>
      <c r="G1974" t="s">
        <v>4730</v>
      </c>
      <c r="H1974" t="s">
        <v>1973</v>
      </c>
      <c r="I1974" t="s">
        <v>805</v>
      </c>
      <c r="L1974">
        <v>18</v>
      </c>
      <c r="M1974">
        <v>7200</v>
      </c>
      <c r="N1974">
        <v>-18</v>
      </c>
      <c r="O1974">
        <v>-7200</v>
      </c>
      <c r="Z1974" s="3">
        <f t="shared" si="30"/>
        <v>400</v>
      </c>
    </row>
    <row r="1975" spans="1:26" hidden="1">
      <c r="A1975" t="s">
        <v>706</v>
      </c>
      <c r="B1975" s="6">
        <v>44287</v>
      </c>
      <c r="C1975" s="6">
        <v>44651</v>
      </c>
      <c r="D1975">
        <v>20210401</v>
      </c>
      <c r="E1975">
        <v>20220331</v>
      </c>
      <c r="F1975" t="s">
        <v>4731</v>
      </c>
      <c r="G1975" t="s">
        <v>4732</v>
      </c>
      <c r="H1975" t="s">
        <v>590</v>
      </c>
      <c r="I1975" t="s">
        <v>1462</v>
      </c>
      <c r="L1975">
        <v>10</v>
      </c>
      <c r="M1975">
        <v>9500</v>
      </c>
      <c r="N1975">
        <v>-10</v>
      </c>
      <c r="O1975">
        <v>-9500</v>
      </c>
      <c r="Z1975" s="3">
        <f t="shared" si="30"/>
        <v>950</v>
      </c>
    </row>
    <row r="1976" spans="1:26" hidden="1">
      <c r="A1976" t="s">
        <v>706</v>
      </c>
      <c r="B1976" s="6">
        <v>44287</v>
      </c>
      <c r="C1976" s="6">
        <v>44651</v>
      </c>
      <c r="D1976">
        <v>20210401</v>
      </c>
      <c r="E1976">
        <v>20220331</v>
      </c>
      <c r="F1976" t="s">
        <v>4733</v>
      </c>
      <c r="G1976" t="s">
        <v>4734</v>
      </c>
      <c r="H1976" t="s">
        <v>590</v>
      </c>
      <c r="I1976" t="s">
        <v>1462</v>
      </c>
      <c r="L1976">
        <v>4</v>
      </c>
      <c r="M1976">
        <v>10600</v>
      </c>
      <c r="N1976">
        <v>-5</v>
      </c>
      <c r="O1976">
        <v>-13250.04</v>
      </c>
      <c r="P1976">
        <v>1</v>
      </c>
      <c r="Q1976">
        <v>2650</v>
      </c>
      <c r="Y1976">
        <v>-0.04</v>
      </c>
      <c r="Z1976" s="3">
        <f t="shared" si="30"/>
        <v>2650.01</v>
      </c>
    </row>
    <row r="1977" spans="1:26" hidden="1">
      <c r="A1977" t="s">
        <v>706</v>
      </c>
      <c r="B1977" s="6">
        <v>44287</v>
      </c>
      <c r="C1977" s="6">
        <v>44651</v>
      </c>
      <c r="D1977">
        <v>20210401</v>
      </c>
      <c r="E1977">
        <v>20220331</v>
      </c>
      <c r="F1977" t="s">
        <v>4735</v>
      </c>
      <c r="G1977" t="s">
        <v>4736</v>
      </c>
      <c r="H1977" t="s">
        <v>590</v>
      </c>
      <c r="I1977" t="s">
        <v>1462</v>
      </c>
      <c r="L1977">
        <v>10</v>
      </c>
      <c r="M1977">
        <v>13650</v>
      </c>
      <c r="N1977">
        <v>-12</v>
      </c>
      <c r="O1977">
        <v>-16350</v>
      </c>
      <c r="P1977">
        <v>2</v>
      </c>
      <c r="Q1977">
        <v>2700</v>
      </c>
      <c r="Z1977" s="3">
        <f t="shared" si="30"/>
        <v>1365</v>
      </c>
    </row>
    <row r="1978" spans="1:26" hidden="1">
      <c r="A1978" t="s">
        <v>706</v>
      </c>
      <c r="B1978" s="6">
        <v>44287</v>
      </c>
      <c r="C1978" s="6">
        <v>44651</v>
      </c>
      <c r="D1978">
        <v>20210401</v>
      </c>
      <c r="E1978">
        <v>20220331</v>
      </c>
      <c r="F1978" t="s">
        <v>4737</v>
      </c>
      <c r="G1978" t="s">
        <v>4738</v>
      </c>
      <c r="H1978" t="s">
        <v>590</v>
      </c>
      <c r="I1978" t="s">
        <v>1462</v>
      </c>
      <c r="L1978">
        <v>2</v>
      </c>
      <c r="M1978">
        <v>2150</v>
      </c>
      <c r="N1978">
        <v>-2</v>
      </c>
      <c r="O1978">
        <v>-2150</v>
      </c>
      <c r="Z1978" s="3">
        <f t="shared" si="30"/>
        <v>1075</v>
      </c>
    </row>
    <row r="1979" spans="1:26" hidden="1">
      <c r="A1979" t="s">
        <v>706</v>
      </c>
      <c r="B1979" s="6">
        <v>44287</v>
      </c>
      <c r="C1979" s="6">
        <v>44651</v>
      </c>
      <c r="D1979">
        <v>20210401</v>
      </c>
      <c r="E1979">
        <v>20220331</v>
      </c>
      <c r="F1979" t="s">
        <v>4739</v>
      </c>
      <c r="G1979" t="s">
        <v>4740</v>
      </c>
      <c r="H1979" t="s">
        <v>590</v>
      </c>
      <c r="I1979" t="s">
        <v>1462</v>
      </c>
      <c r="L1979">
        <v>1</v>
      </c>
      <c r="M1979">
        <v>1850</v>
      </c>
      <c r="N1979">
        <v>-1</v>
      </c>
      <c r="O1979">
        <v>-1850</v>
      </c>
      <c r="Z1979" s="3">
        <f t="shared" si="30"/>
        <v>1850</v>
      </c>
    </row>
    <row r="1980" spans="1:26" hidden="1">
      <c r="A1980" t="s">
        <v>706</v>
      </c>
      <c r="B1980" s="6">
        <v>44287</v>
      </c>
      <c r="C1980" s="6">
        <v>44651</v>
      </c>
      <c r="D1980">
        <v>20210401</v>
      </c>
      <c r="E1980">
        <v>20220331</v>
      </c>
      <c r="F1980" t="s">
        <v>4741</v>
      </c>
      <c r="G1980" t="s">
        <v>4742</v>
      </c>
      <c r="H1980" t="s">
        <v>590</v>
      </c>
      <c r="I1980" t="s">
        <v>1462</v>
      </c>
      <c r="L1980">
        <v>1</v>
      </c>
      <c r="M1980">
        <v>2750</v>
      </c>
      <c r="N1980">
        <v>-1</v>
      </c>
      <c r="O1980">
        <v>-2750</v>
      </c>
      <c r="Z1980" s="3">
        <f t="shared" si="30"/>
        <v>2750</v>
      </c>
    </row>
    <row r="1981" spans="1:26" hidden="1">
      <c r="A1981" t="s">
        <v>706</v>
      </c>
      <c r="B1981" s="6">
        <v>44287</v>
      </c>
      <c r="C1981" s="6">
        <v>44651</v>
      </c>
      <c r="D1981">
        <v>20210401</v>
      </c>
      <c r="E1981">
        <v>20220331</v>
      </c>
      <c r="F1981" t="s">
        <v>4743</v>
      </c>
      <c r="G1981" t="s">
        <v>4744</v>
      </c>
      <c r="H1981" t="s">
        <v>590</v>
      </c>
      <c r="I1981" t="s">
        <v>1462</v>
      </c>
      <c r="L1981">
        <v>1</v>
      </c>
      <c r="M1981">
        <v>1750</v>
      </c>
      <c r="N1981">
        <v>-1</v>
      </c>
      <c r="O1981">
        <v>-1750</v>
      </c>
      <c r="Z1981" s="3">
        <f t="shared" si="30"/>
        <v>1750</v>
      </c>
    </row>
    <row r="1982" spans="1:26" hidden="1">
      <c r="A1982" t="s">
        <v>706</v>
      </c>
      <c r="B1982" s="6">
        <v>44287</v>
      </c>
      <c r="C1982" s="6">
        <v>44651</v>
      </c>
      <c r="D1982">
        <v>20210401</v>
      </c>
      <c r="E1982">
        <v>20220331</v>
      </c>
      <c r="F1982" t="s">
        <v>4745</v>
      </c>
      <c r="G1982" t="s">
        <v>4746</v>
      </c>
      <c r="H1982" t="s">
        <v>590</v>
      </c>
      <c r="I1982" t="s">
        <v>1462</v>
      </c>
      <c r="L1982">
        <v>6</v>
      </c>
      <c r="M1982">
        <v>660</v>
      </c>
      <c r="N1982">
        <v>-6</v>
      </c>
      <c r="O1982">
        <v>-660</v>
      </c>
      <c r="Z1982" s="3">
        <f t="shared" si="30"/>
        <v>110</v>
      </c>
    </row>
    <row r="1983" spans="1:26" hidden="1">
      <c r="A1983" t="s">
        <v>706</v>
      </c>
      <c r="B1983" s="6">
        <v>44287</v>
      </c>
      <c r="C1983" s="6">
        <v>44651</v>
      </c>
      <c r="D1983">
        <v>20210401</v>
      </c>
      <c r="E1983">
        <v>20220331</v>
      </c>
      <c r="F1983" t="s">
        <v>4747</v>
      </c>
      <c r="G1983" t="s">
        <v>4748</v>
      </c>
      <c r="H1983" t="s">
        <v>590</v>
      </c>
      <c r="I1983" t="s">
        <v>1462</v>
      </c>
      <c r="L1983">
        <v>4</v>
      </c>
      <c r="M1983">
        <v>45000</v>
      </c>
      <c r="N1983">
        <v>-4</v>
      </c>
      <c r="O1983">
        <v>-45000</v>
      </c>
      <c r="Z1983" s="3">
        <f t="shared" si="30"/>
        <v>11250</v>
      </c>
    </row>
    <row r="1984" spans="1:26" hidden="1">
      <c r="A1984" t="s">
        <v>706</v>
      </c>
      <c r="B1984" s="6">
        <v>44287</v>
      </c>
      <c r="C1984" s="6">
        <v>44651</v>
      </c>
      <c r="D1984">
        <v>20210401</v>
      </c>
      <c r="E1984">
        <v>20220331</v>
      </c>
      <c r="F1984" t="s">
        <v>4749</v>
      </c>
      <c r="G1984" t="s">
        <v>4750</v>
      </c>
      <c r="H1984" t="s">
        <v>590</v>
      </c>
      <c r="I1984" t="s">
        <v>1462</v>
      </c>
      <c r="N1984">
        <v>-1</v>
      </c>
      <c r="O1984">
        <v>-1000</v>
      </c>
      <c r="P1984">
        <v>1</v>
      </c>
      <c r="Q1984">
        <v>1000</v>
      </c>
      <c r="Z1984" s="3" t="e">
        <f t="shared" si="30"/>
        <v>#DIV/0!</v>
      </c>
    </row>
    <row r="1985" spans="1:26" hidden="1">
      <c r="A1985" t="s">
        <v>706</v>
      </c>
      <c r="B1985" s="6">
        <v>44287</v>
      </c>
      <c r="C1985" s="6">
        <v>44651</v>
      </c>
      <c r="D1985">
        <v>20210401</v>
      </c>
      <c r="E1985">
        <v>20220331</v>
      </c>
      <c r="F1985" t="s">
        <v>4751</v>
      </c>
      <c r="G1985" t="s">
        <v>4752</v>
      </c>
      <c r="H1985" t="s">
        <v>590</v>
      </c>
      <c r="I1985" t="s">
        <v>1462</v>
      </c>
      <c r="L1985">
        <v>4</v>
      </c>
      <c r="M1985">
        <v>4300</v>
      </c>
      <c r="N1985">
        <v>-4</v>
      </c>
      <c r="O1985">
        <v>-4300</v>
      </c>
      <c r="Z1985" s="3">
        <f t="shared" si="30"/>
        <v>1075</v>
      </c>
    </row>
    <row r="1986" spans="1:26" hidden="1">
      <c r="A1986" t="s">
        <v>706</v>
      </c>
      <c r="B1986" s="6">
        <v>44287</v>
      </c>
      <c r="C1986" s="6">
        <v>44651</v>
      </c>
      <c r="D1986">
        <v>20210401</v>
      </c>
      <c r="E1986">
        <v>20220331</v>
      </c>
      <c r="F1986" t="s">
        <v>4753</v>
      </c>
      <c r="G1986" t="s">
        <v>4754</v>
      </c>
      <c r="H1986" t="s">
        <v>590</v>
      </c>
      <c r="I1986" t="s">
        <v>1462</v>
      </c>
      <c r="L1986">
        <v>2</v>
      </c>
      <c r="M1986">
        <v>2150</v>
      </c>
      <c r="N1986">
        <v>-2</v>
      </c>
      <c r="O1986">
        <v>-2150</v>
      </c>
      <c r="Z1986" s="3">
        <f t="shared" si="30"/>
        <v>1075</v>
      </c>
    </row>
    <row r="1987" spans="1:26" hidden="1">
      <c r="A1987" t="s">
        <v>706</v>
      </c>
      <c r="B1987" s="6">
        <v>44287</v>
      </c>
      <c r="C1987" s="6">
        <v>44651</v>
      </c>
      <c r="D1987">
        <v>20210401</v>
      </c>
      <c r="E1987">
        <v>20220331</v>
      </c>
      <c r="F1987" t="s">
        <v>4755</v>
      </c>
      <c r="G1987" t="s">
        <v>4756</v>
      </c>
      <c r="H1987" t="s">
        <v>3319</v>
      </c>
      <c r="I1987" t="s">
        <v>1462</v>
      </c>
      <c r="L1987">
        <v>50</v>
      </c>
      <c r="M1987">
        <v>5770</v>
      </c>
      <c r="N1987">
        <v>-50</v>
      </c>
      <c r="O1987">
        <v>-5770</v>
      </c>
      <c r="Z1987" s="3">
        <f t="shared" ref="Z1987:Z2050" si="31">IFERROR((O1987+Q1987)/(N1987+P1987),Y1987/X1987)</f>
        <v>115.4</v>
      </c>
    </row>
    <row r="1988" spans="1:26" hidden="1">
      <c r="A1988" t="s">
        <v>706</v>
      </c>
      <c r="B1988" s="6">
        <v>44287</v>
      </c>
      <c r="C1988" s="6">
        <v>44651</v>
      </c>
      <c r="D1988">
        <v>20210401</v>
      </c>
      <c r="E1988">
        <v>20220331</v>
      </c>
      <c r="F1988" t="s">
        <v>4757</v>
      </c>
      <c r="G1988" t="s">
        <v>4758</v>
      </c>
      <c r="H1988" t="s">
        <v>590</v>
      </c>
      <c r="I1988" t="s">
        <v>1462</v>
      </c>
      <c r="L1988">
        <v>6</v>
      </c>
      <c r="M1988">
        <v>10200</v>
      </c>
      <c r="N1988">
        <v>-6</v>
      </c>
      <c r="O1988">
        <v>-10200</v>
      </c>
      <c r="Z1988" s="3">
        <f t="shared" si="31"/>
        <v>1700</v>
      </c>
    </row>
    <row r="1989" spans="1:26" hidden="1">
      <c r="A1989" t="s">
        <v>706</v>
      </c>
      <c r="B1989" s="6">
        <v>44287</v>
      </c>
      <c r="C1989" s="6">
        <v>44651</v>
      </c>
      <c r="D1989">
        <v>20210401</v>
      </c>
      <c r="E1989">
        <v>20220331</v>
      </c>
      <c r="F1989" t="s">
        <v>4759</v>
      </c>
      <c r="G1989" t="s">
        <v>4760</v>
      </c>
      <c r="H1989" t="s">
        <v>590</v>
      </c>
      <c r="I1989" t="s">
        <v>1462</v>
      </c>
      <c r="L1989">
        <v>3</v>
      </c>
      <c r="M1989">
        <v>59250</v>
      </c>
      <c r="N1989">
        <v>-4</v>
      </c>
      <c r="O1989">
        <v>-79250</v>
      </c>
      <c r="P1989">
        <v>1</v>
      </c>
      <c r="Q1989">
        <v>20000</v>
      </c>
      <c r="Z1989" s="3">
        <f t="shared" si="31"/>
        <v>19750</v>
      </c>
    </row>
    <row r="1990" spans="1:26" hidden="1">
      <c r="A1990" t="s">
        <v>706</v>
      </c>
      <c r="B1990" s="6">
        <v>44287</v>
      </c>
      <c r="C1990" s="6">
        <v>44651</v>
      </c>
      <c r="D1990">
        <v>20210401</v>
      </c>
      <c r="E1990">
        <v>20220331</v>
      </c>
      <c r="F1990" t="s">
        <v>4761</v>
      </c>
      <c r="G1990" t="s">
        <v>4762</v>
      </c>
      <c r="H1990" t="s">
        <v>590</v>
      </c>
      <c r="I1990" t="s">
        <v>1462</v>
      </c>
      <c r="N1990">
        <v>-1</v>
      </c>
      <c r="O1990">
        <v>-725</v>
      </c>
      <c r="P1990">
        <v>1</v>
      </c>
      <c r="Q1990">
        <v>725</v>
      </c>
      <c r="Z1990" s="3" t="e">
        <f t="shared" si="31"/>
        <v>#DIV/0!</v>
      </c>
    </row>
    <row r="1991" spans="1:26" hidden="1">
      <c r="A1991" t="s">
        <v>706</v>
      </c>
      <c r="B1991" s="6">
        <v>44287</v>
      </c>
      <c r="C1991" s="6">
        <v>44651</v>
      </c>
      <c r="D1991">
        <v>20210401</v>
      </c>
      <c r="E1991">
        <v>20220331</v>
      </c>
      <c r="F1991" t="s">
        <v>4763</v>
      </c>
      <c r="G1991" t="s">
        <v>4764</v>
      </c>
      <c r="H1991" t="s">
        <v>590</v>
      </c>
      <c r="I1991" t="s">
        <v>1462</v>
      </c>
      <c r="N1991">
        <v>-1</v>
      </c>
      <c r="O1991">
        <v>-5000</v>
      </c>
      <c r="P1991">
        <v>1</v>
      </c>
      <c r="Q1991">
        <v>5000</v>
      </c>
      <c r="Z1991" s="3" t="e">
        <f t="shared" si="31"/>
        <v>#DIV/0!</v>
      </c>
    </row>
    <row r="1992" spans="1:26" hidden="1">
      <c r="A1992" t="s">
        <v>706</v>
      </c>
      <c r="B1992" s="6">
        <v>44287</v>
      </c>
      <c r="C1992" s="6">
        <v>44651</v>
      </c>
      <c r="D1992">
        <v>20210401</v>
      </c>
      <c r="E1992">
        <v>20220331</v>
      </c>
      <c r="F1992" t="s">
        <v>4765</v>
      </c>
      <c r="G1992" t="s">
        <v>4766</v>
      </c>
      <c r="H1992" t="s">
        <v>590</v>
      </c>
      <c r="I1992" t="s">
        <v>1462</v>
      </c>
      <c r="N1992">
        <v>-1</v>
      </c>
      <c r="O1992">
        <v>-825</v>
      </c>
      <c r="P1992">
        <v>1</v>
      </c>
      <c r="Q1992">
        <v>825</v>
      </c>
      <c r="Z1992" s="3" t="e">
        <f t="shared" si="31"/>
        <v>#DIV/0!</v>
      </c>
    </row>
    <row r="1993" spans="1:26" hidden="1">
      <c r="A1993" t="s">
        <v>706</v>
      </c>
      <c r="B1993" s="6">
        <v>44287</v>
      </c>
      <c r="C1993" s="6">
        <v>44651</v>
      </c>
      <c r="D1993">
        <v>20210401</v>
      </c>
      <c r="E1993">
        <v>20220331</v>
      </c>
      <c r="F1993" t="s">
        <v>4767</v>
      </c>
      <c r="G1993" t="s">
        <v>4768</v>
      </c>
      <c r="H1993" t="s">
        <v>590</v>
      </c>
      <c r="I1993" t="s">
        <v>1462</v>
      </c>
      <c r="L1993">
        <v>50</v>
      </c>
      <c r="M1993">
        <v>5500</v>
      </c>
      <c r="N1993">
        <v>-50</v>
      </c>
      <c r="O1993">
        <v>-5500</v>
      </c>
      <c r="Z1993" s="3">
        <f t="shared" si="31"/>
        <v>110</v>
      </c>
    </row>
    <row r="1994" spans="1:26" hidden="1">
      <c r="A1994" t="s">
        <v>706</v>
      </c>
      <c r="B1994" s="6">
        <v>44287</v>
      </c>
      <c r="C1994" s="6">
        <v>44651</v>
      </c>
      <c r="D1994">
        <v>20210401</v>
      </c>
      <c r="E1994">
        <v>20220331</v>
      </c>
      <c r="F1994" t="s">
        <v>4769</v>
      </c>
      <c r="G1994" t="s">
        <v>4770</v>
      </c>
      <c r="H1994" t="s">
        <v>590</v>
      </c>
      <c r="I1994" t="s">
        <v>1462</v>
      </c>
      <c r="N1994">
        <v>-1</v>
      </c>
      <c r="O1994">
        <v>-12750</v>
      </c>
      <c r="P1994">
        <v>1</v>
      </c>
      <c r="Q1994">
        <v>12750</v>
      </c>
      <c r="Z1994" s="3" t="e">
        <f t="shared" si="31"/>
        <v>#DIV/0!</v>
      </c>
    </row>
    <row r="1995" spans="1:26" hidden="1">
      <c r="A1995" t="s">
        <v>706</v>
      </c>
      <c r="B1995" s="6">
        <v>44287</v>
      </c>
      <c r="C1995" s="6">
        <v>44651</v>
      </c>
      <c r="D1995">
        <v>20210401</v>
      </c>
      <c r="E1995">
        <v>20220331</v>
      </c>
      <c r="F1995" t="s">
        <v>4771</v>
      </c>
      <c r="G1995" t="s">
        <v>4772</v>
      </c>
      <c r="H1995" t="s">
        <v>590</v>
      </c>
      <c r="I1995" t="s">
        <v>1462</v>
      </c>
      <c r="L1995">
        <v>20</v>
      </c>
      <c r="M1995">
        <v>576</v>
      </c>
      <c r="N1995">
        <v>-20</v>
      </c>
      <c r="O1995">
        <v>-576.02</v>
      </c>
      <c r="Y1995">
        <v>-0.02</v>
      </c>
      <c r="Z1995" s="3">
        <f t="shared" si="31"/>
        <v>28.800999999999998</v>
      </c>
    </row>
    <row r="1996" spans="1:26" hidden="1">
      <c r="A1996" t="s">
        <v>706</v>
      </c>
      <c r="B1996" s="6">
        <v>44287</v>
      </c>
      <c r="C1996" s="6">
        <v>44651</v>
      </c>
      <c r="D1996">
        <v>20210401</v>
      </c>
      <c r="E1996">
        <v>20220331</v>
      </c>
      <c r="F1996" t="s">
        <v>4773</v>
      </c>
      <c r="G1996" t="s">
        <v>4774</v>
      </c>
      <c r="I1996" t="s">
        <v>1462</v>
      </c>
      <c r="L1996">
        <v>2</v>
      </c>
      <c r="M1996">
        <v>1750</v>
      </c>
      <c r="N1996">
        <v>-2</v>
      </c>
      <c r="O1996">
        <v>-1750</v>
      </c>
      <c r="Z1996" s="3">
        <f t="shared" si="31"/>
        <v>875</v>
      </c>
    </row>
    <row r="1997" spans="1:26" hidden="1">
      <c r="A1997" t="s">
        <v>706</v>
      </c>
      <c r="B1997" s="6">
        <v>44287</v>
      </c>
      <c r="C1997" s="6">
        <v>44651</v>
      </c>
      <c r="D1997">
        <v>20210401</v>
      </c>
      <c r="E1997">
        <v>20220331</v>
      </c>
      <c r="F1997" t="s">
        <v>4775</v>
      </c>
      <c r="G1997" t="s">
        <v>4776</v>
      </c>
      <c r="H1997" t="s">
        <v>590</v>
      </c>
      <c r="I1997" t="s">
        <v>1462</v>
      </c>
      <c r="L1997">
        <v>4</v>
      </c>
      <c r="M1997">
        <v>1800</v>
      </c>
      <c r="N1997">
        <v>-4</v>
      </c>
      <c r="O1997">
        <v>-1800</v>
      </c>
      <c r="Z1997" s="3">
        <f t="shared" si="31"/>
        <v>450</v>
      </c>
    </row>
    <row r="1998" spans="1:26" hidden="1">
      <c r="A1998" t="s">
        <v>706</v>
      </c>
      <c r="B1998" s="6">
        <v>44287</v>
      </c>
      <c r="C1998" s="6">
        <v>44651</v>
      </c>
      <c r="D1998">
        <v>20210401</v>
      </c>
      <c r="E1998">
        <v>20220331</v>
      </c>
      <c r="F1998" t="s">
        <v>4777</v>
      </c>
      <c r="G1998" t="s">
        <v>4778</v>
      </c>
      <c r="H1998" t="s">
        <v>590</v>
      </c>
      <c r="I1998" t="s">
        <v>1462</v>
      </c>
      <c r="N1998">
        <v>-1</v>
      </c>
      <c r="O1998">
        <v>-2475</v>
      </c>
      <c r="P1998">
        <v>1</v>
      </c>
      <c r="Q1998">
        <v>2475</v>
      </c>
      <c r="Z1998" s="3" t="e">
        <f t="shared" si="31"/>
        <v>#DIV/0!</v>
      </c>
    </row>
    <row r="1999" spans="1:26" hidden="1">
      <c r="A1999" t="s">
        <v>706</v>
      </c>
      <c r="B1999" s="6">
        <v>44287</v>
      </c>
      <c r="C1999" s="6">
        <v>44651</v>
      </c>
      <c r="D1999">
        <v>20210401</v>
      </c>
      <c r="E1999">
        <v>20220331</v>
      </c>
      <c r="F1999" t="s">
        <v>4779</v>
      </c>
      <c r="G1999" t="s">
        <v>4780</v>
      </c>
      <c r="H1999" t="s">
        <v>590</v>
      </c>
      <c r="I1999" t="s">
        <v>1462</v>
      </c>
      <c r="L1999">
        <v>4</v>
      </c>
      <c r="M1999">
        <v>1900</v>
      </c>
      <c r="N1999">
        <v>-6</v>
      </c>
      <c r="O1999">
        <v>-2850</v>
      </c>
      <c r="P1999">
        <v>2</v>
      </c>
      <c r="Q1999">
        <v>950</v>
      </c>
      <c r="Z1999" s="3">
        <f t="shared" si="31"/>
        <v>475</v>
      </c>
    </row>
    <row r="2000" spans="1:26" hidden="1">
      <c r="A2000" t="s">
        <v>706</v>
      </c>
      <c r="B2000" s="6">
        <v>44287</v>
      </c>
      <c r="C2000" s="6">
        <v>44651</v>
      </c>
      <c r="D2000">
        <v>20210401</v>
      </c>
      <c r="E2000">
        <v>20220331</v>
      </c>
      <c r="F2000" t="s">
        <v>4781</v>
      </c>
      <c r="G2000" t="s">
        <v>4782</v>
      </c>
      <c r="H2000" t="s">
        <v>590</v>
      </c>
      <c r="I2000" t="s">
        <v>1462</v>
      </c>
      <c r="N2000">
        <v>-1</v>
      </c>
      <c r="O2000">
        <v>-2675</v>
      </c>
      <c r="P2000">
        <v>1</v>
      </c>
      <c r="Q2000">
        <v>2675</v>
      </c>
      <c r="Z2000" s="3" t="e">
        <f t="shared" si="31"/>
        <v>#DIV/0!</v>
      </c>
    </row>
    <row r="2001" spans="1:26" hidden="1">
      <c r="A2001" t="s">
        <v>706</v>
      </c>
      <c r="B2001" s="6">
        <v>44287</v>
      </c>
      <c r="C2001" s="6">
        <v>44651</v>
      </c>
      <c r="D2001">
        <v>20210401</v>
      </c>
      <c r="E2001">
        <v>20220331</v>
      </c>
      <c r="F2001" t="s">
        <v>4783</v>
      </c>
      <c r="G2001" t="s">
        <v>4784</v>
      </c>
      <c r="H2001" t="s">
        <v>590</v>
      </c>
      <c r="I2001" t="s">
        <v>1462</v>
      </c>
      <c r="N2001">
        <v>-4</v>
      </c>
      <c r="O2001">
        <v>-100</v>
      </c>
      <c r="P2001">
        <v>4</v>
      </c>
      <c r="Q2001">
        <v>100</v>
      </c>
      <c r="Z2001" s="3" t="e">
        <f t="shared" si="31"/>
        <v>#DIV/0!</v>
      </c>
    </row>
    <row r="2002" spans="1:26" hidden="1">
      <c r="A2002" t="s">
        <v>706</v>
      </c>
      <c r="B2002" s="6">
        <v>44287</v>
      </c>
      <c r="C2002" s="6">
        <v>44651</v>
      </c>
      <c r="D2002">
        <v>20210401</v>
      </c>
      <c r="E2002">
        <v>20220331</v>
      </c>
      <c r="F2002" t="s">
        <v>4785</v>
      </c>
      <c r="G2002" t="s">
        <v>4786</v>
      </c>
      <c r="H2002" t="s">
        <v>590</v>
      </c>
      <c r="I2002" t="s">
        <v>805</v>
      </c>
      <c r="L2002">
        <v>3</v>
      </c>
      <c r="M2002">
        <v>28200</v>
      </c>
      <c r="N2002">
        <v>-3</v>
      </c>
      <c r="O2002">
        <v>-28200</v>
      </c>
      <c r="Z2002" s="3">
        <f t="shared" si="31"/>
        <v>9400</v>
      </c>
    </row>
    <row r="2003" spans="1:26" hidden="1">
      <c r="A2003" t="s">
        <v>706</v>
      </c>
      <c r="B2003" s="6">
        <v>44287</v>
      </c>
      <c r="C2003" s="6">
        <v>44651</v>
      </c>
      <c r="D2003">
        <v>20210401</v>
      </c>
      <c r="E2003">
        <v>20220331</v>
      </c>
      <c r="F2003" t="s">
        <v>4787</v>
      </c>
      <c r="G2003" t="s">
        <v>4788</v>
      </c>
      <c r="H2003" t="s">
        <v>590</v>
      </c>
      <c r="I2003" t="s">
        <v>1462</v>
      </c>
      <c r="L2003">
        <v>4</v>
      </c>
      <c r="M2003">
        <v>1200</v>
      </c>
      <c r="N2003">
        <v>-4</v>
      </c>
      <c r="O2003">
        <v>-1200</v>
      </c>
      <c r="Z2003" s="3">
        <f t="shared" si="31"/>
        <v>300</v>
      </c>
    </row>
    <row r="2004" spans="1:26" hidden="1">
      <c r="A2004" t="s">
        <v>706</v>
      </c>
      <c r="B2004" s="6">
        <v>44287</v>
      </c>
      <c r="C2004" s="6">
        <v>44651</v>
      </c>
      <c r="D2004">
        <v>20210401</v>
      </c>
      <c r="E2004">
        <v>20220331</v>
      </c>
      <c r="F2004" t="s">
        <v>4789</v>
      </c>
      <c r="G2004" t="s">
        <v>4790</v>
      </c>
      <c r="H2004" t="s">
        <v>613</v>
      </c>
      <c r="I2004" t="s">
        <v>1462</v>
      </c>
      <c r="L2004">
        <v>5.92</v>
      </c>
      <c r="M2004">
        <v>2989.6</v>
      </c>
      <c r="N2004">
        <v>-5.92</v>
      </c>
      <c r="O2004">
        <v>-2989.6</v>
      </c>
      <c r="Z2004" s="3">
        <f t="shared" si="31"/>
        <v>505</v>
      </c>
    </row>
    <row r="2005" spans="1:26" hidden="1">
      <c r="A2005" t="s">
        <v>706</v>
      </c>
      <c r="B2005" s="6">
        <v>44287</v>
      </c>
      <c r="C2005" s="6">
        <v>44651</v>
      </c>
      <c r="D2005">
        <v>20210401</v>
      </c>
      <c r="E2005">
        <v>20220331</v>
      </c>
      <c r="F2005" t="s">
        <v>4791</v>
      </c>
      <c r="G2005" t="s">
        <v>4792</v>
      </c>
      <c r="H2005" t="s">
        <v>590</v>
      </c>
      <c r="I2005" t="s">
        <v>1462</v>
      </c>
      <c r="L2005">
        <v>1</v>
      </c>
      <c r="M2005">
        <v>16320</v>
      </c>
      <c r="N2005">
        <v>-1</v>
      </c>
      <c r="O2005">
        <v>-16320</v>
      </c>
      <c r="Z2005" s="3">
        <f t="shared" si="31"/>
        <v>16320</v>
      </c>
    </row>
    <row r="2006" spans="1:26" hidden="1">
      <c r="A2006" t="s">
        <v>706</v>
      </c>
      <c r="B2006" s="6">
        <v>44287</v>
      </c>
      <c r="C2006" s="6">
        <v>44651</v>
      </c>
      <c r="D2006">
        <v>20210401</v>
      </c>
      <c r="E2006">
        <v>20220331</v>
      </c>
      <c r="F2006" t="s">
        <v>4793</v>
      </c>
      <c r="G2006" t="s">
        <v>4794</v>
      </c>
      <c r="H2006" t="s">
        <v>590</v>
      </c>
      <c r="I2006" t="s">
        <v>1462</v>
      </c>
      <c r="L2006">
        <v>4</v>
      </c>
      <c r="M2006">
        <v>2800</v>
      </c>
      <c r="N2006">
        <v>-4</v>
      </c>
      <c r="O2006">
        <v>-2800</v>
      </c>
      <c r="Z2006" s="3">
        <f t="shared" si="31"/>
        <v>700</v>
      </c>
    </row>
    <row r="2007" spans="1:26" hidden="1">
      <c r="A2007" t="s">
        <v>706</v>
      </c>
      <c r="B2007" s="6">
        <v>44287</v>
      </c>
      <c r="C2007" s="6">
        <v>44651</v>
      </c>
      <c r="D2007">
        <v>20210401</v>
      </c>
      <c r="E2007">
        <v>20220331</v>
      </c>
      <c r="F2007" t="s">
        <v>4795</v>
      </c>
      <c r="G2007" t="s">
        <v>4796</v>
      </c>
      <c r="H2007" t="s">
        <v>590</v>
      </c>
      <c r="I2007" t="s">
        <v>1462</v>
      </c>
      <c r="L2007">
        <v>2</v>
      </c>
      <c r="M2007">
        <v>900</v>
      </c>
      <c r="N2007">
        <v>-2</v>
      </c>
      <c r="O2007">
        <v>-900</v>
      </c>
      <c r="Z2007" s="3">
        <f t="shared" si="31"/>
        <v>450</v>
      </c>
    </row>
    <row r="2008" spans="1:26" hidden="1">
      <c r="A2008" t="s">
        <v>706</v>
      </c>
      <c r="B2008" s="6">
        <v>44287</v>
      </c>
      <c r="C2008" s="6">
        <v>44651</v>
      </c>
      <c r="D2008">
        <v>20210401</v>
      </c>
      <c r="E2008">
        <v>20220331</v>
      </c>
      <c r="F2008" t="s">
        <v>4797</v>
      </c>
      <c r="G2008" t="s">
        <v>4798</v>
      </c>
      <c r="H2008" t="s">
        <v>590</v>
      </c>
      <c r="I2008" t="s">
        <v>1462</v>
      </c>
      <c r="N2008">
        <v>-4</v>
      </c>
      <c r="O2008">
        <v>-288</v>
      </c>
      <c r="P2008">
        <v>4</v>
      </c>
      <c r="Q2008">
        <v>288</v>
      </c>
      <c r="Z2008" s="3" t="e">
        <f t="shared" si="31"/>
        <v>#DIV/0!</v>
      </c>
    </row>
    <row r="2009" spans="1:26" hidden="1">
      <c r="A2009" t="s">
        <v>706</v>
      </c>
      <c r="B2009" s="6">
        <v>44287</v>
      </c>
      <c r="C2009" s="6">
        <v>44651</v>
      </c>
      <c r="D2009">
        <v>20210401</v>
      </c>
      <c r="E2009">
        <v>20220331</v>
      </c>
      <c r="F2009" t="s">
        <v>4799</v>
      </c>
      <c r="G2009" t="s">
        <v>4800</v>
      </c>
      <c r="H2009" t="s">
        <v>590</v>
      </c>
      <c r="I2009" t="s">
        <v>1462</v>
      </c>
      <c r="N2009">
        <v>-1</v>
      </c>
      <c r="O2009">
        <v>-225</v>
      </c>
      <c r="P2009">
        <v>1</v>
      </c>
      <c r="Q2009">
        <v>225</v>
      </c>
      <c r="Z2009" s="3" t="e">
        <f t="shared" si="31"/>
        <v>#DIV/0!</v>
      </c>
    </row>
    <row r="2010" spans="1:26" hidden="1">
      <c r="A2010" t="s">
        <v>706</v>
      </c>
      <c r="B2010" s="6">
        <v>44287</v>
      </c>
      <c r="C2010" s="6">
        <v>44651</v>
      </c>
      <c r="D2010">
        <v>20210401</v>
      </c>
      <c r="E2010">
        <v>20220331</v>
      </c>
      <c r="F2010" t="s">
        <v>4801</v>
      </c>
      <c r="G2010" t="s">
        <v>4802</v>
      </c>
      <c r="H2010" t="s">
        <v>590</v>
      </c>
      <c r="I2010" t="s">
        <v>1462</v>
      </c>
      <c r="N2010">
        <v>-4</v>
      </c>
      <c r="O2010">
        <v>-3980</v>
      </c>
      <c r="P2010">
        <v>4</v>
      </c>
      <c r="Q2010">
        <v>3980</v>
      </c>
      <c r="Z2010" s="3" t="e">
        <f t="shared" si="31"/>
        <v>#DIV/0!</v>
      </c>
    </row>
    <row r="2011" spans="1:26" hidden="1">
      <c r="A2011" t="s">
        <v>706</v>
      </c>
      <c r="B2011" s="6">
        <v>44287</v>
      </c>
      <c r="C2011" s="6">
        <v>44651</v>
      </c>
      <c r="D2011">
        <v>20210401</v>
      </c>
      <c r="E2011">
        <v>20220331</v>
      </c>
      <c r="F2011" t="s">
        <v>4803</v>
      </c>
      <c r="G2011" t="s">
        <v>4804</v>
      </c>
      <c r="H2011" t="s">
        <v>590</v>
      </c>
      <c r="I2011" t="s">
        <v>1462</v>
      </c>
      <c r="N2011">
        <v>-1</v>
      </c>
      <c r="O2011">
        <v>-470</v>
      </c>
      <c r="P2011">
        <v>1</v>
      </c>
      <c r="Q2011">
        <v>470</v>
      </c>
      <c r="Z2011" s="3" t="e">
        <f t="shared" si="31"/>
        <v>#DIV/0!</v>
      </c>
    </row>
    <row r="2012" spans="1:26" hidden="1">
      <c r="A2012" t="s">
        <v>706</v>
      </c>
      <c r="B2012" s="6">
        <v>44287</v>
      </c>
      <c r="C2012" s="6">
        <v>44651</v>
      </c>
      <c r="D2012">
        <v>20210401</v>
      </c>
      <c r="E2012">
        <v>20220331</v>
      </c>
      <c r="F2012" t="s">
        <v>4805</v>
      </c>
      <c r="G2012" t="s">
        <v>4806</v>
      </c>
      <c r="H2012" t="s">
        <v>590</v>
      </c>
      <c r="I2012" t="s">
        <v>1462</v>
      </c>
      <c r="N2012">
        <v>-1</v>
      </c>
      <c r="O2012">
        <v>-470</v>
      </c>
      <c r="P2012">
        <v>1</v>
      </c>
      <c r="Q2012">
        <v>470</v>
      </c>
      <c r="Z2012" s="3" t="e">
        <f t="shared" si="31"/>
        <v>#DIV/0!</v>
      </c>
    </row>
    <row r="2013" spans="1:26" hidden="1">
      <c r="A2013" t="s">
        <v>706</v>
      </c>
      <c r="B2013" s="6">
        <v>44287</v>
      </c>
      <c r="C2013" s="6">
        <v>44651</v>
      </c>
      <c r="D2013">
        <v>20210401</v>
      </c>
      <c r="E2013">
        <v>20220331</v>
      </c>
      <c r="F2013" t="s">
        <v>4807</v>
      </c>
      <c r="G2013" t="s">
        <v>4808</v>
      </c>
      <c r="H2013" t="s">
        <v>590</v>
      </c>
      <c r="I2013" t="s">
        <v>1462</v>
      </c>
      <c r="N2013">
        <v>-4</v>
      </c>
      <c r="O2013">
        <v>-500</v>
      </c>
      <c r="P2013">
        <v>4</v>
      </c>
      <c r="Q2013">
        <v>500</v>
      </c>
      <c r="Z2013" s="3" t="e">
        <f t="shared" si="31"/>
        <v>#DIV/0!</v>
      </c>
    </row>
    <row r="2014" spans="1:26" hidden="1">
      <c r="A2014" t="s">
        <v>706</v>
      </c>
      <c r="B2014" s="6">
        <v>44287</v>
      </c>
      <c r="C2014" s="6">
        <v>44651</v>
      </c>
      <c r="D2014">
        <v>20210401</v>
      </c>
      <c r="E2014">
        <v>20220331</v>
      </c>
      <c r="F2014" t="s">
        <v>4809</v>
      </c>
      <c r="G2014" t="s">
        <v>4810</v>
      </c>
      <c r="H2014" t="s">
        <v>590</v>
      </c>
      <c r="I2014" t="s">
        <v>1462</v>
      </c>
      <c r="N2014">
        <v>-1</v>
      </c>
      <c r="O2014">
        <v>-13</v>
      </c>
      <c r="P2014">
        <v>1</v>
      </c>
      <c r="Q2014">
        <v>13</v>
      </c>
      <c r="Z2014" s="3" t="e">
        <f t="shared" si="31"/>
        <v>#DIV/0!</v>
      </c>
    </row>
    <row r="2015" spans="1:26" hidden="1">
      <c r="A2015" t="s">
        <v>706</v>
      </c>
      <c r="B2015" s="6">
        <v>44287</v>
      </c>
      <c r="C2015" s="6">
        <v>44651</v>
      </c>
      <c r="D2015">
        <v>20210401</v>
      </c>
      <c r="E2015">
        <v>20220331</v>
      </c>
      <c r="F2015" t="s">
        <v>4811</v>
      </c>
      <c r="G2015" t="s">
        <v>4812</v>
      </c>
      <c r="H2015" t="s">
        <v>590</v>
      </c>
      <c r="I2015" t="s">
        <v>1462</v>
      </c>
      <c r="N2015">
        <v>-1</v>
      </c>
      <c r="O2015">
        <v>-635</v>
      </c>
      <c r="P2015">
        <v>1</v>
      </c>
      <c r="Q2015">
        <v>635</v>
      </c>
      <c r="Z2015" s="3" t="e">
        <f t="shared" si="31"/>
        <v>#DIV/0!</v>
      </c>
    </row>
    <row r="2016" spans="1:26" hidden="1">
      <c r="A2016" t="s">
        <v>706</v>
      </c>
      <c r="B2016" s="6">
        <v>44287</v>
      </c>
      <c r="C2016" s="6">
        <v>44651</v>
      </c>
      <c r="D2016">
        <v>20210401</v>
      </c>
      <c r="E2016">
        <v>20220331</v>
      </c>
      <c r="F2016" t="s">
        <v>4813</v>
      </c>
      <c r="G2016" t="s">
        <v>4814</v>
      </c>
      <c r="H2016" t="s">
        <v>590</v>
      </c>
      <c r="I2016" t="s">
        <v>1462</v>
      </c>
      <c r="N2016">
        <v>-1</v>
      </c>
      <c r="O2016">
        <v>-9900</v>
      </c>
      <c r="P2016">
        <v>1</v>
      </c>
      <c r="Q2016">
        <v>9900</v>
      </c>
      <c r="Z2016" s="3" t="e">
        <f t="shared" si="31"/>
        <v>#DIV/0!</v>
      </c>
    </row>
    <row r="2017" spans="1:26" hidden="1">
      <c r="A2017" t="s">
        <v>706</v>
      </c>
      <c r="B2017" s="6">
        <v>44287</v>
      </c>
      <c r="C2017" s="6">
        <v>44651</v>
      </c>
      <c r="D2017">
        <v>20210401</v>
      </c>
      <c r="E2017">
        <v>20220331</v>
      </c>
      <c r="F2017" t="s">
        <v>4815</v>
      </c>
      <c r="G2017" t="s">
        <v>4816</v>
      </c>
      <c r="H2017" t="s">
        <v>590</v>
      </c>
      <c r="I2017" t="s">
        <v>1462</v>
      </c>
      <c r="N2017">
        <v>-1</v>
      </c>
      <c r="O2017">
        <v>-10750</v>
      </c>
      <c r="P2017">
        <v>1</v>
      </c>
      <c r="Q2017">
        <v>10750</v>
      </c>
      <c r="Z2017" s="3" t="e">
        <f t="shared" si="31"/>
        <v>#DIV/0!</v>
      </c>
    </row>
    <row r="2018" spans="1:26" hidden="1">
      <c r="A2018" t="s">
        <v>706</v>
      </c>
      <c r="B2018" s="6">
        <v>44287</v>
      </c>
      <c r="C2018" s="6">
        <v>44651</v>
      </c>
      <c r="D2018">
        <v>20210401</v>
      </c>
      <c r="E2018">
        <v>20220331</v>
      </c>
      <c r="F2018" t="s">
        <v>4817</v>
      </c>
      <c r="G2018" t="s">
        <v>4818</v>
      </c>
      <c r="H2018" t="s">
        <v>590</v>
      </c>
      <c r="I2018" t="s">
        <v>1462</v>
      </c>
      <c r="N2018">
        <v>-1</v>
      </c>
      <c r="O2018">
        <v>-2475</v>
      </c>
      <c r="P2018">
        <v>1</v>
      </c>
      <c r="Q2018">
        <v>2475</v>
      </c>
      <c r="Z2018" s="3" t="e">
        <f t="shared" si="31"/>
        <v>#DIV/0!</v>
      </c>
    </row>
    <row r="2019" spans="1:26" hidden="1">
      <c r="A2019" t="s">
        <v>706</v>
      </c>
      <c r="B2019" s="6">
        <v>44287</v>
      </c>
      <c r="C2019" s="6">
        <v>44651</v>
      </c>
      <c r="D2019">
        <v>20210401</v>
      </c>
      <c r="E2019">
        <v>20220331</v>
      </c>
      <c r="F2019" t="s">
        <v>4819</v>
      </c>
      <c r="G2019" t="s">
        <v>4820</v>
      </c>
      <c r="H2019" t="s">
        <v>590</v>
      </c>
      <c r="I2019" t="s">
        <v>1462</v>
      </c>
      <c r="N2019">
        <v>-1</v>
      </c>
      <c r="O2019">
        <v>-10750</v>
      </c>
      <c r="P2019">
        <v>1</v>
      </c>
      <c r="Q2019">
        <v>10750</v>
      </c>
      <c r="Z2019" s="3" t="e">
        <f t="shared" si="31"/>
        <v>#DIV/0!</v>
      </c>
    </row>
    <row r="2020" spans="1:26" hidden="1">
      <c r="A2020" t="s">
        <v>706</v>
      </c>
      <c r="B2020" s="6">
        <v>44287</v>
      </c>
      <c r="C2020" s="6">
        <v>44651</v>
      </c>
      <c r="D2020">
        <v>20210401</v>
      </c>
      <c r="E2020">
        <v>20220331</v>
      </c>
      <c r="F2020" t="s">
        <v>4821</v>
      </c>
      <c r="G2020" t="s">
        <v>4822</v>
      </c>
      <c r="H2020" t="s">
        <v>590</v>
      </c>
      <c r="I2020" t="s">
        <v>1462</v>
      </c>
      <c r="L2020">
        <v>6</v>
      </c>
      <c r="M2020">
        <v>2070</v>
      </c>
      <c r="N2020">
        <v>-6</v>
      </c>
      <c r="O2020">
        <v>-2070</v>
      </c>
      <c r="Z2020" s="3">
        <f t="shared" si="31"/>
        <v>345</v>
      </c>
    </row>
    <row r="2021" spans="1:26" hidden="1">
      <c r="A2021" t="s">
        <v>706</v>
      </c>
      <c r="B2021" s="6">
        <v>44287</v>
      </c>
      <c r="C2021" s="6">
        <v>44651</v>
      </c>
      <c r="D2021">
        <v>20210401</v>
      </c>
      <c r="E2021">
        <v>20220331</v>
      </c>
      <c r="F2021" t="s">
        <v>4823</v>
      </c>
      <c r="G2021" t="s">
        <v>4824</v>
      </c>
      <c r="H2021" t="s">
        <v>590</v>
      </c>
      <c r="I2021" t="s">
        <v>1462</v>
      </c>
      <c r="L2021">
        <v>2</v>
      </c>
      <c r="M2021">
        <v>840</v>
      </c>
      <c r="N2021">
        <v>-2</v>
      </c>
      <c r="O2021">
        <v>-840</v>
      </c>
      <c r="Z2021" s="3">
        <f t="shared" si="31"/>
        <v>420</v>
      </c>
    </row>
    <row r="2022" spans="1:26" hidden="1">
      <c r="A2022" t="s">
        <v>706</v>
      </c>
      <c r="B2022" s="6">
        <v>44287</v>
      </c>
      <c r="C2022" s="6">
        <v>44651</v>
      </c>
      <c r="D2022">
        <v>20210401</v>
      </c>
      <c r="E2022">
        <v>20220331</v>
      </c>
      <c r="F2022" t="s">
        <v>4825</v>
      </c>
      <c r="G2022" t="s">
        <v>4826</v>
      </c>
      <c r="H2022" t="s">
        <v>590</v>
      </c>
      <c r="I2022" t="s">
        <v>1462</v>
      </c>
      <c r="L2022">
        <v>4</v>
      </c>
      <c r="M2022">
        <v>29600</v>
      </c>
      <c r="N2022">
        <v>-4</v>
      </c>
      <c r="O2022">
        <v>-29600</v>
      </c>
      <c r="Z2022" s="3">
        <f t="shared" si="31"/>
        <v>7400</v>
      </c>
    </row>
    <row r="2023" spans="1:26" hidden="1">
      <c r="A2023" t="s">
        <v>706</v>
      </c>
      <c r="B2023" s="6">
        <v>44287</v>
      </c>
      <c r="C2023" s="6">
        <v>44651</v>
      </c>
      <c r="D2023">
        <v>20210401</v>
      </c>
      <c r="E2023">
        <v>20220331</v>
      </c>
      <c r="F2023" t="s">
        <v>4827</v>
      </c>
      <c r="G2023" t="s">
        <v>4828</v>
      </c>
      <c r="H2023" t="s">
        <v>590</v>
      </c>
      <c r="I2023" t="s">
        <v>1462</v>
      </c>
      <c r="L2023">
        <v>2</v>
      </c>
      <c r="M2023">
        <v>40</v>
      </c>
      <c r="N2023">
        <v>-2</v>
      </c>
      <c r="O2023">
        <v>-40</v>
      </c>
      <c r="Z2023" s="3">
        <f t="shared" si="31"/>
        <v>20</v>
      </c>
    </row>
    <row r="2024" spans="1:26" hidden="1">
      <c r="A2024" t="s">
        <v>706</v>
      </c>
      <c r="B2024" s="6">
        <v>44287</v>
      </c>
      <c r="C2024" s="6">
        <v>44651</v>
      </c>
      <c r="D2024">
        <v>20210401</v>
      </c>
      <c r="E2024">
        <v>20220331</v>
      </c>
      <c r="F2024" t="s">
        <v>4829</v>
      </c>
      <c r="G2024" t="s">
        <v>4830</v>
      </c>
      <c r="H2024" t="s">
        <v>590</v>
      </c>
      <c r="I2024" t="s">
        <v>1462</v>
      </c>
      <c r="L2024">
        <v>2</v>
      </c>
      <c r="M2024">
        <v>1610</v>
      </c>
      <c r="X2024">
        <v>2</v>
      </c>
      <c r="Y2024">
        <v>1610</v>
      </c>
      <c r="Z2024" s="3">
        <f t="shared" si="31"/>
        <v>805</v>
      </c>
    </row>
    <row r="2025" spans="1:26" hidden="1">
      <c r="A2025" t="s">
        <v>706</v>
      </c>
      <c r="B2025" s="6">
        <v>44287</v>
      </c>
      <c r="C2025" s="6">
        <v>44651</v>
      </c>
      <c r="D2025">
        <v>20210401</v>
      </c>
      <c r="E2025">
        <v>20220331</v>
      </c>
      <c r="F2025" t="s">
        <v>4831</v>
      </c>
      <c r="G2025" t="s">
        <v>4832</v>
      </c>
      <c r="H2025" t="s">
        <v>590</v>
      </c>
      <c r="I2025" t="s">
        <v>1462</v>
      </c>
      <c r="L2025">
        <v>3</v>
      </c>
      <c r="M2025">
        <v>5550</v>
      </c>
      <c r="N2025">
        <v>-3</v>
      </c>
      <c r="O2025">
        <v>-5550</v>
      </c>
      <c r="Z2025" s="3">
        <f t="shared" si="31"/>
        <v>1850</v>
      </c>
    </row>
    <row r="2026" spans="1:26" hidden="1">
      <c r="A2026" t="s">
        <v>706</v>
      </c>
      <c r="B2026" s="6">
        <v>44287</v>
      </c>
      <c r="C2026" s="6">
        <v>44651</v>
      </c>
      <c r="D2026">
        <v>20210401</v>
      </c>
      <c r="E2026">
        <v>20220331</v>
      </c>
      <c r="F2026" t="s">
        <v>4833</v>
      </c>
      <c r="G2026" t="s">
        <v>4834</v>
      </c>
      <c r="H2026" t="s">
        <v>590</v>
      </c>
      <c r="I2026" t="s">
        <v>774</v>
      </c>
      <c r="L2026">
        <v>1</v>
      </c>
      <c r="M2026">
        <v>52000</v>
      </c>
      <c r="N2026">
        <v>-1</v>
      </c>
      <c r="O2026">
        <v>-52000</v>
      </c>
      <c r="Z2026" s="3">
        <f t="shared" si="31"/>
        <v>52000</v>
      </c>
    </row>
    <row r="2027" spans="1:26" hidden="1">
      <c r="A2027" t="s">
        <v>706</v>
      </c>
      <c r="B2027" s="6">
        <v>44287</v>
      </c>
      <c r="C2027" s="6">
        <v>44651</v>
      </c>
      <c r="D2027">
        <v>20210401</v>
      </c>
      <c r="E2027">
        <v>20220331</v>
      </c>
      <c r="F2027" t="s">
        <v>4835</v>
      </c>
      <c r="G2027" t="s">
        <v>4836</v>
      </c>
      <c r="H2027" t="s">
        <v>1585</v>
      </c>
      <c r="I2027" t="s">
        <v>805</v>
      </c>
      <c r="L2027">
        <v>1000</v>
      </c>
      <c r="M2027">
        <v>20000</v>
      </c>
      <c r="N2027">
        <v>-1000</v>
      </c>
      <c r="O2027">
        <v>-19279.3</v>
      </c>
      <c r="Y2027">
        <v>720.7</v>
      </c>
      <c r="Z2027" s="3">
        <f t="shared" si="31"/>
        <v>19.279299999999999</v>
      </c>
    </row>
    <row r="2028" spans="1:26" hidden="1">
      <c r="A2028" t="s">
        <v>706</v>
      </c>
      <c r="B2028" s="6">
        <v>44287</v>
      </c>
      <c r="C2028" s="6">
        <v>44651</v>
      </c>
      <c r="D2028">
        <v>20210401</v>
      </c>
      <c r="E2028">
        <v>20220331</v>
      </c>
      <c r="F2028" t="s">
        <v>4837</v>
      </c>
      <c r="G2028" t="s">
        <v>4838</v>
      </c>
      <c r="H2028" t="s">
        <v>590</v>
      </c>
      <c r="I2028" t="s">
        <v>1462</v>
      </c>
      <c r="L2028">
        <v>9</v>
      </c>
      <c r="M2028">
        <v>14625</v>
      </c>
      <c r="N2028">
        <v>-9</v>
      </c>
      <c r="O2028">
        <v>-14625</v>
      </c>
      <c r="Z2028" s="3">
        <f t="shared" si="31"/>
        <v>1625</v>
      </c>
    </row>
    <row r="2029" spans="1:26" hidden="1">
      <c r="A2029" t="s">
        <v>706</v>
      </c>
      <c r="B2029" s="6">
        <v>44287</v>
      </c>
      <c r="C2029" s="6">
        <v>44651</v>
      </c>
      <c r="D2029">
        <v>20210401</v>
      </c>
      <c r="E2029">
        <v>20220331</v>
      </c>
      <c r="F2029" t="s">
        <v>4839</v>
      </c>
      <c r="G2029" t="s">
        <v>4840</v>
      </c>
      <c r="H2029" t="s">
        <v>590</v>
      </c>
      <c r="I2029" t="s">
        <v>1462</v>
      </c>
      <c r="L2029">
        <v>1</v>
      </c>
      <c r="M2029">
        <v>1500</v>
      </c>
      <c r="N2029">
        <v>-1</v>
      </c>
      <c r="O2029">
        <v>-1500</v>
      </c>
      <c r="Z2029" s="3">
        <f t="shared" si="31"/>
        <v>1500</v>
      </c>
    </row>
    <row r="2030" spans="1:26" hidden="1">
      <c r="A2030" t="s">
        <v>706</v>
      </c>
      <c r="B2030" s="6">
        <v>44287</v>
      </c>
      <c r="C2030" s="6">
        <v>44651</v>
      </c>
      <c r="D2030">
        <v>20210401</v>
      </c>
      <c r="E2030">
        <v>20220331</v>
      </c>
      <c r="F2030" t="s">
        <v>4841</v>
      </c>
      <c r="G2030" t="s">
        <v>4842</v>
      </c>
      <c r="H2030" t="s">
        <v>590</v>
      </c>
      <c r="I2030" t="s">
        <v>1462</v>
      </c>
      <c r="L2030">
        <v>3</v>
      </c>
      <c r="M2030">
        <v>6600</v>
      </c>
      <c r="N2030">
        <v>-4</v>
      </c>
      <c r="O2030">
        <v>-9600</v>
      </c>
      <c r="P2030">
        <v>1</v>
      </c>
      <c r="Q2030">
        <v>3000</v>
      </c>
      <c r="Z2030" s="3">
        <f t="shared" si="31"/>
        <v>2200</v>
      </c>
    </row>
    <row r="2031" spans="1:26" hidden="1">
      <c r="A2031" t="s">
        <v>706</v>
      </c>
      <c r="B2031" s="6">
        <v>44287</v>
      </c>
      <c r="C2031" s="6">
        <v>44651</v>
      </c>
      <c r="D2031">
        <v>20210401</v>
      </c>
      <c r="E2031">
        <v>20220331</v>
      </c>
      <c r="F2031" t="s">
        <v>4843</v>
      </c>
      <c r="G2031" t="s">
        <v>4844</v>
      </c>
      <c r="H2031" t="s">
        <v>590</v>
      </c>
      <c r="I2031" t="s">
        <v>1462</v>
      </c>
      <c r="L2031">
        <v>1</v>
      </c>
      <c r="M2031">
        <v>63000</v>
      </c>
      <c r="N2031">
        <v>-1</v>
      </c>
      <c r="O2031">
        <v>-63000</v>
      </c>
      <c r="Z2031" s="3">
        <f t="shared" si="31"/>
        <v>63000</v>
      </c>
    </row>
    <row r="2032" spans="1:26" hidden="1">
      <c r="A2032" t="s">
        <v>706</v>
      </c>
      <c r="B2032" s="6">
        <v>44287</v>
      </c>
      <c r="C2032" s="6">
        <v>44651</v>
      </c>
      <c r="D2032">
        <v>20210401</v>
      </c>
      <c r="E2032">
        <v>20220331</v>
      </c>
      <c r="F2032" t="s">
        <v>4845</v>
      </c>
      <c r="G2032" t="s">
        <v>4846</v>
      </c>
      <c r="H2032" t="s">
        <v>590</v>
      </c>
      <c r="I2032" t="s">
        <v>1462</v>
      </c>
      <c r="L2032">
        <v>4</v>
      </c>
      <c r="M2032">
        <v>1900</v>
      </c>
      <c r="N2032">
        <v>-4</v>
      </c>
      <c r="O2032">
        <v>-1900</v>
      </c>
      <c r="Z2032" s="3">
        <f t="shared" si="31"/>
        <v>475</v>
      </c>
    </row>
    <row r="2033" spans="1:26" hidden="1">
      <c r="A2033" t="s">
        <v>706</v>
      </c>
      <c r="B2033" s="6">
        <v>44287</v>
      </c>
      <c r="C2033" s="6">
        <v>44651</v>
      </c>
      <c r="D2033">
        <v>20210401</v>
      </c>
      <c r="E2033">
        <v>20220331</v>
      </c>
      <c r="F2033" t="s">
        <v>4847</v>
      </c>
      <c r="G2033" t="s">
        <v>4848</v>
      </c>
      <c r="H2033" t="s">
        <v>590</v>
      </c>
      <c r="I2033" t="s">
        <v>1462</v>
      </c>
      <c r="K2033">
        <v>0.02</v>
      </c>
      <c r="L2033">
        <v>50</v>
      </c>
      <c r="M2033">
        <v>66000</v>
      </c>
      <c r="N2033">
        <v>-44</v>
      </c>
      <c r="O2033">
        <v>-57125.71</v>
      </c>
      <c r="P2033">
        <v>4</v>
      </c>
      <c r="Q2033">
        <v>5125.71</v>
      </c>
      <c r="X2033">
        <v>10</v>
      </c>
      <c r="Y2033">
        <v>14000.02</v>
      </c>
      <c r="Z2033" s="3">
        <f t="shared" si="31"/>
        <v>1300</v>
      </c>
    </row>
    <row r="2034" spans="1:26" hidden="1">
      <c r="A2034" t="s">
        <v>706</v>
      </c>
      <c r="B2034" s="6">
        <v>44287</v>
      </c>
      <c r="C2034" s="6">
        <v>44651</v>
      </c>
      <c r="D2034">
        <v>20210401</v>
      </c>
      <c r="E2034">
        <v>20220331</v>
      </c>
      <c r="F2034" t="s">
        <v>4849</v>
      </c>
      <c r="G2034" t="s">
        <v>4850</v>
      </c>
      <c r="H2034" t="s">
        <v>590</v>
      </c>
      <c r="I2034" t="s">
        <v>1462</v>
      </c>
      <c r="L2034">
        <v>2</v>
      </c>
      <c r="M2034">
        <v>4300</v>
      </c>
      <c r="N2034">
        <v>-2</v>
      </c>
      <c r="O2034">
        <v>-4300</v>
      </c>
      <c r="Z2034" s="3">
        <f t="shared" si="31"/>
        <v>2150</v>
      </c>
    </row>
    <row r="2035" spans="1:26" hidden="1">
      <c r="A2035" t="s">
        <v>706</v>
      </c>
      <c r="B2035" s="6">
        <v>44287</v>
      </c>
      <c r="C2035" s="6">
        <v>44651</v>
      </c>
      <c r="D2035">
        <v>20210401</v>
      </c>
      <c r="E2035">
        <v>20220331</v>
      </c>
      <c r="F2035" t="s">
        <v>4851</v>
      </c>
      <c r="G2035" t="s">
        <v>4852</v>
      </c>
      <c r="H2035" t="s">
        <v>590</v>
      </c>
      <c r="I2035" t="s">
        <v>1462</v>
      </c>
      <c r="L2035">
        <v>6</v>
      </c>
      <c r="M2035">
        <v>2880</v>
      </c>
      <c r="N2035">
        <v>-6</v>
      </c>
      <c r="O2035">
        <v>-2880</v>
      </c>
      <c r="Z2035" s="3">
        <f t="shared" si="31"/>
        <v>480</v>
      </c>
    </row>
    <row r="2036" spans="1:26" hidden="1">
      <c r="A2036" t="s">
        <v>706</v>
      </c>
      <c r="B2036" s="6">
        <v>44287</v>
      </c>
      <c r="C2036" s="6">
        <v>44651</v>
      </c>
      <c r="D2036">
        <v>20210401</v>
      </c>
      <c r="E2036">
        <v>20220331</v>
      </c>
      <c r="F2036" t="s">
        <v>4853</v>
      </c>
      <c r="G2036" t="s">
        <v>4854</v>
      </c>
      <c r="H2036" t="s">
        <v>590</v>
      </c>
      <c r="I2036" t="s">
        <v>1462</v>
      </c>
      <c r="L2036">
        <v>1</v>
      </c>
      <c r="M2036">
        <v>5625</v>
      </c>
      <c r="N2036">
        <v>-2</v>
      </c>
      <c r="O2036">
        <v>-10803.57</v>
      </c>
      <c r="P2036">
        <v>1</v>
      </c>
      <c r="Q2036">
        <v>5178.57</v>
      </c>
      <c r="Z2036" s="3">
        <f t="shared" si="31"/>
        <v>5625</v>
      </c>
    </row>
    <row r="2037" spans="1:26" hidden="1">
      <c r="A2037" t="s">
        <v>706</v>
      </c>
      <c r="B2037" s="6">
        <v>44287</v>
      </c>
      <c r="C2037" s="6">
        <v>44651</v>
      </c>
      <c r="D2037">
        <v>20210401</v>
      </c>
      <c r="E2037">
        <v>20220331</v>
      </c>
      <c r="F2037" t="s">
        <v>4855</v>
      </c>
      <c r="G2037" t="s">
        <v>4856</v>
      </c>
      <c r="I2037" t="s">
        <v>805</v>
      </c>
      <c r="K2037">
        <v>25.6</v>
      </c>
      <c r="L2037">
        <v>4</v>
      </c>
      <c r="M2037">
        <v>1900</v>
      </c>
      <c r="N2037">
        <v>-4</v>
      </c>
      <c r="O2037">
        <v>-1925.6</v>
      </c>
      <c r="Z2037" s="3">
        <f t="shared" si="31"/>
        <v>481.4</v>
      </c>
    </row>
    <row r="2038" spans="1:26" hidden="1">
      <c r="A2038" t="s">
        <v>706</v>
      </c>
      <c r="B2038" s="6">
        <v>44287</v>
      </c>
      <c r="C2038" s="6">
        <v>44651</v>
      </c>
      <c r="D2038">
        <v>20210401</v>
      </c>
      <c r="E2038">
        <v>20220331</v>
      </c>
      <c r="F2038" t="s">
        <v>4857</v>
      </c>
      <c r="G2038" t="s">
        <v>4858</v>
      </c>
      <c r="H2038" t="s">
        <v>590</v>
      </c>
      <c r="I2038" t="s">
        <v>805</v>
      </c>
      <c r="K2038">
        <v>0.01</v>
      </c>
      <c r="Y2038">
        <v>0.01</v>
      </c>
      <c r="Z2038" s="3" t="e">
        <f t="shared" si="31"/>
        <v>#DIV/0!</v>
      </c>
    </row>
    <row r="2039" spans="1:26" hidden="1">
      <c r="A2039" t="s">
        <v>706</v>
      </c>
      <c r="B2039" s="6">
        <v>44287</v>
      </c>
      <c r="C2039" s="6">
        <v>44651</v>
      </c>
      <c r="D2039">
        <v>20210401</v>
      </c>
      <c r="E2039">
        <v>20220331</v>
      </c>
      <c r="F2039" t="s">
        <v>4859</v>
      </c>
      <c r="G2039" t="s">
        <v>4860</v>
      </c>
      <c r="H2039" t="s">
        <v>590</v>
      </c>
      <c r="I2039" t="s">
        <v>1462</v>
      </c>
      <c r="L2039">
        <v>2</v>
      </c>
      <c r="M2039">
        <v>3100</v>
      </c>
      <c r="N2039">
        <v>-2</v>
      </c>
      <c r="O2039">
        <v>-3100</v>
      </c>
      <c r="Z2039" s="3">
        <f t="shared" si="31"/>
        <v>1550</v>
      </c>
    </row>
    <row r="2040" spans="1:26" hidden="1">
      <c r="A2040" t="s">
        <v>706</v>
      </c>
      <c r="B2040" s="6">
        <v>44287</v>
      </c>
      <c r="C2040" s="6">
        <v>44651</v>
      </c>
      <c r="D2040">
        <v>20210401</v>
      </c>
      <c r="E2040">
        <v>20220331</v>
      </c>
      <c r="F2040" t="s">
        <v>4861</v>
      </c>
      <c r="G2040" t="s">
        <v>4862</v>
      </c>
      <c r="H2040" t="s">
        <v>590</v>
      </c>
      <c r="I2040" t="s">
        <v>1462</v>
      </c>
      <c r="L2040">
        <v>1</v>
      </c>
      <c r="M2040">
        <v>4050</v>
      </c>
      <c r="P2040">
        <v>1</v>
      </c>
      <c r="Q2040">
        <v>4050</v>
      </c>
      <c r="X2040">
        <v>2</v>
      </c>
      <c r="Y2040">
        <v>8100</v>
      </c>
      <c r="Z2040" s="3">
        <f t="shared" si="31"/>
        <v>4050</v>
      </c>
    </row>
    <row r="2041" spans="1:26" hidden="1">
      <c r="A2041" t="s">
        <v>706</v>
      </c>
      <c r="B2041" s="6">
        <v>44287</v>
      </c>
      <c r="C2041" s="6">
        <v>44651</v>
      </c>
      <c r="D2041">
        <v>20210401</v>
      </c>
      <c r="E2041">
        <v>20220331</v>
      </c>
      <c r="F2041" t="s">
        <v>4863</v>
      </c>
      <c r="G2041" t="s">
        <v>4864</v>
      </c>
      <c r="H2041" t="s">
        <v>590</v>
      </c>
      <c r="I2041" t="s">
        <v>1462</v>
      </c>
      <c r="L2041">
        <v>1</v>
      </c>
      <c r="M2041">
        <v>400</v>
      </c>
      <c r="N2041">
        <v>-1</v>
      </c>
      <c r="O2041">
        <v>-400</v>
      </c>
      <c r="Z2041" s="3">
        <f t="shared" si="31"/>
        <v>400</v>
      </c>
    </row>
    <row r="2042" spans="1:26" hidden="1">
      <c r="A2042" t="s">
        <v>706</v>
      </c>
      <c r="B2042" s="6">
        <v>44287</v>
      </c>
      <c r="C2042" s="6">
        <v>44651</v>
      </c>
      <c r="D2042">
        <v>20210401</v>
      </c>
      <c r="E2042">
        <v>20220331</v>
      </c>
      <c r="F2042" t="s">
        <v>4865</v>
      </c>
      <c r="G2042" t="s">
        <v>4866</v>
      </c>
      <c r="H2042" t="s">
        <v>590</v>
      </c>
      <c r="I2042" t="s">
        <v>805</v>
      </c>
      <c r="L2042">
        <v>18</v>
      </c>
      <c r="M2042">
        <v>11250</v>
      </c>
      <c r="N2042">
        <v>-18</v>
      </c>
      <c r="O2042">
        <v>-11250</v>
      </c>
      <c r="Z2042" s="3">
        <f t="shared" si="31"/>
        <v>625</v>
      </c>
    </row>
    <row r="2043" spans="1:26" hidden="1">
      <c r="A2043" t="s">
        <v>706</v>
      </c>
      <c r="B2043" s="6">
        <v>44287</v>
      </c>
      <c r="C2043" s="6">
        <v>44651</v>
      </c>
      <c r="D2043">
        <v>20210401</v>
      </c>
      <c r="E2043">
        <v>20220331</v>
      </c>
      <c r="F2043" t="s">
        <v>4867</v>
      </c>
      <c r="G2043" t="s">
        <v>4868</v>
      </c>
      <c r="H2043" t="s">
        <v>590</v>
      </c>
      <c r="I2043" t="s">
        <v>1462</v>
      </c>
      <c r="L2043">
        <v>2</v>
      </c>
      <c r="M2043">
        <v>14900</v>
      </c>
      <c r="N2043">
        <v>-2</v>
      </c>
      <c r="O2043">
        <v>-14900</v>
      </c>
      <c r="Z2043" s="3">
        <f t="shared" si="31"/>
        <v>7450</v>
      </c>
    </row>
    <row r="2044" spans="1:26" hidden="1">
      <c r="A2044" t="s">
        <v>706</v>
      </c>
      <c r="B2044" s="6">
        <v>44287</v>
      </c>
      <c r="C2044" s="6">
        <v>44651</v>
      </c>
      <c r="D2044">
        <v>20210401</v>
      </c>
      <c r="E2044">
        <v>20220331</v>
      </c>
      <c r="F2044" t="s">
        <v>4869</v>
      </c>
      <c r="G2044" t="s">
        <v>4870</v>
      </c>
      <c r="H2044" t="s">
        <v>590</v>
      </c>
      <c r="I2044" t="s">
        <v>1462</v>
      </c>
      <c r="L2044">
        <v>12</v>
      </c>
      <c r="M2044">
        <v>31825</v>
      </c>
      <c r="N2044">
        <v>-12</v>
      </c>
      <c r="O2044">
        <v>-31825</v>
      </c>
      <c r="Z2044" s="3">
        <f t="shared" si="31"/>
        <v>2652.0833333333335</v>
      </c>
    </row>
    <row r="2045" spans="1:26" hidden="1">
      <c r="A2045" t="s">
        <v>706</v>
      </c>
      <c r="B2045" s="6">
        <v>44287</v>
      </c>
      <c r="C2045" s="6">
        <v>44651</v>
      </c>
      <c r="D2045">
        <v>20210401</v>
      </c>
      <c r="E2045">
        <v>20220331</v>
      </c>
      <c r="F2045" t="s">
        <v>4871</v>
      </c>
      <c r="G2045" t="s">
        <v>4872</v>
      </c>
      <c r="H2045" t="s">
        <v>590</v>
      </c>
      <c r="I2045" t="s">
        <v>1462</v>
      </c>
      <c r="L2045">
        <v>8</v>
      </c>
      <c r="M2045">
        <v>74</v>
      </c>
      <c r="N2045">
        <v>-8</v>
      </c>
      <c r="O2045">
        <v>-74</v>
      </c>
      <c r="Z2045" s="3">
        <f t="shared" si="31"/>
        <v>9.25</v>
      </c>
    </row>
    <row r="2046" spans="1:26" hidden="1">
      <c r="A2046" t="s">
        <v>706</v>
      </c>
      <c r="B2046" s="6">
        <v>44287</v>
      </c>
      <c r="C2046" s="6">
        <v>44651</v>
      </c>
      <c r="D2046">
        <v>20210401</v>
      </c>
      <c r="E2046">
        <v>20220331</v>
      </c>
      <c r="F2046" t="s">
        <v>4873</v>
      </c>
      <c r="G2046" t="s">
        <v>4874</v>
      </c>
      <c r="H2046" t="s">
        <v>590</v>
      </c>
      <c r="I2046" t="s">
        <v>1462</v>
      </c>
      <c r="L2046">
        <v>2</v>
      </c>
      <c r="M2046">
        <v>878.76</v>
      </c>
      <c r="N2046">
        <v>-2</v>
      </c>
      <c r="O2046">
        <v>-878.76</v>
      </c>
      <c r="Z2046" s="3">
        <f t="shared" si="31"/>
        <v>439.38</v>
      </c>
    </row>
    <row r="2047" spans="1:26" hidden="1">
      <c r="A2047" t="s">
        <v>706</v>
      </c>
      <c r="B2047" s="6">
        <v>44287</v>
      </c>
      <c r="C2047" s="6">
        <v>44651</v>
      </c>
      <c r="D2047">
        <v>20210401</v>
      </c>
      <c r="E2047">
        <v>20220331</v>
      </c>
      <c r="F2047" t="s">
        <v>4875</v>
      </c>
      <c r="G2047" t="s">
        <v>4876</v>
      </c>
      <c r="H2047" t="s">
        <v>590</v>
      </c>
      <c r="I2047" t="s">
        <v>1462</v>
      </c>
      <c r="L2047">
        <v>4</v>
      </c>
      <c r="M2047">
        <v>1461.5</v>
      </c>
      <c r="N2047">
        <v>-4</v>
      </c>
      <c r="O2047">
        <v>-1461.5</v>
      </c>
      <c r="Z2047" s="3">
        <f t="shared" si="31"/>
        <v>365.375</v>
      </c>
    </row>
    <row r="2048" spans="1:26" hidden="1">
      <c r="A2048" t="s">
        <v>706</v>
      </c>
      <c r="B2048" s="6">
        <v>44287</v>
      </c>
      <c r="C2048" s="6">
        <v>44651</v>
      </c>
      <c r="D2048">
        <v>20210401</v>
      </c>
      <c r="E2048">
        <v>20220331</v>
      </c>
      <c r="F2048" t="s">
        <v>4877</v>
      </c>
      <c r="G2048" t="s">
        <v>4878</v>
      </c>
      <c r="H2048" t="s">
        <v>590</v>
      </c>
      <c r="I2048" t="s">
        <v>1462</v>
      </c>
      <c r="L2048">
        <v>4</v>
      </c>
      <c r="M2048">
        <v>7173</v>
      </c>
      <c r="N2048">
        <v>-5</v>
      </c>
      <c r="O2048">
        <v>-8793</v>
      </c>
      <c r="P2048">
        <v>1</v>
      </c>
      <c r="Q2048">
        <v>1620</v>
      </c>
      <c r="Z2048" s="3">
        <f t="shared" si="31"/>
        <v>1793.25</v>
      </c>
    </row>
    <row r="2049" spans="1:26" hidden="1">
      <c r="A2049" t="s">
        <v>706</v>
      </c>
      <c r="B2049" s="6">
        <v>44287</v>
      </c>
      <c r="C2049" s="6">
        <v>44651</v>
      </c>
      <c r="D2049">
        <v>20210401</v>
      </c>
      <c r="E2049">
        <v>20220331</v>
      </c>
      <c r="F2049" t="s">
        <v>4879</v>
      </c>
      <c r="G2049" t="s">
        <v>4880</v>
      </c>
      <c r="H2049" t="s">
        <v>590</v>
      </c>
      <c r="I2049" t="s">
        <v>1462</v>
      </c>
      <c r="L2049">
        <v>1</v>
      </c>
      <c r="M2049">
        <v>8259.5499999999993</v>
      </c>
      <c r="N2049">
        <v>-1</v>
      </c>
      <c r="O2049">
        <v>-8259.5499999999993</v>
      </c>
      <c r="Z2049" s="3">
        <f t="shared" si="31"/>
        <v>8259.5499999999993</v>
      </c>
    </row>
    <row r="2050" spans="1:26" hidden="1">
      <c r="A2050" t="s">
        <v>706</v>
      </c>
      <c r="B2050" s="6">
        <v>44287</v>
      </c>
      <c r="C2050" s="6">
        <v>44651</v>
      </c>
      <c r="D2050">
        <v>20210401</v>
      </c>
      <c r="E2050">
        <v>20220331</v>
      </c>
      <c r="F2050" t="s">
        <v>4881</v>
      </c>
      <c r="G2050" t="s">
        <v>4882</v>
      </c>
      <c r="H2050" t="s">
        <v>590</v>
      </c>
      <c r="I2050" t="s">
        <v>1462</v>
      </c>
      <c r="L2050">
        <v>4</v>
      </c>
      <c r="M2050">
        <v>407</v>
      </c>
      <c r="N2050">
        <v>-4</v>
      </c>
      <c r="O2050">
        <v>-407</v>
      </c>
      <c r="Z2050" s="3">
        <f t="shared" si="31"/>
        <v>101.75</v>
      </c>
    </row>
    <row r="2051" spans="1:26" hidden="1">
      <c r="A2051" t="s">
        <v>706</v>
      </c>
      <c r="B2051" s="6">
        <v>44287</v>
      </c>
      <c r="C2051" s="6">
        <v>44651</v>
      </c>
      <c r="D2051">
        <v>20210401</v>
      </c>
      <c r="E2051">
        <v>20220331</v>
      </c>
      <c r="F2051" t="s">
        <v>4883</v>
      </c>
      <c r="G2051" t="s">
        <v>4884</v>
      </c>
      <c r="H2051" t="s">
        <v>590</v>
      </c>
      <c r="I2051" t="s">
        <v>1462</v>
      </c>
      <c r="L2051">
        <v>4</v>
      </c>
      <c r="M2051">
        <v>111</v>
      </c>
      <c r="N2051">
        <v>-4</v>
      </c>
      <c r="O2051">
        <v>-111</v>
      </c>
      <c r="Z2051" s="3">
        <f t="shared" ref="Z2051:Z2114" si="32">IFERROR((O2051+Q2051)/(N2051+P2051),Y2051/X2051)</f>
        <v>27.75</v>
      </c>
    </row>
    <row r="2052" spans="1:26" hidden="1">
      <c r="A2052" t="s">
        <v>706</v>
      </c>
      <c r="B2052" s="6">
        <v>44287</v>
      </c>
      <c r="C2052" s="6">
        <v>44651</v>
      </c>
      <c r="D2052">
        <v>20210401</v>
      </c>
      <c r="E2052">
        <v>20220331</v>
      </c>
      <c r="F2052" t="s">
        <v>4885</v>
      </c>
      <c r="G2052" t="s">
        <v>4886</v>
      </c>
      <c r="H2052" t="s">
        <v>590</v>
      </c>
      <c r="I2052" t="s">
        <v>1462</v>
      </c>
      <c r="L2052">
        <v>16</v>
      </c>
      <c r="M2052">
        <v>192.4</v>
      </c>
      <c r="N2052">
        <v>-16</v>
      </c>
      <c r="O2052">
        <v>-192.4</v>
      </c>
      <c r="Z2052" s="3">
        <f t="shared" si="32"/>
        <v>12.025</v>
      </c>
    </row>
    <row r="2053" spans="1:26" hidden="1">
      <c r="A2053" t="s">
        <v>706</v>
      </c>
      <c r="B2053" s="6">
        <v>44287</v>
      </c>
      <c r="C2053" s="6">
        <v>44651</v>
      </c>
      <c r="D2053">
        <v>20210401</v>
      </c>
      <c r="E2053">
        <v>20220331</v>
      </c>
      <c r="F2053" t="s">
        <v>4887</v>
      </c>
      <c r="G2053" t="s">
        <v>4888</v>
      </c>
      <c r="H2053" t="s">
        <v>590</v>
      </c>
      <c r="I2053" t="s">
        <v>1462</v>
      </c>
      <c r="L2053">
        <v>24</v>
      </c>
      <c r="M2053">
        <v>444</v>
      </c>
      <c r="N2053">
        <v>-24</v>
      </c>
      <c r="O2053">
        <v>-444</v>
      </c>
      <c r="Z2053" s="3">
        <f t="shared" si="32"/>
        <v>18.5</v>
      </c>
    </row>
    <row r="2054" spans="1:26" hidden="1">
      <c r="A2054" t="s">
        <v>706</v>
      </c>
      <c r="B2054" s="6">
        <v>44287</v>
      </c>
      <c r="C2054" s="6">
        <v>44651</v>
      </c>
      <c r="D2054">
        <v>20210401</v>
      </c>
      <c r="E2054">
        <v>20220331</v>
      </c>
      <c r="F2054" t="s">
        <v>4889</v>
      </c>
      <c r="G2054" t="s">
        <v>4890</v>
      </c>
      <c r="H2054" t="s">
        <v>590</v>
      </c>
      <c r="I2054" t="s">
        <v>1462</v>
      </c>
      <c r="L2054">
        <v>4</v>
      </c>
      <c r="M2054">
        <v>11840</v>
      </c>
      <c r="N2054">
        <v>-4</v>
      </c>
      <c r="O2054">
        <v>-11840</v>
      </c>
      <c r="Z2054" s="3">
        <f t="shared" si="32"/>
        <v>2960</v>
      </c>
    </row>
    <row r="2055" spans="1:26" hidden="1">
      <c r="A2055" t="s">
        <v>706</v>
      </c>
      <c r="B2055" s="6">
        <v>44287</v>
      </c>
      <c r="C2055" s="6">
        <v>44651</v>
      </c>
      <c r="D2055">
        <v>20210401</v>
      </c>
      <c r="E2055">
        <v>20220331</v>
      </c>
      <c r="F2055" t="s">
        <v>4891</v>
      </c>
      <c r="G2055" t="s">
        <v>4892</v>
      </c>
      <c r="H2055" t="s">
        <v>590</v>
      </c>
      <c r="I2055" t="s">
        <v>1462</v>
      </c>
      <c r="L2055">
        <v>20</v>
      </c>
      <c r="M2055">
        <v>333</v>
      </c>
      <c r="N2055">
        <v>-20</v>
      </c>
      <c r="O2055">
        <v>-333</v>
      </c>
      <c r="Z2055" s="3">
        <f t="shared" si="32"/>
        <v>16.649999999999999</v>
      </c>
    </row>
    <row r="2056" spans="1:26" hidden="1">
      <c r="A2056" t="s">
        <v>706</v>
      </c>
      <c r="B2056" s="6">
        <v>44287</v>
      </c>
      <c r="C2056" s="6">
        <v>44651</v>
      </c>
      <c r="D2056">
        <v>20210401</v>
      </c>
      <c r="E2056">
        <v>20220331</v>
      </c>
      <c r="F2056" t="s">
        <v>4893</v>
      </c>
      <c r="G2056" t="s">
        <v>4894</v>
      </c>
      <c r="H2056" t="s">
        <v>590</v>
      </c>
      <c r="I2056" t="s">
        <v>1462</v>
      </c>
      <c r="L2056">
        <v>24</v>
      </c>
      <c r="M2056">
        <v>266.39999999999998</v>
      </c>
      <c r="N2056">
        <v>-24</v>
      </c>
      <c r="O2056">
        <v>-266.39999999999998</v>
      </c>
      <c r="Z2056" s="3">
        <f t="shared" si="32"/>
        <v>11.1</v>
      </c>
    </row>
    <row r="2057" spans="1:26" hidden="1">
      <c r="A2057" t="s">
        <v>706</v>
      </c>
      <c r="B2057" s="6">
        <v>44287</v>
      </c>
      <c r="C2057" s="6">
        <v>44651</v>
      </c>
      <c r="D2057">
        <v>20210401</v>
      </c>
      <c r="E2057">
        <v>20220331</v>
      </c>
      <c r="F2057" t="s">
        <v>4895</v>
      </c>
      <c r="G2057" t="s">
        <v>4896</v>
      </c>
      <c r="H2057" t="s">
        <v>590</v>
      </c>
      <c r="I2057" t="s">
        <v>1462</v>
      </c>
      <c r="L2057">
        <v>16</v>
      </c>
      <c r="M2057">
        <v>222</v>
      </c>
      <c r="N2057">
        <v>-16</v>
      </c>
      <c r="O2057">
        <v>-222</v>
      </c>
      <c r="Z2057" s="3">
        <f t="shared" si="32"/>
        <v>13.875</v>
      </c>
    </row>
    <row r="2058" spans="1:26" hidden="1">
      <c r="A2058" t="s">
        <v>706</v>
      </c>
      <c r="B2058" s="6">
        <v>44287</v>
      </c>
      <c r="C2058" s="6">
        <v>44651</v>
      </c>
      <c r="D2058">
        <v>20210401</v>
      </c>
      <c r="E2058">
        <v>20220331</v>
      </c>
      <c r="F2058" t="s">
        <v>4897</v>
      </c>
      <c r="G2058" t="s">
        <v>4898</v>
      </c>
      <c r="H2058" t="s">
        <v>590</v>
      </c>
      <c r="I2058" t="s">
        <v>1462</v>
      </c>
      <c r="L2058">
        <v>6</v>
      </c>
      <c r="M2058">
        <v>777</v>
      </c>
      <c r="N2058">
        <v>-6</v>
      </c>
      <c r="O2058">
        <v>-777</v>
      </c>
      <c r="Z2058" s="3">
        <f t="shared" si="32"/>
        <v>129.5</v>
      </c>
    </row>
    <row r="2059" spans="1:26" hidden="1">
      <c r="A2059" t="s">
        <v>706</v>
      </c>
      <c r="B2059" s="6">
        <v>44287</v>
      </c>
      <c r="C2059" s="6">
        <v>44651</v>
      </c>
      <c r="D2059">
        <v>20210401</v>
      </c>
      <c r="E2059">
        <v>20220331</v>
      </c>
      <c r="F2059" t="s">
        <v>4899</v>
      </c>
      <c r="G2059" t="s">
        <v>4900</v>
      </c>
      <c r="H2059" t="s">
        <v>590</v>
      </c>
      <c r="I2059" t="s">
        <v>1462</v>
      </c>
      <c r="L2059">
        <v>5</v>
      </c>
      <c r="M2059">
        <v>5100</v>
      </c>
      <c r="N2059">
        <v>-5</v>
      </c>
      <c r="O2059">
        <v>-5100</v>
      </c>
      <c r="Z2059" s="3">
        <f t="shared" si="32"/>
        <v>1020</v>
      </c>
    </row>
    <row r="2060" spans="1:26" hidden="1">
      <c r="A2060" t="s">
        <v>706</v>
      </c>
      <c r="B2060" s="6">
        <v>44287</v>
      </c>
      <c r="C2060" s="6">
        <v>44651</v>
      </c>
      <c r="D2060">
        <v>20210401</v>
      </c>
      <c r="E2060">
        <v>20220331</v>
      </c>
      <c r="F2060" t="s">
        <v>4901</v>
      </c>
      <c r="G2060" t="s">
        <v>4902</v>
      </c>
      <c r="H2060" t="s">
        <v>590</v>
      </c>
      <c r="I2060" t="s">
        <v>1462</v>
      </c>
      <c r="L2060">
        <v>18</v>
      </c>
      <c r="M2060">
        <v>216.45</v>
      </c>
      <c r="N2060">
        <v>-18</v>
      </c>
      <c r="O2060">
        <v>-216.45</v>
      </c>
      <c r="Z2060" s="3">
        <f t="shared" si="32"/>
        <v>12.024999999999999</v>
      </c>
    </row>
    <row r="2061" spans="1:26" hidden="1">
      <c r="A2061" t="s">
        <v>706</v>
      </c>
      <c r="B2061" s="6">
        <v>44287</v>
      </c>
      <c r="C2061" s="6">
        <v>44651</v>
      </c>
      <c r="D2061">
        <v>20210401</v>
      </c>
      <c r="E2061">
        <v>20220331</v>
      </c>
      <c r="F2061" t="s">
        <v>4903</v>
      </c>
      <c r="G2061" t="s">
        <v>4904</v>
      </c>
      <c r="H2061" t="s">
        <v>590</v>
      </c>
      <c r="I2061" t="s">
        <v>1462</v>
      </c>
      <c r="L2061">
        <v>18</v>
      </c>
      <c r="M2061">
        <v>499.5</v>
      </c>
      <c r="N2061">
        <v>-18</v>
      </c>
      <c r="O2061">
        <v>-499.5</v>
      </c>
      <c r="Z2061" s="3">
        <f t="shared" si="32"/>
        <v>27.75</v>
      </c>
    </row>
    <row r="2062" spans="1:26" hidden="1">
      <c r="A2062" t="s">
        <v>706</v>
      </c>
      <c r="B2062" s="6">
        <v>44287</v>
      </c>
      <c r="C2062" s="6">
        <v>44651</v>
      </c>
      <c r="D2062">
        <v>20210401</v>
      </c>
      <c r="E2062">
        <v>20220331</v>
      </c>
      <c r="F2062" t="s">
        <v>4905</v>
      </c>
      <c r="G2062" t="s">
        <v>4906</v>
      </c>
      <c r="H2062" t="s">
        <v>590</v>
      </c>
      <c r="I2062" t="s">
        <v>805</v>
      </c>
      <c r="L2062">
        <v>2</v>
      </c>
      <c r="M2062">
        <v>8420</v>
      </c>
      <c r="N2062">
        <v>-2</v>
      </c>
      <c r="O2062">
        <v>-8420</v>
      </c>
      <c r="Z2062" s="3">
        <f t="shared" si="32"/>
        <v>4210</v>
      </c>
    </row>
    <row r="2063" spans="1:26" hidden="1">
      <c r="A2063" t="s">
        <v>706</v>
      </c>
      <c r="B2063" s="6">
        <v>44287</v>
      </c>
      <c r="C2063" s="6">
        <v>44651</v>
      </c>
      <c r="D2063">
        <v>20210401</v>
      </c>
      <c r="E2063">
        <v>20220331</v>
      </c>
      <c r="F2063" t="s">
        <v>4907</v>
      </c>
      <c r="G2063" t="s">
        <v>4908</v>
      </c>
      <c r="H2063" t="s">
        <v>1973</v>
      </c>
      <c r="I2063" t="s">
        <v>1462</v>
      </c>
      <c r="L2063">
        <v>8</v>
      </c>
      <c r="M2063">
        <v>1202.5</v>
      </c>
      <c r="N2063">
        <v>-8</v>
      </c>
      <c r="O2063">
        <v>-1202.5</v>
      </c>
      <c r="Z2063" s="3">
        <f t="shared" si="32"/>
        <v>150.3125</v>
      </c>
    </row>
    <row r="2064" spans="1:26" hidden="1">
      <c r="A2064" t="s">
        <v>706</v>
      </c>
      <c r="B2064" s="6">
        <v>44287</v>
      </c>
      <c r="C2064" s="6">
        <v>44651</v>
      </c>
      <c r="D2064">
        <v>20210401</v>
      </c>
      <c r="E2064">
        <v>20220331</v>
      </c>
      <c r="F2064" t="s">
        <v>4909</v>
      </c>
      <c r="G2064" t="s">
        <v>4910</v>
      </c>
      <c r="H2064" t="s">
        <v>590</v>
      </c>
      <c r="I2064" t="s">
        <v>1462</v>
      </c>
      <c r="L2064">
        <v>8</v>
      </c>
      <c r="M2064">
        <v>481</v>
      </c>
      <c r="N2064">
        <v>-8</v>
      </c>
      <c r="O2064">
        <v>-481</v>
      </c>
      <c r="Z2064" s="3">
        <f t="shared" si="32"/>
        <v>60.125</v>
      </c>
    </row>
    <row r="2065" spans="1:26" hidden="1">
      <c r="A2065" t="s">
        <v>706</v>
      </c>
      <c r="B2065" s="6">
        <v>44287</v>
      </c>
      <c r="C2065" s="6">
        <v>44651</v>
      </c>
      <c r="D2065">
        <v>20210401</v>
      </c>
      <c r="E2065">
        <v>20220331</v>
      </c>
      <c r="F2065" t="s">
        <v>4911</v>
      </c>
      <c r="G2065" t="s">
        <v>4912</v>
      </c>
      <c r="H2065" t="s">
        <v>1973</v>
      </c>
      <c r="I2065" t="s">
        <v>1462</v>
      </c>
      <c r="L2065">
        <v>7</v>
      </c>
      <c r="M2065">
        <v>11978.75</v>
      </c>
      <c r="N2065">
        <v>-7</v>
      </c>
      <c r="O2065">
        <v>-11978.75</v>
      </c>
      <c r="Z2065" s="3">
        <f t="shared" si="32"/>
        <v>1711.25</v>
      </c>
    </row>
    <row r="2066" spans="1:26" hidden="1">
      <c r="A2066" t="s">
        <v>706</v>
      </c>
      <c r="B2066" s="6">
        <v>44287</v>
      </c>
      <c r="C2066" s="6">
        <v>44651</v>
      </c>
      <c r="D2066">
        <v>20210401</v>
      </c>
      <c r="E2066">
        <v>20220331</v>
      </c>
      <c r="F2066" t="s">
        <v>4913</v>
      </c>
      <c r="G2066" t="s">
        <v>4914</v>
      </c>
      <c r="H2066" t="s">
        <v>590</v>
      </c>
      <c r="I2066" t="s">
        <v>1462</v>
      </c>
      <c r="L2066">
        <v>16</v>
      </c>
      <c r="M2066">
        <v>444</v>
      </c>
      <c r="N2066">
        <v>-16</v>
      </c>
      <c r="O2066">
        <v>-444</v>
      </c>
      <c r="Z2066" s="3">
        <f t="shared" si="32"/>
        <v>27.75</v>
      </c>
    </row>
    <row r="2067" spans="1:26" hidden="1">
      <c r="A2067" t="s">
        <v>706</v>
      </c>
      <c r="B2067" s="6">
        <v>44287</v>
      </c>
      <c r="C2067" s="6">
        <v>44651</v>
      </c>
      <c r="D2067">
        <v>20210401</v>
      </c>
      <c r="E2067">
        <v>20220331</v>
      </c>
      <c r="F2067" t="s">
        <v>4915</v>
      </c>
      <c r="G2067" t="s">
        <v>4916</v>
      </c>
      <c r="H2067" t="s">
        <v>590</v>
      </c>
      <c r="I2067" t="s">
        <v>1462</v>
      </c>
      <c r="L2067">
        <v>3</v>
      </c>
      <c r="M2067">
        <v>11700</v>
      </c>
      <c r="N2067">
        <v>-1</v>
      </c>
      <c r="O2067">
        <v>-3900</v>
      </c>
      <c r="X2067">
        <v>2</v>
      </c>
      <c r="Y2067">
        <v>7800</v>
      </c>
      <c r="Z2067" s="3">
        <f t="shared" si="32"/>
        <v>3900</v>
      </c>
    </row>
    <row r="2068" spans="1:26" hidden="1">
      <c r="A2068" t="s">
        <v>706</v>
      </c>
      <c r="B2068" s="6">
        <v>44287</v>
      </c>
      <c r="C2068" s="6">
        <v>44651</v>
      </c>
      <c r="D2068">
        <v>20210401</v>
      </c>
      <c r="E2068">
        <v>20220331</v>
      </c>
      <c r="F2068" t="s">
        <v>4917</v>
      </c>
      <c r="G2068" t="s">
        <v>4918</v>
      </c>
      <c r="H2068" t="s">
        <v>590</v>
      </c>
      <c r="I2068" t="s">
        <v>1462</v>
      </c>
      <c r="L2068">
        <v>2</v>
      </c>
      <c r="M2068">
        <v>12000</v>
      </c>
      <c r="N2068">
        <v>-1</v>
      </c>
      <c r="O2068">
        <v>-6000</v>
      </c>
      <c r="X2068">
        <v>1</v>
      </c>
      <c r="Y2068">
        <v>6000</v>
      </c>
      <c r="Z2068" s="3">
        <f t="shared" si="32"/>
        <v>6000</v>
      </c>
    </row>
    <row r="2069" spans="1:26" hidden="1">
      <c r="A2069" t="s">
        <v>706</v>
      </c>
      <c r="B2069" s="6">
        <v>44287</v>
      </c>
      <c r="C2069" s="6">
        <v>44651</v>
      </c>
      <c r="D2069">
        <v>20210401</v>
      </c>
      <c r="E2069">
        <v>20220331</v>
      </c>
      <c r="F2069" t="s">
        <v>4919</v>
      </c>
      <c r="G2069" t="s">
        <v>4920</v>
      </c>
      <c r="H2069" t="s">
        <v>590</v>
      </c>
      <c r="I2069" t="s">
        <v>1462</v>
      </c>
      <c r="L2069">
        <v>5</v>
      </c>
      <c r="M2069">
        <v>33495</v>
      </c>
      <c r="N2069">
        <v>-4</v>
      </c>
      <c r="O2069">
        <v>-26796</v>
      </c>
      <c r="X2069">
        <v>1</v>
      </c>
      <c r="Y2069">
        <v>6699</v>
      </c>
      <c r="Z2069" s="3">
        <f t="shared" si="32"/>
        <v>6699</v>
      </c>
    </row>
    <row r="2070" spans="1:26" hidden="1">
      <c r="A2070" t="s">
        <v>706</v>
      </c>
      <c r="B2070" s="6">
        <v>44287</v>
      </c>
      <c r="C2070" s="6">
        <v>44651</v>
      </c>
      <c r="D2070">
        <v>20210401</v>
      </c>
      <c r="E2070">
        <v>20220331</v>
      </c>
      <c r="F2070" t="s">
        <v>4921</v>
      </c>
      <c r="G2070" t="s">
        <v>4922</v>
      </c>
      <c r="H2070" t="s">
        <v>590</v>
      </c>
      <c r="I2070" t="s">
        <v>1462</v>
      </c>
      <c r="L2070">
        <v>2</v>
      </c>
      <c r="M2070">
        <v>4200</v>
      </c>
      <c r="N2070">
        <v>-2</v>
      </c>
      <c r="O2070">
        <v>-4200</v>
      </c>
      <c r="Z2070" s="3">
        <f t="shared" si="32"/>
        <v>2100</v>
      </c>
    </row>
    <row r="2071" spans="1:26" hidden="1">
      <c r="A2071" t="s">
        <v>706</v>
      </c>
      <c r="B2071" s="6">
        <v>44287</v>
      </c>
      <c r="C2071" s="6">
        <v>44651</v>
      </c>
      <c r="D2071">
        <v>20210401</v>
      </c>
      <c r="E2071">
        <v>20220331</v>
      </c>
      <c r="F2071" t="s">
        <v>4923</v>
      </c>
      <c r="G2071" t="s">
        <v>4924</v>
      </c>
      <c r="H2071" t="s">
        <v>590</v>
      </c>
      <c r="I2071" t="s">
        <v>1462</v>
      </c>
      <c r="L2071">
        <v>685</v>
      </c>
      <c r="M2071">
        <v>72610</v>
      </c>
      <c r="N2071">
        <v>-685</v>
      </c>
      <c r="O2071">
        <v>-72610</v>
      </c>
      <c r="Z2071" s="3">
        <f t="shared" si="32"/>
        <v>106</v>
      </c>
    </row>
    <row r="2072" spans="1:26" hidden="1">
      <c r="A2072" t="s">
        <v>706</v>
      </c>
      <c r="B2072" s="6">
        <v>44287</v>
      </c>
      <c r="C2072" s="6">
        <v>44651</v>
      </c>
      <c r="D2072">
        <v>20210401</v>
      </c>
      <c r="E2072">
        <v>20220331</v>
      </c>
      <c r="F2072" t="s">
        <v>4925</v>
      </c>
      <c r="G2072" t="s">
        <v>4926</v>
      </c>
      <c r="H2072" t="s">
        <v>590</v>
      </c>
      <c r="I2072" t="s">
        <v>1462</v>
      </c>
      <c r="L2072">
        <v>285</v>
      </c>
      <c r="M2072">
        <v>41895</v>
      </c>
      <c r="N2072">
        <v>-285</v>
      </c>
      <c r="O2072">
        <v>-41895</v>
      </c>
      <c r="Z2072" s="3">
        <f t="shared" si="32"/>
        <v>147</v>
      </c>
    </row>
    <row r="2073" spans="1:26" hidden="1">
      <c r="A2073" t="s">
        <v>706</v>
      </c>
      <c r="B2073" s="6">
        <v>44287</v>
      </c>
      <c r="C2073" s="6">
        <v>44651</v>
      </c>
      <c r="D2073">
        <v>20210401</v>
      </c>
      <c r="E2073">
        <v>20220331</v>
      </c>
      <c r="F2073" t="s">
        <v>4927</v>
      </c>
      <c r="G2073" t="s">
        <v>4928</v>
      </c>
      <c r="H2073" t="s">
        <v>590</v>
      </c>
      <c r="I2073" t="s">
        <v>1462</v>
      </c>
      <c r="L2073">
        <v>110</v>
      </c>
      <c r="M2073">
        <v>25190</v>
      </c>
      <c r="N2073">
        <v>-110</v>
      </c>
      <c r="O2073">
        <v>-25190</v>
      </c>
      <c r="Z2073" s="3">
        <f t="shared" si="32"/>
        <v>229</v>
      </c>
    </row>
    <row r="2074" spans="1:26" hidden="1">
      <c r="A2074" t="s">
        <v>706</v>
      </c>
      <c r="B2074" s="6">
        <v>44287</v>
      </c>
      <c r="C2074" s="6">
        <v>44651</v>
      </c>
      <c r="D2074">
        <v>20210401</v>
      </c>
      <c r="E2074">
        <v>20220331</v>
      </c>
      <c r="F2074" t="s">
        <v>4929</v>
      </c>
      <c r="G2074" t="s">
        <v>4930</v>
      </c>
      <c r="H2074" t="s">
        <v>1267</v>
      </c>
      <c r="I2074" t="s">
        <v>805</v>
      </c>
      <c r="L2074">
        <v>40</v>
      </c>
      <c r="M2074">
        <v>6100</v>
      </c>
      <c r="N2074">
        <v>-40</v>
      </c>
      <c r="O2074">
        <v>-6100</v>
      </c>
      <c r="Z2074" s="3">
        <f t="shared" si="32"/>
        <v>152.5</v>
      </c>
    </row>
    <row r="2075" spans="1:26" hidden="1">
      <c r="A2075" t="s">
        <v>706</v>
      </c>
      <c r="B2075" s="6">
        <v>44287</v>
      </c>
      <c r="C2075" s="6">
        <v>44651</v>
      </c>
      <c r="D2075">
        <v>20210401</v>
      </c>
      <c r="E2075">
        <v>20220331</v>
      </c>
      <c r="F2075" t="s">
        <v>4931</v>
      </c>
      <c r="G2075" t="s">
        <v>4932</v>
      </c>
      <c r="H2075" t="s">
        <v>590</v>
      </c>
      <c r="I2075" t="s">
        <v>1462</v>
      </c>
      <c r="L2075">
        <v>106</v>
      </c>
      <c r="M2075">
        <v>5194</v>
      </c>
      <c r="N2075">
        <v>-106</v>
      </c>
      <c r="O2075">
        <v>-5194</v>
      </c>
      <c r="Z2075" s="3">
        <f t="shared" si="32"/>
        <v>49</v>
      </c>
    </row>
    <row r="2076" spans="1:26" hidden="1">
      <c r="A2076" t="s">
        <v>706</v>
      </c>
      <c r="B2076" s="6">
        <v>44287</v>
      </c>
      <c r="C2076" s="6">
        <v>44651</v>
      </c>
      <c r="D2076">
        <v>20210401</v>
      </c>
      <c r="E2076">
        <v>20220331</v>
      </c>
      <c r="F2076" t="s">
        <v>4933</v>
      </c>
      <c r="G2076" t="s">
        <v>4934</v>
      </c>
      <c r="H2076" t="s">
        <v>590</v>
      </c>
      <c r="I2076" t="s">
        <v>805</v>
      </c>
      <c r="J2076">
        <v>100</v>
      </c>
      <c r="K2076">
        <v>2800</v>
      </c>
      <c r="L2076">
        <v>3035</v>
      </c>
      <c r="M2076">
        <v>84980</v>
      </c>
      <c r="N2076">
        <v>-3135</v>
      </c>
      <c r="O2076">
        <v>-87780</v>
      </c>
      <c r="Z2076" s="3">
        <f t="shared" si="32"/>
        <v>28</v>
      </c>
    </row>
    <row r="2077" spans="1:26" hidden="1">
      <c r="A2077" t="s">
        <v>706</v>
      </c>
      <c r="B2077" s="6">
        <v>44287</v>
      </c>
      <c r="C2077" s="6">
        <v>44651</v>
      </c>
      <c r="D2077">
        <v>20210401</v>
      </c>
      <c r="E2077">
        <v>20220331</v>
      </c>
      <c r="F2077" t="s">
        <v>4935</v>
      </c>
      <c r="G2077" t="s">
        <v>4936</v>
      </c>
      <c r="H2077" t="s">
        <v>590</v>
      </c>
      <c r="I2077" t="s">
        <v>1462</v>
      </c>
      <c r="L2077">
        <v>1795</v>
      </c>
      <c r="M2077">
        <v>89750</v>
      </c>
      <c r="N2077">
        <v>-1795</v>
      </c>
      <c r="O2077">
        <v>-89750</v>
      </c>
      <c r="Z2077" s="3">
        <f t="shared" si="32"/>
        <v>50</v>
      </c>
    </row>
    <row r="2078" spans="1:26" hidden="1">
      <c r="A2078" t="s">
        <v>706</v>
      </c>
      <c r="B2078" s="6">
        <v>44287</v>
      </c>
      <c r="C2078" s="6">
        <v>44651</v>
      </c>
      <c r="D2078">
        <v>20210401</v>
      </c>
      <c r="E2078">
        <v>20220331</v>
      </c>
      <c r="F2078" t="s">
        <v>4937</v>
      </c>
      <c r="G2078" t="s">
        <v>4938</v>
      </c>
      <c r="H2078" t="s">
        <v>590</v>
      </c>
      <c r="I2078" t="s">
        <v>1462</v>
      </c>
      <c r="L2078">
        <v>2</v>
      </c>
      <c r="M2078">
        <v>600</v>
      </c>
      <c r="X2078">
        <v>2</v>
      </c>
      <c r="Y2078">
        <v>600</v>
      </c>
      <c r="Z2078" s="3">
        <f t="shared" si="32"/>
        <v>300</v>
      </c>
    </row>
    <row r="2079" spans="1:26" hidden="1">
      <c r="A2079" t="s">
        <v>706</v>
      </c>
      <c r="B2079" s="6">
        <v>44287</v>
      </c>
      <c r="C2079" s="6">
        <v>44651</v>
      </c>
      <c r="D2079">
        <v>20210401</v>
      </c>
      <c r="E2079">
        <v>20220331</v>
      </c>
      <c r="F2079" t="s">
        <v>4939</v>
      </c>
      <c r="G2079" t="s">
        <v>4940</v>
      </c>
      <c r="H2079" t="s">
        <v>590</v>
      </c>
      <c r="I2079" t="s">
        <v>805</v>
      </c>
      <c r="L2079">
        <v>3</v>
      </c>
      <c r="M2079">
        <v>4605</v>
      </c>
      <c r="N2079">
        <v>-3</v>
      </c>
      <c r="O2079">
        <v>-4605</v>
      </c>
      <c r="Z2079" s="3">
        <f t="shared" si="32"/>
        <v>1535</v>
      </c>
    </row>
    <row r="2080" spans="1:26" hidden="1">
      <c r="A2080" t="s">
        <v>706</v>
      </c>
      <c r="B2080" s="6">
        <v>44287</v>
      </c>
      <c r="C2080" s="6">
        <v>44651</v>
      </c>
      <c r="D2080">
        <v>20210401</v>
      </c>
      <c r="E2080">
        <v>20220331</v>
      </c>
      <c r="F2080" t="s">
        <v>4941</v>
      </c>
      <c r="G2080" t="s">
        <v>4942</v>
      </c>
      <c r="H2080" t="s">
        <v>590</v>
      </c>
      <c r="I2080" t="s">
        <v>805</v>
      </c>
      <c r="L2080">
        <v>3</v>
      </c>
      <c r="M2080">
        <v>1650</v>
      </c>
      <c r="N2080">
        <v>-3</v>
      </c>
      <c r="O2080">
        <v>-1650</v>
      </c>
      <c r="Z2080" s="3">
        <f t="shared" si="32"/>
        <v>550</v>
      </c>
    </row>
    <row r="2081" spans="1:26" hidden="1">
      <c r="A2081" t="s">
        <v>706</v>
      </c>
      <c r="B2081" s="6">
        <v>44287</v>
      </c>
      <c r="C2081" s="6">
        <v>44651</v>
      </c>
      <c r="D2081">
        <v>20210401</v>
      </c>
      <c r="E2081">
        <v>20220331</v>
      </c>
      <c r="F2081" t="s">
        <v>4943</v>
      </c>
      <c r="G2081" t="s">
        <v>4944</v>
      </c>
      <c r="H2081" t="s">
        <v>590</v>
      </c>
      <c r="I2081" t="s">
        <v>1462</v>
      </c>
      <c r="L2081">
        <v>1</v>
      </c>
      <c r="M2081">
        <v>16155</v>
      </c>
      <c r="N2081">
        <v>-1</v>
      </c>
      <c r="O2081">
        <v>-16155</v>
      </c>
      <c r="Z2081" s="3">
        <f t="shared" si="32"/>
        <v>16155</v>
      </c>
    </row>
    <row r="2082" spans="1:26" hidden="1">
      <c r="A2082" t="s">
        <v>706</v>
      </c>
      <c r="B2082" s="6">
        <v>44287</v>
      </c>
      <c r="C2082" s="6">
        <v>44651</v>
      </c>
      <c r="D2082">
        <v>20210401</v>
      </c>
      <c r="E2082">
        <v>20220331</v>
      </c>
      <c r="F2082" t="s">
        <v>4945</v>
      </c>
      <c r="G2082" t="s">
        <v>4946</v>
      </c>
      <c r="H2082" t="s">
        <v>590</v>
      </c>
      <c r="I2082" t="s">
        <v>1462</v>
      </c>
      <c r="L2082">
        <v>4</v>
      </c>
      <c r="M2082">
        <v>8280</v>
      </c>
      <c r="N2082">
        <v>-4</v>
      </c>
      <c r="O2082">
        <v>-8280</v>
      </c>
      <c r="Z2082" s="3">
        <f t="shared" si="32"/>
        <v>2070</v>
      </c>
    </row>
    <row r="2083" spans="1:26" hidden="1">
      <c r="A2083" t="s">
        <v>706</v>
      </c>
      <c r="B2083" s="6">
        <v>44287</v>
      </c>
      <c r="C2083" s="6">
        <v>44651</v>
      </c>
      <c r="D2083">
        <v>20210401</v>
      </c>
      <c r="E2083">
        <v>20220331</v>
      </c>
      <c r="F2083" t="s">
        <v>4947</v>
      </c>
      <c r="G2083" t="s">
        <v>4948</v>
      </c>
      <c r="H2083" t="s">
        <v>590</v>
      </c>
      <c r="I2083" t="s">
        <v>1462</v>
      </c>
      <c r="L2083">
        <v>2</v>
      </c>
      <c r="M2083">
        <v>675</v>
      </c>
      <c r="N2083">
        <v>-2</v>
      </c>
      <c r="O2083">
        <v>-675</v>
      </c>
      <c r="Z2083" s="3">
        <f t="shared" si="32"/>
        <v>337.5</v>
      </c>
    </row>
    <row r="2084" spans="1:26" hidden="1">
      <c r="A2084" t="s">
        <v>706</v>
      </c>
      <c r="B2084" s="6">
        <v>44287</v>
      </c>
      <c r="C2084" s="6">
        <v>44651</v>
      </c>
      <c r="D2084">
        <v>20210401</v>
      </c>
      <c r="E2084">
        <v>20220331</v>
      </c>
      <c r="F2084" t="s">
        <v>4949</v>
      </c>
      <c r="G2084" t="s">
        <v>4950</v>
      </c>
      <c r="H2084" t="s">
        <v>590</v>
      </c>
      <c r="I2084" t="s">
        <v>1462</v>
      </c>
      <c r="L2084">
        <v>1</v>
      </c>
      <c r="M2084">
        <v>8397.44</v>
      </c>
      <c r="N2084">
        <v>-1</v>
      </c>
      <c r="O2084">
        <v>-8397.44</v>
      </c>
      <c r="Z2084" s="3">
        <f t="shared" si="32"/>
        <v>8397.44</v>
      </c>
    </row>
    <row r="2085" spans="1:26" hidden="1">
      <c r="A2085" t="s">
        <v>706</v>
      </c>
      <c r="B2085" s="6">
        <v>44287</v>
      </c>
      <c r="C2085" s="6">
        <v>44651</v>
      </c>
      <c r="D2085">
        <v>20210401</v>
      </c>
      <c r="E2085">
        <v>20220331</v>
      </c>
      <c r="F2085" t="s">
        <v>4951</v>
      </c>
      <c r="G2085" t="s">
        <v>4952</v>
      </c>
      <c r="H2085" t="s">
        <v>590</v>
      </c>
      <c r="I2085" t="s">
        <v>1462</v>
      </c>
      <c r="L2085">
        <v>1</v>
      </c>
      <c r="M2085">
        <v>10427.5</v>
      </c>
      <c r="N2085">
        <v>-1</v>
      </c>
      <c r="O2085">
        <v>-10427.5</v>
      </c>
      <c r="Z2085" s="3">
        <f t="shared" si="32"/>
        <v>10427.5</v>
      </c>
    </row>
    <row r="2086" spans="1:26" hidden="1">
      <c r="A2086" t="s">
        <v>706</v>
      </c>
      <c r="B2086" s="6">
        <v>44287</v>
      </c>
      <c r="C2086" s="6">
        <v>44651</v>
      </c>
      <c r="D2086">
        <v>20210401</v>
      </c>
      <c r="E2086">
        <v>20220331</v>
      </c>
      <c r="F2086" t="s">
        <v>4953</v>
      </c>
      <c r="G2086" t="s">
        <v>4954</v>
      </c>
      <c r="H2086" t="s">
        <v>590</v>
      </c>
      <c r="I2086" t="s">
        <v>1462</v>
      </c>
      <c r="L2086">
        <v>1</v>
      </c>
      <c r="M2086">
        <v>3162.6</v>
      </c>
      <c r="N2086">
        <v>-1</v>
      </c>
      <c r="O2086">
        <v>-3162.6</v>
      </c>
      <c r="Z2086" s="3">
        <f t="shared" si="32"/>
        <v>3162.6</v>
      </c>
    </row>
    <row r="2087" spans="1:26" hidden="1">
      <c r="A2087" t="s">
        <v>706</v>
      </c>
      <c r="B2087" s="6">
        <v>44287</v>
      </c>
      <c r="C2087" s="6">
        <v>44651</v>
      </c>
      <c r="D2087">
        <v>20210401</v>
      </c>
      <c r="E2087">
        <v>20220331</v>
      </c>
      <c r="F2087" t="s">
        <v>4955</v>
      </c>
      <c r="G2087" t="s">
        <v>4956</v>
      </c>
      <c r="H2087" t="s">
        <v>590</v>
      </c>
      <c r="I2087" t="s">
        <v>1462</v>
      </c>
      <c r="L2087">
        <v>1</v>
      </c>
      <c r="M2087">
        <v>30330.93</v>
      </c>
      <c r="N2087">
        <v>-1</v>
      </c>
      <c r="O2087">
        <v>-30330.93</v>
      </c>
      <c r="Z2087" s="3">
        <f t="shared" si="32"/>
        <v>30330.93</v>
      </c>
    </row>
    <row r="2088" spans="1:26" hidden="1">
      <c r="A2088" t="s">
        <v>706</v>
      </c>
      <c r="B2088" s="6">
        <v>44287</v>
      </c>
      <c r="C2088" s="6">
        <v>44651</v>
      </c>
      <c r="D2088">
        <v>20210401</v>
      </c>
      <c r="E2088">
        <v>20220331</v>
      </c>
      <c r="F2088" t="s">
        <v>4957</v>
      </c>
      <c r="G2088" t="s">
        <v>4958</v>
      </c>
      <c r="H2088" t="s">
        <v>590</v>
      </c>
      <c r="I2088" t="s">
        <v>1462</v>
      </c>
      <c r="L2088">
        <v>4</v>
      </c>
      <c r="M2088">
        <v>166.5</v>
      </c>
      <c r="N2088">
        <v>-4</v>
      </c>
      <c r="O2088">
        <v>-166.5</v>
      </c>
      <c r="Z2088" s="3">
        <f t="shared" si="32"/>
        <v>41.625</v>
      </c>
    </row>
    <row r="2089" spans="1:26" hidden="1">
      <c r="A2089" t="s">
        <v>706</v>
      </c>
      <c r="B2089" s="6">
        <v>44287</v>
      </c>
      <c r="C2089" s="6">
        <v>44651</v>
      </c>
      <c r="D2089">
        <v>20210401</v>
      </c>
      <c r="E2089">
        <v>20220331</v>
      </c>
      <c r="F2089" t="s">
        <v>4959</v>
      </c>
      <c r="G2089" t="s">
        <v>4960</v>
      </c>
      <c r="H2089" t="s">
        <v>1973</v>
      </c>
      <c r="I2089" t="s">
        <v>1462</v>
      </c>
      <c r="L2089">
        <v>8</v>
      </c>
      <c r="M2089">
        <v>14430</v>
      </c>
      <c r="N2089">
        <v>-8</v>
      </c>
      <c r="O2089">
        <v>-14430</v>
      </c>
      <c r="Z2089" s="3">
        <f t="shared" si="32"/>
        <v>1803.75</v>
      </c>
    </row>
    <row r="2090" spans="1:26" hidden="1">
      <c r="A2090" t="s">
        <v>706</v>
      </c>
      <c r="B2090" s="6">
        <v>44287</v>
      </c>
      <c r="C2090" s="6">
        <v>44651</v>
      </c>
      <c r="D2090">
        <v>20210401</v>
      </c>
      <c r="E2090">
        <v>20220331</v>
      </c>
      <c r="F2090" t="s">
        <v>4961</v>
      </c>
      <c r="G2090" t="s">
        <v>4962</v>
      </c>
      <c r="H2090" t="s">
        <v>590</v>
      </c>
      <c r="I2090" t="s">
        <v>1462</v>
      </c>
      <c r="L2090">
        <v>4</v>
      </c>
      <c r="M2090">
        <v>222</v>
      </c>
      <c r="N2090">
        <v>-4</v>
      </c>
      <c r="O2090">
        <v>-222</v>
      </c>
      <c r="Z2090" s="3">
        <f t="shared" si="32"/>
        <v>55.5</v>
      </c>
    </row>
    <row r="2091" spans="1:26" hidden="1">
      <c r="A2091" t="s">
        <v>706</v>
      </c>
      <c r="B2091" s="6">
        <v>44287</v>
      </c>
      <c r="C2091" s="6">
        <v>44651</v>
      </c>
      <c r="D2091">
        <v>20210401</v>
      </c>
      <c r="E2091">
        <v>20220331</v>
      </c>
      <c r="F2091" t="s">
        <v>4963</v>
      </c>
      <c r="G2091" t="s">
        <v>4940</v>
      </c>
      <c r="H2091" t="s">
        <v>590</v>
      </c>
      <c r="I2091" t="s">
        <v>1462</v>
      </c>
      <c r="L2091">
        <v>2</v>
      </c>
      <c r="M2091">
        <v>19425</v>
      </c>
      <c r="N2091">
        <v>-2</v>
      </c>
      <c r="O2091">
        <v>-19425</v>
      </c>
      <c r="Z2091" s="3">
        <f t="shared" si="32"/>
        <v>9712.5</v>
      </c>
    </row>
    <row r="2092" spans="1:26" hidden="1">
      <c r="A2092" t="s">
        <v>706</v>
      </c>
      <c r="B2092" s="6">
        <v>44287</v>
      </c>
      <c r="C2092" s="6">
        <v>44651</v>
      </c>
      <c r="D2092">
        <v>20210401</v>
      </c>
      <c r="E2092">
        <v>20220331</v>
      </c>
      <c r="F2092" t="s">
        <v>4964</v>
      </c>
      <c r="G2092" t="s">
        <v>4965</v>
      </c>
      <c r="H2092" t="s">
        <v>590</v>
      </c>
      <c r="I2092" t="s">
        <v>1462</v>
      </c>
      <c r="L2092">
        <v>1</v>
      </c>
      <c r="M2092">
        <v>39000</v>
      </c>
      <c r="N2092">
        <v>-1</v>
      </c>
      <c r="O2092">
        <v>-39000</v>
      </c>
      <c r="Z2092" s="3">
        <f t="shared" si="32"/>
        <v>39000</v>
      </c>
    </row>
    <row r="2093" spans="1:26" hidden="1">
      <c r="A2093" t="s">
        <v>706</v>
      </c>
      <c r="B2093" s="6">
        <v>44287</v>
      </c>
      <c r="C2093" s="6">
        <v>44651</v>
      </c>
      <c r="D2093">
        <v>20210401</v>
      </c>
      <c r="E2093">
        <v>20220331</v>
      </c>
      <c r="F2093" t="s">
        <v>4966</v>
      </c>
      <c r="G2093" t="s">
        <v>4967</v>
      </c>
      <c r="H2093" t="s">
        <v>590</v>
      </c>
      <c r="I2093" t="s">
        <v>1462</v>
      </c>
      <c r="L2093">
        <v>16</v>
      </c>
      <c r="M2093">
        <v>16280</v>
      </c>
      <c r="N2093">
        <v>-16</v>
      </c>
      <c r="O2093">
        <v>-16280</v>
      </c>
      <c r="Z2093" s="3">
        <f t="shared" si="32"/>
        <v>1017.5</v>
      </c>
    </row>
    <row r="2094" spans="1:26" hidden="1">
      <c r="A2094" t="s">
        <v>706</v>
      </c>
      <c r="B2094" s="6">
        <v>44287</v>
      </c>
      <c r="C2094" s="6">
        <v>44651</v>
      </c>
      <c r="D2094">
        <v>20210401</v>
      </c>
      <c r="E2094">
        <v>20220331</v>
      </c>
      <c r="F2094" t="s">
        <v>4968</v>
      </c>
      <c r="G2094" t="s">
        <v>4969</v>
      </c>
      <c r="H2094" t="s">
        <v>590</v>
      </c>
      <c r="I2094" t="s">
        <v>1462</v>
      </c>
      <c r="L2094">
        <v>4</v>
      </c>
      <c r="M2094">
        <v>2590</v>
      </c>
      <c r="N2094">
        <v>-4</v>
      </c>
      <c r="O2094">
        <v>-2590</v>
      </c>
      <c r="Z2094" s="3">
        <f t="shared" si="32"/>
        <v>647.5</v>
      </c>
    </row>
    <row r="2095" spans="1:26" hidden="1">
      <c r="A2095" t="s">
        <v>706</v>
      </c>
      <c r="B2095" s="6">
        <v>44287</v>
      </c>
      <c r="C2095" s="6">
        <v>44651</v>
      </c>
      <c r="D2095">
        <v>20210401</v>
      </c>
      <c r="E2095">
        <v>20220331</v>
      </c>
      <c r="F2095" t="s">
        <v>4970</v>
      </c>
      <c r="G2095" t="s">
        <v>4971</v>
      </c>
      <c r="H2095" t="s">
        <v>590</v>
      </c>
      <c r="I2095" t="s">
        <v>1462</v>
      </c>
      <c r="L2095">
        <v>8</v>
      </c>
      <c r="M2095">
        <v>481</v>
      </c>
      <c r="N2095">
        <v>-8</v>
      </c>
      <c r="O2095">
        <v>-481</v>
      </c>
      <c r="Z2095" s="3">
        <f t="shared" si="32"/>
        <v>60.125</v>
      </c>
    </row>
    <row r="2096" spans="1:26" hidden="1">
      <c r="A2096" t="s">
        <v>706</v>
      </c>
      <c r="B2096" s="6">
        <v>44287</v>
      </c>
      <c r="C2096" s="6">
        <v>44651</v>
      </c>
      <c r="D2096">
        <v>20210401</v>
      </c>
      <c r="E2096">
        <v>20220331</v>
      </c>
      <c r="F2096" t="s">
        <v>4972</v>
      </c>
      <c r="G2096" t="s">
        <v>4973</v>
      </c>
      <c r="H2096" t="s">
        <v>590</v>
      </c>
      <c r="I2096" t="s">
        <v>1462</v>
      </c>
      <c r="L2096">
        <v>8</v>
      </c>
      <c r="M2096">
        <v>629</v>
      </c>
      <c r="N2096">
        <v>-8</v>
      </c>
      <c r="O2096">
        <v>-629</v>
      </c>
      <c r="Z2096" s="3">
        <f t="shared" si="32"/>
        <v>78.625</v>
      </c>
    </row>
    <row r="2097" spans="1:26" hidden="1">
      <c r="A2097" t="s">
        <v>706</v>
      </c>
      <c r="B2097" s="6">
        <v>44287</v>
      </c>
      <c r="C2097" s="6">
        <v>44651</v>
      </c>
      <c r="D2097">
        <v>20210401</v>
      </c>
      <c r="E2097">
        <v>20220331</v>
      </c>
      <c r="F2097" t="s">
        <v>4974</v>
      </c>
      <c r="G2097" t="s">
        <v>4975</v>
      </c>
      <c r="H2097" t="s">
        <v>590</v>
      </c>
      <c r="I2097" t="s">
        <v>1462</v>
      </c>
      <c r="L2097">
        <v>2</v>
      </c>
      <c r="M2097">
        <v>45964.35</v>
      </c>
      <c r="N2097">
        <v>-2</v>
      </c>
      <c r="O2097">
        <v>-45964.35</v>
      </c>
      <c r="Z2097" s="3">
        <f t="shared" si="32"/>
        <v>22982.174999999999</v>
      </c>
    </row>
    <row r="2098" spans="1:26" hidden="1">
      <c r="A2098" t="s">
        <v>706</v>
      </c>
      <c r="B2098" s="6">
        <v>44287</v>
      </c>
      <c r="C2098" s="6">
        <v>44651</v>
      </c>
      <c r="D2098">
        <v>20210401</v>
      </c>
      <c r="E2098">
        <v>20220331</v>
      </c>
      <c r="F2098" t="s">
        <v>4976</v>
      </c>
      <c r="G2098" t="s">
        <v>4977</v>
      </c>
      <c r="H2098" t="s">
        <v>590</v>
      </c>
      <c r="I2098" t="s">
        <v>1462</v>
      </c>
      <c r="L2098">
        <v>2</v>
      </c>
      <c r="M2098">
        <v>17431.650000000001</v>
      </c>
      <c r="N2098">
        <v>-2</v>
      </c>
      <c r="O2098">
        <v>-17431.650000000001</v>
      </c>
      <c r="Z2098" s="3">
        <f t="shared" si="32"/>
        <v>8715.8250000000007</v>
      </c>
    </row>
    <row r="2099" spans="1:26" hidden="1">
      <c r="A2099" t="s">
        <v>706</v>
      </c>
      <c r="B2099" s="6">
        <v>44287</v>
      </c>
      <c r="C2099" s="6">
        <v>44651</v>
      </c>
      <c r="D2099">
        <v>20210401</v>
      </c>
      <c r="E2099">
        <v>20220331</v>
      </c>
      <c r="F2099" t="s">
        <v>4978</v>
      </c>
      <c r="G2099" t="s">
        <v>4979</v>
      </c>
      <c r="H2099" t="s">
        <v>590</v>
      </c>
      <c r="I2099" t="s">
        <v>1462</v>
      </c>
      <c r="L2099">
        <v>50</v>
      </c>
      <c r="M2099">
        <v>8250</v>
      </c>
      <c r="N2099">
        <v>-50</v>
      </c>
      <c r="O2099">
        <v>-8250</v>
      </c>
      <c r="Z2099" s="3">
        <f t="shared" si="32"/>
        <v>165</v>
      </c>
    </row>
    <row r="2100" spans="1:26" hidden="1">
      <c r="A2100" t="s">
        <v>706</v>
      </c>
      <c r="B2100" s="6">
        <v>44287</v>
      </c>
      <c r="C2100" s="6">
        <v>44651</v>
      </c>
      <c r="D2100">
        <v>20210401</v>
      </c>
      <c r="E2100">
        <v>20220331</v>
      </c>
      <c r="F2100" t="s">
        <v>4980</v>
      </c>
      <c r="G2100" t="s">
        <v>4981</v>
      </c>
      <c r="H2100" t="s">
        <v>590</v>
      </c>
      <c r="I2100" t="s">
        <v>805</v>
      </c>
      <c r="L2100">
        <v>2</v>
      </c>
      <c r="M2100">
        <v>2584</v>
      </c>
      <c r="N2100">
        <v>-2</v>
      </c>
      <c r="O2100">
        <v>-2584</v>
      </c>
      <c r="Z2100" s="3">
        <f t="shared" si="32"/>
        <v>1292</v>
      </c>
    </row>
    <row r="2101" spans="1:26" hidden="1">
      <c r="A2101" t="s">
        <v>706</v>
      </c>
      <c r="B2101" s="6">
        <v>44287</v>
      </c>
      <c r="C2101" s="6">
        <v>44651</v>
      </c>
      <c r="D2101">
        <v>20210401</v>
      </c>
      <c r="E2101">
        <v>20220331</v>
      </c>
      <c r="F2101" t="s">
        <v>4982</v>
      </c>
      <c r="G2101" t="s">
        <v>4983</v>
      </c>
      <c r="H2101" t="s">
        <v>590</v>
      </c>
      <c r="I2101" t="s">
        <v>805</v>
      </c>
      <c r="L2101">
        <v>4</v>
      </c>
      <c r="M2101">
        <v>1552</v>
      </c>
      <c r="N2101">
        <v>-4</v>
      </c>
      <c r="O2101">
        <v>-1552</v>
      </c>
      <c r="Z2101" s="3">
        <f t="shared" si="32"/>
        <v>388</v>
      </c>
    </row>
    <row r="2102" spans="1:26" hidden="1">
      <c r="A2102" t="s">
        <v>706</v>
      </c>
      <c r="B2102" s="6">
        <v>44287</v>
      </c>
      <c r="C2102" s="6">
        <v>44651</v>
      </c>
      <c r="D2102">
        <v>20210401</v>
      </c>
      <c r="E2102">
        <v>20220331</v>
      </c>
      <c r="F2102" t="s">
        <v>4984</v>
      </c>
      <c r="G2102" t="s">
        <v>4985</v>
      </c>
      <c r="H2102" t="s">
        <v>590</v>
      </c>
      <c r="I2102" t="s">
        <v>805</v>
      </c>
      <c r="L2102">
        <v>2</v>
      </c>
      <c r="M2102">
        <v>6300</v>
      </c>
      <c r="N2102">
        <v>-2</v>
      </c>
      <c r="O2102">
        <v>-6300</v>
      </c>
      <c r="Z2102" s="3">
        <f t="shared" si="32"/>
        <v>3150</v>
      </c>
    </row>
    <row r="2103" spans="1:26" hidden="1">
      <c r="A2103" t="s">
        <v>706</v>
      </c>
      <c r="B2103" s="6">
        <v>44287</v>
      </c>
      <c r="C2103" s="6">
        <v>44651</v>
      </c>
      <c r="D2103">
        <v>20210401</v>
      </c>
      <c r="E2103">
        <v>20220331</v>
      </c>
      <c r="F2103" t="s">
        <v>4986</v>
      </c>
      <c r="G2103" t="s">
        <v>4987</v>
      </c>
      <c r="H2103" t="s">
        <v>590</v>
      </c>
      <c r="I2103" t="s">
        <v>805</v>
      </c>
      <c r="L2103">
        <v>9</v>
      </c>
      <c r="M2103">
        <v>3626</v>
      </c>
      <c r="N2103">
        <v>-9</v>
      </c>
      <c r="O2103">
        <v>-3626</v>
      </c>
      <c r="Z2103" s="3">
        <f t="shared" si="32"/>
        <v>402.88888888888891</v>
      </c>
    </row>
    <row r="2104" spans="1:26" hidden="1">
      <c r="A2104" t="s">
        <v>706</v>
      </c>
      <c r="B2104" s="6">
        <v>44287</v>
      </c>
      <c r="C2104" s="6">
        <v>44651</v>
      </c>
      <c r="D2104">
        <v>20210401</v>
      </c>
      <c r="E2104">
        <v>20220331</v>
      </c>
      <c r="F2104" t="s">
        <v>4988</v>
      </c>
      <c r="G2104" t="s">
        <v>4989</v>
      </c>
      <c r="H2104" t="s">
        <v>590</v>
      </c>
      <c r="I2104" t="s">
        <v>805</v>
      </c>
      <c r="L2104">
        <v>8</v>
      </c>
      <c r="M2104">
        <v>6492</v>
      </c>
      <c r="N2104">
        <v>-8</v>
      </c>
      <c r="O2104">
        <v>-6492</v>
      </c>
      <c r="Z2104" s="3">
        <f t="shared" si="32"/>
        <v>811.5</v>
      </c>
    </row>
    <row r="2105" spans="1:26" hidden="1">
      <c r="A2105" t="s">
        <v>706</v>
      </c>
      <c r="B2105" s="6">
        <v>44287</v>
      </c>
      <c r="C2105" s="6">
        <v>44651</v>
      </c>
      <c r="D2105">
        <v>20210401</v>
      </c>
      <c r="E2105">
        <v>20220331</v>
      </c>
      <c r="F2105" t="s">
        <v>4990</v>
      </c>
      <c r="G2105" t="s">
        <v>4991</v>
      </c>
      <c r="H2105" t="s">
        <v>590</v>
      </c>
      <c r="I2105" t="s">
        <v>805</v>
      </c>
      <c r="J2105">
        <v>12</v>
      </c>
      <c r="K2105">
        <v>12</v>
      </c>
      <c r="N2105">
        <v>-12</v>
      </c>
      <c r="O2105">
        <v>-12</v>
      </c>
      <c r="Z2105" s="3">
        <f t="shared" si="32"/>
        <v>1</v>
      </c>
    </row>
    <row r="2106" spans="1:26" hidden="1">
      <c r="A2106" t="s">
        <v>706</v>
      </c>
      <c r="B2106" s="6">
        <v>44287</v>
      </c>
      <c r="C2106" s="6">
        <v>44651</v>
      </c>
      <c r="D2106">
        <v>20210401</v>
      </c>
      <c r="E2106">
        <v>20220331</v>
      </c>
      <c r="F2106" t="s">
        <v>4992</v>
      </c>
      <c r="G2106" t="s">
        <v>4993</v>
      </c>
      <c r="H2106" t="s">
        <v>590</v>
      </c>
      <c r="I2106" t="s">
        <v>805</v>
      </c>
      <c r="K2106">
        <v>0.01</v>
      </c>
      <c r="L2106">
        <v>4</v>
      </c>
      <c r="M2106">
        <v>2033.88</v>
      </c>
      <c r="N2106">
        <v>-4</v>
      </c>
      <c r="O2106">
        <v>-2033.88</v>
      </c>
      <c r="Y2106">
        <v>0.01</v>
      </c>
      <c r="Z2106" s="3">
        <f t="shared" si="32"/>
        <v>508.47</v>
      </c>
    </row>
    <row r="2107" spans="1:26" hidden="1">
      <c r="A2107" t="s">
        <v>706</v>
      </c>
      <c r="B2107" s="6">
        <v>44287</v>
      </c>
      <c r="C2107" s="6">
        <v>44651</v>
      </c>
      <c r="D2107">
        <v>20210401</v>
      </c>
      <c r="E2107">
        <v>20220331</v>
      </c>
      <c r="F2107" t="s">
        <v>4994</v>
      </c>
      <c r="G2107" t="s">
        <v>4995</v>
      </c>
      <c r="H2107" t="s">
        <v>590</v>
      </c>
      <c r="I2107" t="s">
        <v>1462</v>
      </c>
      <c r="L2107">
        <v>22</v>
      </c>
      <c r="M2107">
        <v>1400</v>
      </c>
      <c r="N2107">
        <v>-22</v>
      </c>
      <c r="O2107">
        <v>-1400</v>
      </c>
      <c r="Z2107" s="3">
        <f t="shared" si="32"/>
        <v>63.636363636363633</v>
      </c>
    </row>
    <row r="2108" spans="1:26" hidden="1">
      <c r="A2108" t="s">
        <v>706</v>
      </c>
      <c r="B2108" s="6">
        <v>44287</v>
      </c>
      <c r="C2108" s="6">
        <v>44651</v>
      </c>
      <c r="D2108">
        <v>20210401</v>
      </c>
      <c r="E2108">
        <v>20220331</v>
      </c>
      <c r="F2108" t="s">
        <v>4996</v>
      </c>
      <c r="G2108" t="s">
        <v>4997</v>
      </c>
      <c r="H2108" t="s">
        <v>590</v>
      </c>
      <c r="I2108" t="s">
        <v>1462</v>
      </c>
      <c r="L2108">
        <v>2</v>
      </c>
      <c r="M2108">
        <v>8770</v>
      </c>
      <c r="N2108">
        <v>-2</v>
      </c>
      <c r="O2108">
        <v>-8644.5</v>
      </c>
      <c r="P2108">
        <v>1</v>
      </c>
      <c r="Q2108">
        <v>4224.5</v>
      </c>
      <c r="X2108">
        <v>1</v>
      </c>
      <c r="Y2108">
        <v>4350</v>
      </c>
      <c r="Z2108" s="3">
        <f t="shared" si="32"/>
        <v>4420</v>
      </c>
    </row>
    <row r="2109" spans="1:26" hidden="1">
      <c r="A2109" t="s">
        <v>706</v>
      </c>
      <c r="B2109" s="6">
        <v>44287</v>
      </c>
      <c r="C2109" s="6">
        <v>44651</v>
      </c>
      <c r="D2109">
        <v>20210401</v>
      </c>
      <c r="E2109">
        <v>20220331</v>
      </c>
      <c r="F2109" t="s">
        <v>4998</v>
      </c>
      <c r="G2109" t="s">
        <v>4999</v>
      </c>
      <c r="H2109" t="s">
        <v>590</v>
      </c>
      <c r="I2109" t="s">
        <v>1462</v>
      </c>
      <c r="N2109">
        <v>-3</v>
      </c>
      <c r="O2109">
        <v>-750</v>
      </c>
      <c r="P2109">
        <v>3</v>
      </c>
      <c r="Q2109">
        <v>750</v>
      </c>
      <c r="Z2109" s="3" t="e">
        <f t="shared" si="32"/>
        <v>#DIV/0!</v>
      </c>
    </row>
    <row r="2110" spans="1:26" hidden="1">
      <c r="A2110" t="s">
        <v>706</v>
      </c>
      <c r="B2110" s="6">
        <v>44287</v>
      </c>
      <c r="C2110" s="6">
        <v>44651</v>
      </c>
      <c r="D2110">
        <v>20210401</v>
      </c>
      <c r="E2110">
        <v>20220331</v>
      </c>
      <c r="F2110" t="s">
        <v>5000</v>
      </c>
      <c r="G2110" t="s">
        <v>5001</v>
      </c>
      <c r="H2110" t="s">
        <v>590</v>
      </c>
      <c r="I2110" t="s">
        <v>1462</v>
      </c>
      <c r="K2110">
        <v>0.04</v>
      </c>
      <c r="L2110">
        <v>8</v>
      </c>
      <c r="M2110">
        <v>2664</v>
      </c>
      <c r="N2110">
        <v>-18</v>
      </c>
      <c r="O2110">
        <v>-9188.57</v>
      </c>
      <c r="P2110">
        <v>10</v>
      </c>
      <c r="Q2110">
        <v>6524.57</v>
      </c>
      <c r="Y2110">
        <v>0.04</v>
      </c>
      <c r="Z2110" s="3">
        <f t="shared" si="32"/>
        <v>333</v>
      </c>
    </row>
    <row r="2111" spans="1:26" hidden="1">
      <c r="A2111" t="s">
        <v>706</v>
      </c>
      <c r="B2111" s="6">
        <v>44287</v>
      </c>
      <c r="C2111" s="6">
        <v>44651</v>
      </c>
      <c r="D2111">
        <v>20210401</v>
      </c>
      <c r="E2111">
        <v>20220331</v>
      </c>
      <c r="F2111" t="s">
        <v>5002</v>
      </c>
      <c r="G2111" t="s">
        <v>5003</v>
      </c>
      <c r="H2111" t="s">
        <v>1973</v>
      </c>
      <c r="I2111" t="s">
        <v>1462</v>
      </c>
      <c r="L2111">
        <v>4</v>
      </c>
      <c r="M2111">
        <v>3388</v>
      </c>
      <c r="N2111">
        <v>-5</v>
      </c>
      <c r="O2111">
        <v>-4235</v>
      </c>
      <c r="P2111">
        <v>1</v>
      </c>
      <c r="Q2111">
        <v>847</v>
      </c>
      <c r="Z2111" s="3">
        <f t="shared" si="32"/>
        <v>847</v>
      </c>
    </row>
    <row r="2112" spans="1:26" hidden="1">
      <c r="A2112" t="s">
        <v>706</v>
      </c>
      <c r="B2112" s="6">
        <v>44287</v>
      </c>
      <c r="C2112" s="6">
        <v>44651</v>
      </c>
      <c r="D2112">
        <v>20210401</v>
      </c>
      <c r="E2112">
        <v>20220331</v>
      </c>
      <c r="F2112" t="s">
        <v>5004</v>
      </c>
      <c r="G2112" t="s">
        <v>5005</v>
      </c>
      <c r="H2112" t="s">
        <v>590</v>
      </c>
      <c r="I2112" t="s">
        <v>1462</v>
      </c>
      <c r="L2112">
        <v>1</v>
      </c>
      <c r="M2112">
        <v>3320.1</v>
      </c>
      <c r="X2112">
        <v>1</v>
      </c>
      <c r="Y2112">
        <v>3320.1</v>
      </c>
      <c r="Z2112" s="3">
        <f t="shared" si="32"/>
        <v>3320.1</v>
      </c>
    </row>
    <row r="2113" spans="1:26" hidden="1">
      <c r="A2113" t="s">
        <v>706</v>
      </c>
      <c r="B2113" s="6">
        <v>44287</v>
      </c>
      <c r="C2113" s="6">
        <v>44651</v>
      </c>
      <c r="D2113">
        <v>20210401</v>
      </c>
      <c r="E2113">
        <v>20220331</v>
      </c>
      <c r="F2113" t="s">
        <v>5006</v>
      </c>
      <c r="G2113" t="s">
        <v>5007</v>
      </c>
      <c r="H2113" t="s">
        <v>590</v>
      </c>
      <c r="I2113" t="s">
        <v>1462</v>
      </c>
      <c r="L2113">
        <v>2</v>
      </c>
      <c r="M2113">
        <v>9284.7999999999993</v>
      </c>
      <c r="X2113">
        <v>2</v>
      </c>
      <c r="Y2113">
        <v>9284.7999999999993</v>
      </c>
      <c r="Z2113" s="3">
        <f t="shared" si="32"/>
        <v>4642.3999999999996</v>
      </c>
    </row>
    <row r="2114" spans="1:26" hidden="1">
      <c r="A2114" t="s">
        <v>706</v>
      </c>
      <c r="B2114" s="6">
        <v>44287</v>
      </c>
      <c r="C2114" s="6">
        <v>44651</v>
      </c>
      <c r="D2114">
        <v>20210401</v>
      </c>
      <c r="E2114">
        <v>20220331</v>
      </c>
      <c r="F2114" t="s">
        <v>5008</v>
      </c>
      <c r="G2114" t="s">
        <v>5009</v>
      </c>
      <c r="H2114" t="s">
        <v>590</v>
      </c>
      <c r="I2114" t="s">
        <v>1462</v>
      </c>
      <c r="L2114">
        <v>4</v>
      </c>
      <c r="M2114">
        <v>3216</v>
      </c>
      <c r="N2114">
        <v>-4</v>
      </c>
      <c r="O2114">
        <v>-3216</v>
      </c>
      <c r="Z2114" s="3">
        <f t="shared" si="32"/>
        <v>804</v>
      </c>
    </row>
    <row r="2115" spans="1:26" hidden="1">
      <c r="A2115" t="s">
        <v>706</v>
      </c>
      <c r="B2115" s="6">
        <v>44287</v>
      </c>
      <c r="C2115" s="6">
        <v>44651</v>
      </c>
      <c r="D2115">
        <v>20210401</v>
      </c>
      <c r="E2115">
        <v>20220331</v>
      </c>
      <c r="F2115" t="s">
        <v>5010</v>
      </c>
      <c r="G2115" t="s">
        <v>5011</v>
      </c>
      <c r="H2115" t="s">
        <v>590</v>
      </c>
      <c r="I2115" t="s">
        <v>1462</v>
      </c>
      <c r="L2115">
        <v>10</v>
      </c>
      <c r="M2115">
        <v>3282.4</v>
      </c>
      <c r="N2115">
        <v>-10</v>
      </c>
      <c r="O2115">
        <v>-3282.4</v>
      </c>
      <c r="Z2115" s="3">
        <f t="shared" ref="Z2115:Z2178" si="33">IFERROR((O2115+Q2115)/(N2115+P2115),Y2115/X2115)</f>
        <v>328.24</v>
      </c>
    </row>
    <row r="2116" spans="1:26" hidden="1">
      <c r="A2116" t="s">
        <v>706</v>
      </c>
      <c r="B2116" s="6">
        <v>44287</v>
      </c>
      <c r="C2116" s="6">
        <v>44651</v>
      </c>
      <c r="D2116">
        <v>20210401</v>
      </c>
      <c r="E2116">
        <v>20220331</v>
      </c>
      <c r="F2116" t="s">
        <v>5012</v>
      </c>
      <c r="G2116" t="s">
        <v>5013</v>
      </c>
      <c r="H2116" t="s">
        <v>590</v>
      </c>
      <c r="I2116" t="s">
        <v>1462</v>
      </c>
      <c r="L2116">
        <v>17</v>
      </c>
      <c r="M2116">
        <v>7855.5</v>
      </c>
      <c r="N2116">
        <v>-17</v>
      </c>
      <c r="O2116">
        <v>-7855.5</v>
      </c>
      <c r="Z2116" s="3">
        <f t="shared" si="33"/>
        <v>462.08823529411762</v>
      </c>
    </row>
    <row r="2117" spans="1:26" hidden="1">
      <c r="A2117" t="s">
        <v>706</v>
      </c>
      <c r="B2117" s="6">
        <v>44287</v>
      </c>
      <c r="C2117" s="6">
        <v>44651</v>
      </c>
      <c r="D2117">
        <v>20210401</v>
      </c>
      <c r="E2117">
        <v>20220331</v>
      </c>
      <c r="F2117" t="s">
        <v>5014</v>
      </c>
      <c r="G2117" t="s">
        <v>5015</v>
      </c>
      <c r="H2117" t="s">
        <v>1973</v>
      </c>
      <c r="I2117" t="s">
        <v>1462</v>
      </c>
      <c r="K2117">
        <v>0.02</v>
      </c>
      <c r="L2117">
        <v>9</v>
      </c>
      <c r="M2117">
        <v>3157</v>
      </c>
      <c r="N2117">
        <v>-12</v>
      </c>
      <c r="O2117">
        <v>-4277.5</v>
      </c>
      <c r="P2117">
        <v>3</v>
      </c>
      <c r="Q2117">
        <v>1120.5</v>
      </c>
      <c r="Y2117">
        <v>0.02</v>
      </c>
      <c r="Z2117" s="3">
        <f t="shared" si="33"/>
        <v>350.77777777777777</v>
      </c>
    </row>
    <row r="2118" spans="1:26" hidden="1">
      <c r="A2118" t="s">
        <v>706</v>
      </c>
      <c r="B2118" s="6">
        <v>44287</v>
      </c>
      <c r="C2118" s="6">
        <v>44651</v>
      </c>
      <c r="D2118">
        <v>20210401</v>
      </c>
      <c r="E2118">
        <v>20220331</v>
      </c>
      <c r="F2118" t="s">
        <v>5016</v>
      </c>
      <c r="G2118" t="s">
        <v>5017</v>
      </c>
      <c r="H2118" t="s">
        <v>590</v>
      </c>
      <c r="I2118" t="s">
        <v>1462</v>
      </c>
      <c r="L2118">
        <v>8</v>
      </c>
      <c r="M2118">
        <v>4360</v>
      </c>
      <c r="N2118">
        <v>-8</v>
      </c>
      <c r="O2118">
        <v>-4360</v>
      </c>
      <c r="Z2118" s="3">
        <f t="shared" si="33"/>
        <v>545</v>
      </c>
    </row>
    <row r="2119" spans="1:26" hidden="1">
      <c r="A2119" t="s">
        <v>706</v>
      </c>
      <c r="B2119" s="6">
        <v>44287</v>
      </c>
      <c r="C2119" s="6">
        <v>44651</v>
      </c>
      <c r="D2119">
        <v>20210401</v>
      </c>
      <c r="E2119">
        <v>20220331</v>
      </c>
      <c r="F2119" t="s">
        <v>5018</v>
      </c>
      <c r="G2119" t="s">
        <v>5019</v>
      </c>
      <c r="H2119" t="s">
        <v>590</v>
      </c>
      <c r="I2119" t="s">
        <v>1462</v>
      </c>
      <c r="L2119">
        <v>2</v>
      </c>
      <c r="M2119">
        <v>2800</v>
      </c>
      <c r="N2119">
        <v>-2</v>
      </c>
      <c r="O2119">
        <v>-2800</v>
      </c>
      <c r="Z2119" s="3">
        <f t="shared" si="33"/>
        <v>1400</v>
      </c>
    </row>
    <row r="2120" spans="1:26" hidden="1">
      <c r="A2120" t="s">
        <v>706</v>
      </c>
      <c r="B2120" s="6">
        <v>44287</v>
      </c>
      <c r="C2120" s="6">
        <v>44651</v>
      </c>
      <c r="D2120">
        <v>20210401</v>
      </c>
      <c r="E2120">
        <v>20220331</v>
      </c>
      <c r="F2120" t="s">
        <v>5020</v>
      </c>
      <c r="G2120" t="s">
        <v>5021</v>
      </c>
      <c r="H2120" t="s">
        <v>590</v>
      </c>
      <c r="I2120" t="s">
        <v>1462</v>
      </c>
      <c r="L2120">
        <v>8</v>
      </c>
      <c r="M2120">
        <v>5200</v>
      </c>
      <c r="N2120">
        <v>-12</v>
      </c>
      <c r="O2120">
        <v>-10500</v>
      </c>
      <c r="P2120">
        <v>4</v>
      </c>
      <c r="Q2120">
        <v>5300</v>
      </c>
      <c r="Z2120" s="3">
        <f t="shared" si="33"/>
        <v>650</v>
      </c>
    </row>
    <row r="2121" spans="1:26" hidden="1">
      <c r="A2121" t="s">
        <v>706</v>
      </c>
      <c r="B2121" s="6">
        <v>44287</v>
      </c>
      <c r="C2121" s="6">
        <v>44651</v>
      </c>
      <c r="D2121">
        <v>20210401</v>
      </c>
      <c r="E2121">
        <v>20220331</v>
      </c>
      <c r="F2121" t="s">
        <v>5022</v>
      </c>
      <c r="G2121" t="s">
        <v>5023</v>
      </c>
      <c r="H2121" t="s">
        <v>1973</v>
      </c>
      <c r="I2121" t="s">
        <v>1462</v>
      </c>
      <c r="L2121">
        <v>2</v>
      </c>
      <c r="M2121">
        <v>2572.1999999999998</v>
      </c>
      <c r="N2121">
        <v>-4</v>
      </c>
      <c r="O2121">
        <v>-5144.3999999999996</v>
      </c>
      <c r="P2121">
        <v>2</v>
      </c>
      <c r="Q2121">
        <v>2572.1999999999998</v>
      </c>
      <c r="Z2121" s="3">
        <f t="shared" si="33"/>
        <v>1286.0999999999999</v>
      </c>
    </row>
    <row r="2122" spans="1:26" hidden="1">
      <c r="A2122" t="s">
        <v>706</v>
      </c>
      <c r="B2122" s="6">
        <v>44287</v>
      </c>
      <c r="C2122" s="6">
        <v>44651</v>
      </c>
      <c r="D2122">
        <v>20210401</v>
      </c>
      <c r="E2122">
        <v>20220331</v>
      </c>
      <c r="F2122" t="s">
        <v>5024</v>
      </c>
      <c r="G2122" t="s">
        <v>5025</v>
      </c>
      <c r="H2122" t="s">
        <v>1973</v>
      </c>
      <c r="I2122" t="s">
        <v>1462</v>
      </c>
      <c r="L2122">
        <v>3</v>
      </c>
      <c r="M2122">
        <v>1071</v>
      </c>
      <c r="N2122">
        <v>-5</v>
      </c>
      <c r="O2122">
        <v>-1785</v>
      </c>
      <c r="P2122">
        <v>2</v>
      </c>
      <c r="Q2122">
        <v>714</v>
      </c>
      <c r="Z2122" s="3">
        <f t="shared" si="33"/>
        <v>357</v>
      </c>
    </row>
    <row r="2123" spans="1:26" hidden="1">
      <c r="A2123" t="s">
        <v>706</v>
      </c>
      <c r="B2123" s="6">
        <v>44287</v>
      </c>
      <c r="C2123" s="6">
        <v>44651</v>
      </c>
      <c r="D2123">
        <v>20210401</v>
      </c>
      <c r="E2123">
        <v>20220331</v>
      </c>
      <c r="F2123" t="s">
        <v>5026</v>
      </c>
      <c r="G2123" t="s">
        <v>5027</v>
      </c>
      <c r="H2123" t="s">
        <v>1973</v>
      </c>
      <c r="I2123" t="s">
        <v>1462</v>
      </c>
      <c r="K2123">
        <v>0.02</v>
      </c>
      <c r="L2123">
        <v>6</v>
      </c>
      <c r="M2123">
        <v>10797</v>
      </c>
      <c r="N2123">
        <v>-6</v>
      </c>
      <c r="O2123">
        <v>-10797</v>
      </c>
      <c r="Y2123">
        <v>0.02</v>
      </c>
      <c r="Z2123" s="3">
        <f t="shared" si="33"/>
        <v>1799.5</v>
      </c>
    </row>
    <row r="2124" spans="1:26" hidden="1">
      <c r="A2124" t="s">
        <v>706</v>
      </c>
      <c r="B2124" s="6">
        <v>44287</v>
      </c>
      <c r="C2124" s="6">
        <v>44651</v>
      </c>
      <c r="D2124">
        <v>20210401</v>
      </c>
      <c r="E2124">
        <v>20220331</v>
      </c>
      <c r="F2124" t="s">
        <v>5028</v>
      </c>
      <c r="G2124" t="s">
        <v>5029</v>
      </c>
      <c r="H2124" t="s">
        <v>590</v>
      </c>
      <c r="I2124" t="s">
        <v>1462</v>
      </c>
      <c r="K2124">
        <v>0.01</v>
      </c>
      <c r="L2124">
        <v>105</v>
      </c>
      <c r="M2124">
        <v>15750</v>
      </c>
      <c r="N2124">
        <v>-95</v>
      </c>
      <c r="O2124">
        <v>-14250</v>
      </c>
      <c r="X2124">
        <v>10</v>
      </c>
      <c r="Y2124">
        <v>1500.01</v>
      </c>
      <c r="Z2124" s="3">
        <f t="shared" si="33"/>
        <v>150</v>
      </c>
    </row>
    <row r="2125" spans="1:26" hidden="1">
      <c r="A2125" t="s">
        <v>706</v>
      </c>
      <c r="B2125" s="6">
        <v>44287</v>
      </c>
      <c r="C2125" s="6">
        <v>44651</v>
      </c>
      <c r="D2125">
        <v>20210401</v>
      </c>
      <c r="E2125">
        <v>20220331</v>
      </c>
      <c r="F2125" t="s">
        <v>5030</v>
      </c>
      <c r="G2125" t="s">
        <v>5031</v>
      </c>
      <c r="H2125" t="s">
        <v>1973</v>
      </c>
      <c r="I2125" t="s">
        <v>1462</v>
      </c>
      <c r="N2125">
        <v>-2</v>
      </c>
      <c r="O2125">
        <v>-496</v>
      </c>
      <c r="P2125">
        <v>2</v>
      </c>
      <c r="Q2125">
        <v>496</v>
      </c>
      <c r="Z2125" s="3" t="e">
        <f t="shared" si="33"/>
        <v>#DIV/0!</v>
      </c>
    </row>
    <row r="2126" spans="1:26" hidden="1">
      <c r="A2126" t="s">
        <v>706</v>
      </c>
      <c r="B2126" s="6">
        <v>44287</v>
      </c>
      <c r="C2126" s="6">
        <v>44651</v>
      </c>
      <c r="D2126">
        <v>20210401</v>
      </c>
      <c r="E2126">
        <v>20220331</v>
      </c>
      <c r="F2126" t="s">
        <v>5032</v>
      </c>
      <c r="G2126" t="s">
        <v>5033</v>
      </c>
      <c r="I2126" t="s">
        <v>1462</v>
      </c>
      <c r="L2126">
        <v>25</v>
      </c>
      <c r="M2126">
        <v>1250</v>
      </c>
      <c r="N2126">
        <v>-39</v>
      </c>
      <c r="O2126">
        <v>-1950</v>
      </c>
      <c r="P2126">
        <v>14</v>
      </c>
      <c r="Q2126">
        <v>700</v>
      </c>
      <c r="Z2126" s="3">
        <f t="shared" si="33"/>
        <v>50</v>
      </c>
    </row>
    <row r="2127" spans="1:26" hidden="1">
      <c r="A2127" t="s">
        <v>706</v>
      </c>
      <c r="B2127" s="6">
        <v>44287</v>
      </c>
      <c r="C2127" s="6">
        <v>44651</v>
      </c>
      <c r="D2127">
        <v>20210401</v>
      </c>
      <c r="E2127">
        <v>20220331</v>
      </c>
      <c r="F2127" t="s">
        <v>5034</v>
      </c>
      <c r="G2127" t="s">
        <v>5035</v>
      </c>
      <c r="H2127" t="s">
        <v>590</v>
      </c>
      <c r="I2127" t="s">
        <v>1462</v>
      </c>
      <c r="P2127">
        <v>1</v>
      </c>
      <c r="Q2127">
        <v>7544</v>
      </c>
      <c r="X2127">
        <v>1</v>
      </c>
      <c r="Y2127">
        <v>7544</v>
      </c>
      <c r="Z2127" s="3">
        <f t="shared" si="33"/>
        <v>7544</v>
      </c>
    </row>
    <row r="2128" spans="1:26" hidden="1">
      <c r="A2128" t="s">
        <v>706</v>
      </c>
      <c r="B2128" s="6">
        <v>44287</v>
      </c>
      <c r="C2128" s="6">
        <v>44651</v>
      </c>
      <c r="D2128">
        <v>20210401</v>
      </c>
      <c r="E2128">
        <v>20220331</v>
      </c>
      <c r="F2128" t="s">
        <v>5036</v>
      </c>
      <c r="G2128" t="s">
        <v>5037</v>
      </c>
      <c r="H2128" t="s">
        <v>590</v>
      </c>
      <c r="I2128" t="s">
        <v>1462</v>
      </c>
      <c r="L2128">
        <v>50</v>
      </c>
      <c r="M2128">
        <v>700</v>
      </c>
      <c r="N2128">
        <v>-50</v>
      </c>
      <c r="O2128">
        <v>-700</v>
      </c>
      <c r="Z2128" s="3">
        <f t="shared" si="33"/>
        <v>14</v>
      </c>
    </row>
    <row r="2129" spans="1:26" hidden="1">
      <c r="A2129" t="s">
        <v>706</v>
      </c>
      <c r="B2129" s="6">
        <v>44287</v>
      </c>
      <c r="C2129" s="6">
        <v>44651</v>
      </c>
      <c r="D2129">
        <v>20210401</v>
      </c>
      <c r="E2129">
        <v>20220331</v>
      </c>
      <c r="F2129" t="s">
        <v>5038</v>
      </c>
      <c r="G2129" t="s">
        <v>5039</v>
      </c>
      <c r="H2129" t="s">
        <v>590</v>
      </c>
      <c r="I2129" t="s">
        <v>1462</v>
      </c>
      <c r="L2129">
        <v>1</v>
      </c>
      <c r="M2129">
        <v>41566.800000000003</v>
      </c>
      <c r="N2129">
        <v>-1</v>
      </c>
      <c r="O2129">
        <v>-41566.800000000003</v>
      </c>
      <c r="Z2129" s="3">
        <f t="shared" si="33"/>
        <v>41566.800000000003</v>
      </c>
    </row>
    <row r="2130" spans="1:26" hidden="1">
      <c r="A2130" t="s">
        <v>706</v>
      </c>
      <c r="B2130" s="6">
        <v>44287</v>
      </c>
      <c r="C2130" s="6">
        <v>44651</v>
      </c>
      <c r="D2130">
        <v>20210401</v>
      </c>
      <c r="E2130">
        <v>20220331</v>
      </c>
      <c r="F2130" t="s">
        <v>5040</v>
      </c>
      <c r="G2130" t="s">
        <v>5041</v>
      </c>
      <c r="H2130" t="s">
        <v>590</v>
      </c>
      <c r="I2130" t="s">
        <v>1462</v>
      </c>
      <c r="L2130">
        <v>3</v>
      </c>
      <c r="M2130">
        <v>10725</v>
      </c>
      <c r="N2130">
        <v>-2</v>
      </c>
      <c r="O2130">
        <v>-7087.5</v>
      </c>
      <c r="X2130">
        <v>1</v>
      </c>
      <c r="Y2130">
        <v>3637.5</v>
      </c>
      <c r="Z2130" s="3">
        <f t="shared" si="33"/>
        <v>3543.75</v>
      </c>
    </row>
    <row r="2131" spans="1:26" hidden="1">
      <c r="A2131" t="s">
        <v>706</v>
      </c>
      <c r="B2131" s="6">
        <v>44287</v>
      </c>
      <c r="C2131" s="6">
        <v>44651</v>
      </c>
      <c r="D2131">
        <v>20210401</v>
      </c>
      <c r="E2131">
        <v>20220331</v>
      </c>
      <c r="F2131" t="s">
        <v>5042</v>
      </c>
      <c r="G2131" t="s">
        <v>5043</v>
      </c>
      <c r="H2131" t="s">
        <v>590</v>
      </c>
      <c r="I2131" t="s">
        <v>1462</v>
      </c>
      <c r="L2131">
        <v>3</v>
      </c>
      <c r="M2131">
        <v>10350</v>
      </c>
      <c r="N2131">
        <v>-2</v>
      </c>
      <c r="O2131">
        <v>-6900</v>
      </c>
      <c r="X2131">
        <v>1</v>
      </c>
      <c r="Y2131">
        <v>3450</v>
      </c>
      <c r="Z2131" s="3">
        <f t="shared" si="33"/>
        <v>3450</v>
      </c>
    </row>
    <row r="2132" spans="1:26" hidden="1">
      <c r="A2132" t="s">
        <v>706</v>
      </c>
      <c r="B2132" s="6">
        <v>44287</v>
      </c>
      <c r="C2132" s="6">
        <v>44651</v>
      </c>
      <c r="D2132">
        <v>20210401</v>
      </c>
      <c r="E2132">
        <v>20220331</v>
      </c>
      <c r="F2132" t="s">
        <v>5044</v>
      </c>
      <c r="G2132" t="s">
        <v>5045</v>
      </c>
      <c r="H2132" t="s">
        <v>590</v>
      </c>
      <c r="I2132" t="s">
        <v>805</v>
      </c>
      <c r="L2132">
        <v>13</v>
      </c>
      <c r="M2132">
        <v>4368</v>
      </c>
      <c r="N2132">
        <v>-13</v>
      </c>
      <c r="O2132">
        <v>-4368</v>
      </c>
      <c r="Z2132" s="3">
        <f t="shared" si="33"/>
        <v>336</v>
      </c>
    </row>
    <row r="2133" spans="1:26" hidden="1">
      <c r="A2133" t="s">
        <v>706</v>
      </c>
      <c r="B2133" s="6">
        <v>44287</v>
      </c>
      <c r="C2133" s="6">
        <v>44651</v>
      </c>
      <c r="D2133">
        <v>20210401</v>
      </c>
      <c r="E2133">
        <v>20220331</v>
      </c>
      <c r="F2133" t="s">
        <v>5046</v>
      </c>
      <c r="G2133" t="s">
        <v>5047</v>
      </c>
      <c r="H2133" t="s">
        <v>590</v>
      </c>
      <c r="I2133" t="s">
        <v>805</v>
      </c>
      <c r="L2133">
        <v>6</v>
      </c>
      <c r="M2133">
        <v>1530</v>
      </c>
      <c r="N2133">
        <v>-6</v>
      </c>
      <c r="O2133">
        <v>-1530</v>
      </c>
      <c r="Z2133" s="3">
        <f t="shared" si="33"/>
        <v>255</v>
      </c>
    </row>
    <row r="2134" spans="1:26" hidden="1">
      <c r="A2134" t="s">
        <v>706</v>
      </c>
      <c r="B2134" s="6">
        <v>44287</v>
      </c>
      <c r="C2134" s="6">
        <v>44651</v>
      </c>
      <c r="D2134">
        <v>20210401</v>
      </c>
      <c r="E2134">
        <v>20220331</v>
      </c>
      <c r="F2134" t="s">
        <v>5048</v>
      </c>
      <c r="G2134" t="s">
        <v>5049</v>
      </c>
      <c r="H2134" t="s">
        <v>1973</v>
      </c>
      <c r="I2134" t="s">
        <v>1462</v>
      </c>
      <c r="L2134">
        <v>1</v>
      </c>
      <c r="M2134">
        <v>3540</v>
      </c>
      <c r="N2134">
        <v>-1</v>
      </c>
      <c r="O2134">
        <v>-3540</v>
      </c>
      <c r="Z2134" s="3">
        <f t="shared" si="33"/>
        <v>3540</v>
      </c>
    </row>
    <row r="2135" spans="1:26" hidden="1">
      <c r="A2135" t="s">
        <v>706</v>
      </c>
      <c r="B2135" s="6">
        <v>44287</v>
      </c>
      <c r="C2135" s="6">
        <v>44651</v>
      </c>
      <c r="D2135">
        <v>20210401</v>
      </c>
      <c r="E2135">
        <v>20220331</v>
      </c>
      <c r="F2135" t="s">
        <v>5050</v>
      </c>
      <c r="G2135" t="s">
        <v>5051</v>
      </c>
      <c r="H2135" t="s">
        <v>590</v>
      </c>
      <c r="I2135" t="s">
        <v>1462</v>
      </c>
      <c r="L2135">
        <v>30</v>
      </c>
      <c r="M2135">
        <v>499.8</v>
      </c>
      <c r="N2135">
        <v>-30</v>
      </c>
      <c r="O2135">
        <v>-499.8</v>
      </c>
      <c r="Z2135" s="3">
        <f t="shared" si="33"/>
        <v>16.66</v>
      </c>
    </row>
    <row r="2136" spans="1:26" hidden="1">
      <c r="A2136" t="s">
        <v>706</v>
      </c>
      <c r="B2136" s="6">
        <v>44287</v>
      </c>
      <c r="C2136" s="6">
        <v>44651</v>
      </c>
      <c r="D2136">
        <v>20210401</v>
      </c>
      <c r="E2136">
        <v>20220331</v>
      </c>
      <c r="F2136" t="s">
        <v>5052</v>
      </c>
      <c r="G2136" t="s">
        <v>5053</v>
      </c>
      <c r="H2136" t="s">
        <v>590</v>
      </c>
      <c r="I2136" t="s">
        <v>1462</v>
      </c>
      <c r="L2136">
        <v>20</v>
      </c>
      <c r="M2136">
        <v>350</v>
      </c>
      <c r="N2136">
        <v>-20</v>
      </c>
      <c r="O2136">
        <v>-350</v>
      </c>
      <c r="Z2136" s="3">
        <f t="shared" si="33"/>
        <v>17.5</v>
      </c>
    </row>
    <row r="2137" spans="1:26" hidden="1">
      <c r="A2137" t="s">
        <v>706</v>
      </c>
      <c r="B2137" s="6">
        <v>44287</v>
      </c>
      <c r="C2137" s="6">
        <v>44651</v>
      </c>
      <c r="D2137">
        <v>20210401</v>
      </c>
      <c r="E2137">
        <v>20220331</v>
      </c>
      <c r="F2137" t="s">
        <v>5054</v>
      </c>
      <c r="G2137" t="s">
        <v>5055</v>
      </c>
      <c r="H2137" t="s">
        <v>590</v>
      </c>
      <c r="I2137" t="s">
        <v>1462</v>
      </c>
      <c r="L2137">
        <v>5</v>
      </c>
      <c r="M2137">
        <v>19850</v>
      </c>
      <c r="N2137">
        <v>-4</v>
      </c>
      <c r="O2137">
        <v>-15880</v>
      </c>
      <c r="X2137">
        <v>1</v>
      </c>
      <c r="Y2137">
        <v>3970</v>
      </c>
      <c r="Z2137" s="3">
        <f t="shared" si="33"/>
        <v>3970</v>
      </c>
    </row>
    <row r="2138" spans="1:26" hidden="1">
      <c r="A2138" t="s">
        <v>706</v>
      </c>
      <c r="B2138" s="6">
        <v>44287</v>
      </c>
      <c r="C2138" s="6">
        <v>44651</v>
      </c>
      <c r="D2138">
        <v>20210401</v>
      </c>
      <c r="E2138">
        <v>20220331</v>
      </c>
      <c r="F2138" t="s">
        <v>5056</v>
      </c>
      <c r="G2138" t="s">
        <v>5057</v>
      </c>
      <c r="H2138" t="s">
        <v>590</v>
      </c>
      <c r="I2138" t="s">
        <v>1462</v>
      </c>
      <c r="L2138">
        <v>5</v>
      </c>
      <c r="M2138">
        <v>2360</v>
      </c>
      <c r="N2138">
        <v>-5</v>
      </c>
      <c r="O2138">
        <v>-2360</v>
      </c>
      <c r="Z2138" s="3">
        <f t="shared" si="33"/>
        <v>472</v>
      </c>
    </row>
    <row r="2139" spans="1:26" hidden="1">
      <c r="A2139" t="s">
        <v>706</v>
      </c>
      <c r="B2139" s="6">
        <v>44287</v>
      </c>
      <c r="C2139" s="6">
        <v>44651</v>
      </c>
      <c r="D2139">
        <v>20210401</v>
      </c>
      <c r="E2139">
        <v>20220331</v>
      </c>
      <c r="F2139" t="s">
        <v>5058</v>
      </c>
      <c r="G2139" t="s">
        <v>5059</v>
      </c>
      <c r="H2139" t="s">
        <v>590</v>
      </c>
      <c r="I2139" t="s">
        <v>1462</v>
      </c>
      <c r="L2139">
        <v>2</v>
      </c>
      <c r="M2139">
        <v>37244</v>
      </c>
      <c r="N2139">
        <v>-1</v>
      </c>
      <c r="O2139">
        <v>-16244</v>
      </c>
      <c r="X2139">
        <v>1</v>
      </c>
      <c r="Y2139">
        <v>21000</v>
      </c>
      <c r="Z2139" s="3">
        <f t="shared" si="33"/>
        <v>16244</v>
      </c>
    </row>
    <row r="2140" spans="1:26" hidden="1">
      <c r="A2140" t="s">
        <v>706</v>
      </c>
      <c r="B2140" s="6">
        <v>44287</v>
      </c>
      <c r="C2140" s="6">
        <v>44651</v>
      </c>
      <c r="D2140">
        <v>20210401</v>
      </c>
      <c r="E2140">
        <v>20220331</v>
      </c>
      <c r="F2140" t="s">
        <v>5060</v>
      </c>
      <c r="G2140" t="s">
        <v>5061</v>
      </c>
      <c r="H2140" t="s">
        <v>590</v>
      </c>
      <c r="I2140" t="s">
        <v>1462</v>
      </c>
      <c r="L2140">
        <v>4</v>
      </c>
      <c r="M2140">
        <v>2840</v>
      </c>
      <c r="N2140">
        <v>-4</v>
      </c>
      <c r="O2140">
        <v>-2840</v>
      </c>
      <c r="Z2140" s="3">
        <f t="shared" si="33"/>
        <v>710</v>
      </c>
    </row>
    <row r="2141" spans="1:26" hidden="1">
      <c r="A2141" t="s">
        <v>706</v>
      </c>
      <c r="B2141" s="6">
        <v>44287</v>
      </c>
      <c r="C2141" s="6">
        <v>44651</v>
      </c>
      <c r="D2141">
        <v>20210401</v>
      </c>
      <c r="E2141">
        <v>20220331</v>
      </c>
      <c r="F2141" t="s">
        <v>5062</v>
      </c>
      <c r="G2141" t="s">
        <v>5063</v>
      </c>
      <c r="H2141" t="s">
        <v>590</v>
      </c>
      <c r="I2141" t="s">
        <v>805</v>
      </c>
      <c r="L2141">
        <v>4</v>
      </c>
      <c r="M2141">
        <v>5988</v>
      </c>
      <c r="N2141">
        <v>-4</v>
      </c>
      <c r="O2141">
        <v>-5988</v>
      </c>
      <c r="Z2141" s="3">
        <f t="shared" si="33"/>
        <v>1497</v>
      </c>
    </row>
    <row r="2142" spans="1:26" hidden="1">
      <c r="A2142" t="s">
        <v>706</v>
      </c>
      <c r="B2142" s="6">
        <v>44287</v>
      </c>
      <c r="C2142" s="6">
        <v>44651</v>
      </c>
      <c r="D2142">
        <v>20210401</v>
      </c>
      <c r="E2142">
        <v>20220331</v>
      </c>
      <c r="F2142" t="s">
        <v>5064</v>
      </c>
      <c r="G2142" t="s">
        <v>5065</v>
      </c>
      <c r="H2142" t="s">
        <v>590</v>
      </c>
      <c r="I2142" t="s">
        <v>1462</v>
      </c>
      <c r="L2142">
        <v>6</v>
      </c>
      <c r="M2142">
        <v>1500</v>
      </c>
      <c r="N2142">
        <v>-6</v>
      </c>
      <c r="O2142">
        <v>-1500</v>
      </c>
      <c r="Z2142" s="3">
        <f t="shared" si="33"/>
        <v>250</v>
      </c>
    </row>
    <row r="2143" spans="1:26" hidden="1">
      <c r="A2143" t="s">
        <v>706</v>
      </c>
      <c r="B2143" s="6">
        <v>44287</v>
      </c>
      <c r="C2143" s="6">
        <v>44651</v>
      </c>
      <c r="D2143">
        <v>20210401</v>
      </c>
      <c r="E2143">
        <v>20220331</v>
      </c>
      <c r="F2143" t="s">
        <v>5066</v>
      </c>
      <c r="G2143" t="s">
        <v>5067</v>
      </c>
      <c r="H2143" t="s">
        <v>1973</v>
      </c>
      <c r="I2143" t="s">
        <v>1462</v>
      </c>
      <c r="L2143">
        <v>3</v>
      </c>
      <c r="M2143">
        <v>4824</v>
      </c>
      <c r="N2143">
        <v>-3</v>
      </c>
      <c r="O2143">
        <v>-4824</v>
      </c>
      <c r="Z2143" s="3">
        <f t="shared" si="33"/>
        <v>1608</v>
      </c>
    </row>
    <row r="2144" spans="1:26" hidden="1">
      <c r="A2144" t="s">
        <v>706</v>
      </c>
      <c r="B2144" s="6">
        <v>44287</v>
      </c>
      <c r="C2144" s="6">
        <v>44651</v>
      </c>
      <c r="D2144">
        <v>20210401</v>
      </c>
      <c r="E2144">
        <v>20220331</v>
      </c>
      <c r="F2144" t="s">
        <v>5068</v>
      </c>
      <c r="G2144" t="s">
        <v>5069</v>
      </c>
      <c r="H2144" t="s">
        <v>1973</v>
      </c>
      <c r="I2144" t="s">
        <v>1462</v>
      </c>
      <c r="L2144">
        <v>4</v>
      </c>
      <c r="M2144">
        <v>3148</v>
      </c>
      <c r="N2144">
        <v>-4</v>
      </c>
      <c r="O2144">
        <v>-3148</v>
      </c>
      <c r="Z2144" s="3">
        <f t="shared" si="33"/>
        <v>787</v>
      </c>
    </row>
    <row r="2145" spans="1:26" hidden="1">
      <c r="A2145" t="s">
        <v>706</v>
      </c>
      <c r="B2145" s="6">
        <v>44287</v>
      </c>
      <c r="C2145" s="6">
        <v>44651</v>
      </c>
      <c r="D2145">
        <v>20210401</v>
      </c>
      <c r="E2145">
        <v>20220331</v>
      </c>
      <c r="F2145" t="s">
        <v>5070</v>
      </c>
      <c r="G2145" t="s">
        <v>5071</v>
      </c>
      <c r="H2145" t="s">
        <v>590</v>
      </c>
      <c r="I2145" t="s">
        <v>1462</v>
      </c>
      <c r="L2145">
        <v>1</v>
      </c>
      <c r="M2145">
        <v>4185</v>
      </c>
      <c r="N2145">
        <v>-1</v>
      </c>
      <c r="O2145">
        <v>-4185</v>
      </c>
      <c r="Z2145" s="3">
        <f t="shared" si="33"/>
        <v>4185</v>
      </c>
    </row>
    <row r="2146" spans="1:26" hidden="1">
      <c r="A2146" t="s">
        <v>706</v>
      </c>
      <c r="B2146" s="6">
        <v>44287</v>
      </c>
      <c r="C2146" s="6">
        <v>44651</v>
      </c>
      <c r="D2146">
        <v>20210401</v>
      </c>
      <c r="E2146">
        <v>20220331</v>
      </c>
      <c r="F2146" t="s">
        <v>5072</v>
      </c>
      <c r="G2146" t="s">
        <v>5073</v>
      </c>
      <c r="H2146" t="s">
        <v>590</v>
      </c>
      <c r="I2146" t="s">
        <v>1462</v>
      </c>
      <c r="L2146">
        <v>3</v>
      </c>
      <c r="M2146">
        <v>18901.439999999999</v>
      </c>
      <c r="N2146">
        <v>-3</v>
      </c>
      <c r="O2146">
        <v>-18901.439999999999</v>
      </c>
      <c r="Z2146" s="3">
        <f t="shared" si="33"/>
        <v>6300.48</v>
      </c>
    </row>
    <row r="2147" spans="1:26" hidden="1">
      <c r="A2147" t="s">
        <v>706</v>
      </c>
      <c r="B2147" s="6">
        <v>44287</v>
      </c>
      <c r="C2147" s="6">
        <v>44651</v>
      </c>
      <c r="D2147">
        <v>20210401</v>
      </c>
      <c r="E2147">
        <v>20220331</v>
      </c>
      <c r="F2147" t="s">
        <v>5074</v>
      </c>
      <c r="G2147" t="s">
        <v>5075</v>
      </c>
      <c r="H2147" t="s">
        <v>1973</v>
      </c>
      <c r="I2147" t="s">
        <v>1462</v>
      </c>
      <c r="L2147">
        <v>2</v>
      </c>
      <c r="M2147">
        <v>6120</v>
      </c>
      <c r="N2147">
        <v>-2</v>
      </c>
      <c r="O2147">
        <v>-6120</v>
      </c>
      <c r="Z2147" s="3">
        <f t="shared" si="33"/>
        <v>3060</v>
      </c>
    </row>
    <row r="2148" spans="1:26" hidden="1">
      <c r="A2148" t="s">
        <v>706</v>
      </c>
      <c r="B2148" s="6">
        <v>44287</v>
      </c>
      <c r="C2148" s="6">
        <v>44651</v>
      </c>
      <c r="D2148">
        <v>20210401</v>
      </c>
      <c r="E2148">
        <v>20220331</v>
      </c>
      <c r="F2148" t="s">
        <v>5076</v>
      </c>
      <c r="G2148" t="s">
        <v>5077</v>
      </c>
      <c r="H2148" t="s">
        <v>590</v>
      </c>
      <c r="I2148" t="s">
        <v>1462</v>
      </c>
      <c r="L2148">
        <v>2</v>
      </c>
      <c r="M2148">
        <v>52913</v>
      </c>
      <c r="N2148">
        <v>-1</v>
      </c>
      <c r="O2148">
        <v>-25333</v>
      </c>
      <c r="X2148">
        <v>1</v>
      </c>
      <c r="Y2148">
        <v>27580</v>
      </c>
      <c r="Z2148" s="3">
        <f t="shared" si="33"/>
        <v>25333</v>
      </c>
    </row>
    <row r="2149" spans="1:26" hidden="1">
      <c r="A2149" t="s">
        <v>706</v>
      </c>
      <c r="B2149" s="6">
        <v>44287</v>
      </c>
      <c r="C2149" s="6">
        <v>44651</v>
      </c>
      <c r="D2149">
        <v>20210401</v>
      </c>
      <c r="E2149">
        <v>20220331</v>
      </c>
      <c r="F2149" t="s">
        <v>5078</v>
      </c>
      <c r="G2149" t="s">
        <v>5079</v>
      </c>
      <c r="H2149" t="s">
        <v>590</v>
      </c>
      <c r="I2149" t="s">
        <v>1462</v>
      </c>
      <c r="L2149">
        <v>6</v>
      </c>
      <c r="M2149">
        <v>11250</v>
      </c>
      <c r="N2149">
        <v>-6</v>
      </c>
      <c r="O2149">
        <v>-11250</v>
      </c>
      <c r="Z2149" s="3">
        <f t="shared" si="33"/>
        <v>1875</v>
      </c>
    </row>
    <row r="2150" spans="1:26" hidden="1">
      <c r="A2150" t="s">
        <v>706</v>
      </c>
      <c r="B2150" s="6">
        <v>44287</v>
      </c>
      <c r="C2150" s="6">
        <v>44651</v>
      </c>
      <c r="D2150">
        <v>20210401</v>
      </c>
      <c r="E2150">
        <v>20220331</v>
      </c>
      <c r="F2150" t="s">
        <v>5080</v>
      </c>
      <c r="G2150" t="s">
        <v>5081</v>
      </c>
      <c r="H2150" t="s">
        <v>590</v>
      </c>
      <c r="I2150" t="s">
        <v>1462</v>
      </c>
      <c r="L2150">
        <v>1</v>
      </c>
      <c r="M2150">
        <v>9375</v>
      </c>
      <c r="N2150">
        <v>-1</v>
      </c>
      <c r="O2150">
        <v>-9375</v>
      </c>
      <c r="Z2150" s="3">
        <f t="shared" si="33"/>
        <v>9375</v>
      </c>
    </row>
    <row r="2151" spans="1:26" hidden="1">
      <c r="A2151" t="s">
        <v>706</v>
      </c>
      <c r="B2151" s="6">
        <v>44287</v>
      </c>
      <c r="C2151" s="6">
        <v>44651</v>
      </c>
      <c r="D2151">
        <v>20210401</v>
      </c>
      <c r="E2151">
        <v>20220331</v>
      </c>
      <c r="F2151" t="s">
        <v>5082</v>
      </c>
      <c r="G2151" t="s">
        <v>5083</v>
      </c>
      <c r="H2151" t="s">
        <v>590</v>
      </c>
      <c r="I2151" t="s">
        <v>1462</v>
      </c>
      <c r="L2151">
        <v>2</v>
      </c>
      <c r="M2151">
        <v>2992</v>
      </c>
      <c r="N2151">
        <v>-2</v>
      </c>
      <c r="O2151">
        <v>-2992</v>
      </c>
      <c r="Z2151" s="3">
        <f t="shared" si="33"/>
        <v>1496</v>
      </c>
    </row>
    <row r="2152" spans="1:26" hidden="1">
      <c r="A2152" t="s">
        <v>706</v>
      </c>
      <c r="B2152" s="6">
        <v>44287</v>
      </c>
      <c r="C2152" s="6">
        <v>44651</v>
      </c>
      <c r="D2152">
        <v>20210401</v>
      </c>
      <c r="E2152">
        <v>20220331</v>
      </c>
      <c r="F2152" t="s">
        <v>5084</v>
      </c>
      <c r="G2152" t="s">
        <v>5085</v>
      </c>
      <c r="H2152" t="s">
        <v>590</v>
      </c>
      <c r="I2152" t="s">
        <v>1462</v>
      </c>
      <c r="L2152">
        <v>1</v>
      </c>
      <c r="M2152">
        <v>34125</v>
      </c>
      <c r="N2152">
        <v>-1</v>
      </c>
      <c r="O2152">
        <v>-34125</v>
      </c>
      <c r="Z2152" s="3">
        <f t="shared" si="33"/>
        <v>34125</v>
      </c>
    </row>
    <row r="2153" spans="1:26" hidden="1">
      <c r="A2153" t="s">
        <v>706</v>
      </c>
      <c r="B2153" s="6">
        <v>44287</v>
      </c>
      <c r="C2153" s="6">
        <v>44651</v>
      </c>
      <c r="D2153">
        <v>20210401</v>
      </c>
      <c r="E2153">
        <v>20220331</v>
      </c>
      <c r="F2153" t="s">
        <v>5086</v>
      </c>
      <c r="G2153" t="s">
        <v>5087</v>
      </c>
      <c r="H2153" t="s">
        <v>590</v>
      </c>
      <c r="I2153" t="s">
        <v>1462</v>
      </c>
      <c r="L2153">
        <v>1</v>
      </c>
      <c r="M2153">
        <v>39375</v>
      </c>
      <c r="N2153">
        <v>-1</v>
      </c>
      <c r="O2153">
        <v>-39375</v>
      </c>
      <c r="Z2153" s="3">
        <f t="shared" si="33"/>
        <v>39375</v>
      </c>
    </row>
    <row r="2154" spans="1:26" hidden="1">
      <c r="A2154" t="s">
        <v>706</v>
      </c>
      <c r="B2154" s="6">
        <v>44287</v>
      </c>
      <c r="C2154" s="6">
        <v>44651</v>
      </c>
      <c r="D2154">
        <v>20210401</v>
      </c>
      <c r="E2154">
        <v>20220331</v>
      </c>
      <c r="F2154" t="s">
        <v>5088</v>
      </c>
      <c r="G2154" t="s">
        <v>5089</v>
      </c>
      <c r="H2154" t="s">
        <v>590</v>
      </c>
      <c r="I2154" t="s">
        <v>1462</v>
      </c>
      <c r="L2154">
        <v>1</v>
      </c>
      <c r="M2154">
        <v>39375</v>
      </c>
      <c r="N2154">
        <v>-1</v>
      </c>
      <c r="O2154">
        <v>-39375</v>
      </c>
      <c r="Z2154" s="3">
        <f t="shared" si="33"/>
        <v>39375</v>
      </c>
    </row>
    <row r="2155" spans="1:26" hidden="1">
      <c r="A2155" t="s">
        <v>706</v>
      </c>
      <c r="B2155" s="6">
        <v>44287</v>
      </c>
      <c r="C2155" s="6">
        <v>44651</v>
      </c>
      <c r="D2155">
        <v>20210401</v>
      </c>
      <c r="E2155">
        <v>20220331</v>
      </c>
      <c r="F2155" t="s">
        <v>5090</v>
      </c>
      <c r="G2155" t="s">
        <v>5091</v>
      </c>
      <c r="H2155" t="s">
        <v>590</v>
      </c>
      <c r="I2155" t="s">
        <v>1462</v>
      </c>
      <c r="L2155">
        <v>1</v>
      </c>
      <c r="M2155">
        <v>18750</v>
      </c>
      <c r="N2155">
        <v>-1</v>
      </c>
      <c r="O2155">
        <v>-18750</v>
      </c>
      <c r="Z2155" s="3">
        <f t="shared" si="33"/>
        <v>18750</v>
      </c>
    </row>
    <row r="2156" spans="1:26" hidden="1">
      <c r="A2156" t="s">
        <v>706</v>
      </c>
      <c r="B2156" s="6">
        <v>44287</v>
      </c>
      <c r="C2156" s="6">
        <v>44651</v>
      </c>
      <c r="D2156">
        <v>20210401</v>
      </c>
      <c r="E2156">
        <v>20220331</v>
      </c>
      <c r="F2156" t="s">
        <v>5092</v>
      </c>
      <c r="G2156" t="s">
        <v>5093</v>
      </c>
      <c r="H2156" t="s">
        <v>590</v>
      </c>
      <c r="I2156" t="s">
        <v>1462</v>
      </c>
      <c r="L2156">
        <v>2</v>
      </c>
      <c r="M2156">
        <v>2242</v>
      </c>
      <c r="N2156">
        <v>-2</v>
      </c>
      <c r="O2156">
        <v>-2242</v>
      </c>
      <c r="Z2156" s="3">
        <f t="shared" si="33"/>
        <v>1121</v>
      </c>
    </row>
    <row r="2157" spans="1:26" hidden="1">
      <c r="A2157" t="s">
        <v>706</v>
      </c>
      <c r="B2157" s="6">
        <v>44287</v>
      </c>
      <c r="C2157" s="6">
        <v>44651</v>
      </c>
      <c r="D2157">
        <v>20210401</v>
      </c>
      <c r="E2157">
        <v>20220331</v>
      </c>
      <c r="F2157" t="s">
        <v>5094</v>
      </c>
      <c r="G2157" t="s">
        <v>5095</v>
      </c>
      <c r="H2157" t="s">
        <v>590</v>
      </c>
      <c r="I2157" t="s">
        <v>1462</v>
      </c>
      <c r="L2157">
        <v>1</v>
      </c>
      <c r="M2157">
        <v>27375</v>
      </c>
      <c r="N2157">
        <v>-1</v>
      </c>
      <c r="O2157">
        <v>-27375</v>
      </c>
      <c r="Z2157" s="3">
        <f t="shared" si="33"/>
        <v>27375</v>
      </c>
    </row>
    <row r="2158" spans="1:26" hidden="1">
      <c r="A2158" t="s">
        <v>706</v>
      </c>
      <c r="B2158" s="6">
        <v>44287</v>
      </c>
      <c r="C2158" s="6">
        <v>44651</v>
      </c>
      <c r="D2158">
        <v>20210401</v>
      </c>
      <c r="E2158">
        <v>20220331</v>
      </c>
      <c r="F2158" t="s">
        <v>5096</v>
      </c>
      <c r="G2158" t="s">
        <v>5097</v>
      </c>
      <c r="H2158" t="s">
        <v>590</v>
      </c>
      <c r="I2158" t="s">
        <v>1462</v>
      </c>
      <c r="L2158">
        <v>1</v>
      </c>
      <c r="M2158">
        <v>3500</v>
      </c>
      <c r="X2158">
        <v>1</v>
      </c>
      <c r="Y2158">
        <v>3500</v>
      </c>
      <c r="Z2158" s="3">
        <f t="shared" si="33"/>
        <v>3500</v>
      </c>
    </row>
    <row r="2159" spans="1:26" hidden="1">
      <c r="A2159" t="s">
        <v>706</v>
      </c>
      <c r="B2159" s="6">
        <v>44287</v>
      </c>
      <c r="C2159" s="6">
        <v>44651</v>
      </c>
      <c r="D2159">
        <v>20210401</v>
      </c>
      <c r="E2159">
        <v>20220331</v>
      </c>
      <c r="F2159" t="s">
        <v>5098</v>
      </c>
      <c r="G2159" t="s">
        <v>5099</v>
      </c>
      <c r="H2159" t="s">
        <v>1973</v>
      </c>
      <c r="I2159" t="s">
        <v>1462</v>
      </c>
      <c r="L2159">
        <v>2</v>
      </c>
      <c r="M2159">
        <v>3602</v>
      </c>
      <c r="N2159">
        <v>-2</v>
      </c>
      <c r="O2159">
        <v>-3602</v>
      </c>
      <c r="Z2159" s="3">
        <f t="shared" si="33"/>
        <v>1801</v>
      </c>
    </row>
    <row r="2160" spans="1:26" hidden="1">
      <c r="A2160" t="s">
        <v>706</v>
      </c>
      <c r="B2160" s="6">
        <v>44287</v>
      </c>
      <c r="C2160" s="6">
        <v>44651</v>
      </c>
      <c r="D2160">
        <v>20210401</v>
      </c>
      <c r="E2160">
        <v>20220331</v>
      </c>
      <c r="F2160" t="s">
        <v>5100</v>
      </c>
      <c r="G2160" t="s">
        <v>5099</v>
      </c>
      <c r="H2160" t="s">
        <v>1973</v>
      </c>
      <c r="I2160" t="s">
        <v>1462</v>
      </c>
      <c r="L2160">
        <v>2</v>
      </c>
      <c r="M2160">
        <v>7946</v>
      </c>
      <c r="N2160">
        <v>-2</v>
      </c>
      <c r="O2160">
        <v>-7946</v>
      </c>
      <c r="Z2160" s="3">
        <f t="shared" si="33"/>
        <v>3973</v>
      </c>
    </row>
    <row r="2161" spans="1:26" hidden="1">
      <c r="A2161" t="s">
        <v>706</v>
      </c>
      <c r="B2161" s="6">
        <v>44287</v>
      </c>
      <c r="C2161" s="6">
        <v>44651</v>
      </c>
      <c r="D2161">
        <v>20210401</v>
      </c>
      <c r="E2161">
        <v>20220331</v>
      </c>
      <c r="F2161" t="s">
        <v>5101</v>
      </c>
      <c r="G2161" t="s">
        <v>5099</v>
      </c>
      <c r="H2161" t="s">
        <v>1973</v>
      </c>
      <c r="I2161" t="s">
        <v>1462</v>
      </c>
      <c r="L2161">
        <v>2</v>
      </c>
      <c r="M2161">
        <v>7126</v>
      </c>
      <c r="N2161">
        <v>-2</v>
      </c>
      <c r="O2161">
        <v>-7126</v>
      </c>
      <c r="Z2161" s="3">
        <f t="shared" si="33"/>
        <v>3563</v>
      </c>
    </row>
    <row r="2162" spans="1:26" hidden="1">
      <c r="A2162" t="s">
        <v>706</v>
      </c>
      <c r="B2162" s="6">
        <v>44287</v>
      </c>
      <c r="C2162" s="6">
        <v>44651</v>
      </c>
      <c r="D2162">
        <v>20210401</v>
      </c>
      <c r="E2162">
        <v>20220331</v>
      </c>
      <c r="F2162" t="s">
        <v>5102</v>
      </c>
      <c r="G2162" t="s">
        <v>5103</v>
      </c>
      <c r="H2162" t="s">
        <v>590</v>
      </c>
      <c r="I2162" t="s">
        <v>1462</v>
      </c>
      <c r="K2162">
        <v>0.01</v>
      </c>
      <c r="L2162">
        <v>6</v>
      </c>
      <c r="M2162">
        <v>140546.82</v>
      </c>
      <c r="N2162">
        <v>-4</v>
      </c>
      <c r="O2162">
        <v>-91857.41</v>
      </c>
      <c r="X2162">
        <v>2</v>
      </c>
      <c r="Y2162">
        <v>48689.42</v>
      </c>
      <c r="Z2162" s="3">
        <f t="shared" si="33"/>
        <v>22964.352500000001</v>
      </c>
    </row>
    <row r="2163" spans="1:26" hidden="1">
      <c r="A2163" t="s">
        <v>706</v>
      </c>
      <c r="B2163" s="6">
        <v>44287</v>
      </c>
      <c r="C2163" s="6">
        <v>44651</v>
      </c>
      <c r="D2163">
        <v>20210401</v>
      </c>
      <c r="E2163">
        <v>20220331</v>
      </c>
      <c r="F2163" t="s">
        <v>5104</v>
      </c>
      <c r="G2163" t="s">
        <v>5105</v>
      </c>
      <c r="H2163" t="s">
        <v>590</v>
      </c>
      <c r="I2163" t="s">
        <v>1462</v>
      </c>
      <c r="L2163">
        <v>4</v>
      </c>
      <c r="M2163">
        <v>22276.95</v>
      </c>
      <c r="N2163">
        <v>-2</v>
      </c>
      <c r="O2163">
        <v>-10460</v>
      </c>
      <c r="X2163">
        <v>2</v>
      </c>
      <c r="Y2163">
        <v>11816.95</v>
      </c>
      <c r="Z2163" s="3">
        <f t="shared" si="33"/>
        <v>5230</v>
      </c>
    </row>
    <row r="2164" spans="1:26" hidden="1">
      <c r="A2164" t="s">
        <v>706</v>
      </c>
      <c r="B2164" s="6">
        <v>44287</v>
      </c>
      <c r="C2164" s="6">
        <v>44651</v>
      </c>
      <c r="D2164">
        <v>20210401</v>
      </c>
      <c r="E2164">
        <v>20220331</v>
      </c>
      <c r="F2164" t="s">
        <v>5106</v>
      </c>
      <c r="G2164" t="s">
        <v>5107</v>
      </c>
      <c r="H2164" t="s">
        <v>590</v>
      </c>
      <c r="I2164" t="s">
        <v>1462</v>
      </c>
      <c r="L2164">
        <v>20</v>
      </c>
      <c r="M2164">
        <v>16380</v>
      </c>
      <c r="N2164">
        <v>-20</v>
      </c>
      <c r="O2164">
        <v>-16380</v>
      </c>
      <c r="Z2164" s="3">
        <f t="shared" si="33"/>
        <v>819</v>
      </c>
    </row>
    <row r="2165" spans="1:26" hidden="1">
      <c r="A2165" t="s">
        <v>706</v>
      </c>
      <c r="B2165" s="6">
        <v>44287</v>
      </c>
      <c r="C2165" s="6">
        <v>44651</v>
      </c>
      <c r="D2165">
        <v>20210401</v>
      </c>
      <c r="E2165">
        <v>20220331</v>
      </c>
      <c r="F2165" t="s">
        <v>5108</v>
      </c>
      <c r="G2165" t="s">
        <v>5109</v>
      </c>
      <c r="H2165" t="s">
        <v>590</v>
      </c>
      <c r="I2165" t="s">
        <v>1462</v>
      </c>
      <c r="L2165">
        <v>20</v>
      </c>
      <c r="M2165">
        <v>16380</v>
      </c>
      <c r="N2165">
        <v>-10</v>
      </c>
      <c r="O2165">
        <v>-7750</v>
      </c>
      <c r="X2165">
        <v>10</v>
      </c>
      <c r="Y2165">
        <v>8630</v>
      </c>
      <c r="Z2165" s="3">
        <f t="shared" si="33"/>
        <v>775</v>
      </c>
    </row>
    <row r="2166" spans="1:26" hidden="1">
      <c r="A2166" t="s">
        <v>706</v>
      </c>
      <c r="B2166" s="6">
        <v>44287</v>
      </c>
      <c r="C2166" s="6">
        <v>44651</v>
      </c>
      <c r="D2166">
        <v>20210401</v>
      </c>
      <c r="E2166">
        <v>20220331</v>
      </c>
      <c r="F2166" t="s">
        <v>5110</v>
      </c>
      <c r="G2166" t="s">
        <v>5111</v>
      </c>
      <c r="H2166" t="s">
        <v>590</v>
      </c>
      <c r="I2166" t="s">
        <v>805</v>
      </c>
      <c r="L2166">
        <v>20</v>
      </c>
      <c r="M2166">
        <v>360</v>
      </c>
      <c r="N2166">
        <v>-20</v>
      </c>
      <c r="O2166">
        <v>-360</v>
      </c>
      <c r="Z2166" s="3">
        <f t="shared" si="33"/>
        <v>18</v>
      </c>
    </row>
    <row r="2167" spans="1:26" hidden="1">
      <c r="A2167" t="s">
        <v>706</v>
      </c>
      <c r="B2167" s="6">
        <v>44287</v>
      </c>
      <c r="C2167" s="6">
        <v>44651</v>
      </c>
      <c r="D2167">
        <v>20210401</v>
      </c>
      <c r="E2167">
        <v>20220331</v>
      </c>
      <c r="F2167" t="s">
        <v>5112</v>
      </c>
      <c r="G2167" t="s">
        <v>5113</v>
      </c>
      <c r="H2167" t="s">
        <v>590</v>
      </c>
      <c r="I2167" t="s">
        <v>1462</v>
      </c>
      <c r="J2167">
        <v>1</v>
      </c>
      <c r="K2167">
        <v>26800</v>
      </c>
      <c r="N2167">
        <v>-1</v>
      </c>
      <c r="O2167">
        <v>-26800</v>
      </c>
      <c r="Z2167" s="3">
        <f t="shared" si="33"/>
        <v>26800</v>
      </c>
    </row>
    <row r="2168" spans="1:26" hidden="1">
      <c r="A2168" t="s">
        <v>706</v>
      </c>
      <c r="B2168" s="6">
        <v>44287</v>
      </c>
      <c r="C2168" s="6">
        <v>44651</v>
      </c>
      <c r="D2168">
        <v>20210401</v>
      </c>
      <c r="E2168">
        <v>20220331</v>
      </c>
      <c r="F2168" t="s">
        <v>5114</v>
      </c>
      <c r="G2168" t="s">
        <v>5115</v>
      </c>
      <c r="H2168" t="s">
        <v>613</v>
      </c>
      <c r="I2168" t="s">
        <v>1462</v>
      </c>
      <c r="L2168">
        <v>8</v>
      </c>
      <c r="M2168">
        <v>7080</v>
      </c>
      <c r="N2168">
        <v>-8</v>
      </c>
      <c r="O2168">
        <v>-7080</v>
      </c>
      <c r="Z2168" s="3">
        <f t="shared" si="33"/>
        <v>885</v>
      </c>
    </row>
    <row r="2169" spans="1:26" hidden="1">
      <c r="A2169" t="s">
        <v>706</v>
      </c>
      <c r="B2169" s="6">
        <v>44287</v>
      </c>
      <c r="C2169" s="6">
        <v>44651</v>
      </c>
      <c r="D2169">
        <v>20210401</v>
      </c>
      <c r="E2169">
        <v>20220331</v>
      </c>
      <c r="F2169" t="s">
        <v>5116</v>
      </c>
      <c r="G2169" t="s">
        <v>5117</v>
      </c>
      <c r="H2169" t="s">
        <v>1267</v>
      </c>
      <c r="I2169" t="s">
        <v>1462</v>
      </c>
      <c r="L2169">
        <v>4</v>
      </c>
      <c r="M2169">
        <v>668</v>
      </c>
      <c r="N2169">
        <v>-4</v>
      </c>
      <c r="O2169">
        <v>-668</v>
      </c>
      <c r="Z2169" s="3">
        <f t="shared" si="33"/>
        <v>167</v>
      </c>
    </row>
    <row r="2170" spans="1:26" hidden="1">
      <c r="A2170" t="s">
        <v>706</v>
      </c>
      <c r="B2170" s="6">
        <v>44287</v>
      </c>
      <c r="C2170" s="6">
        <v>44651</v>
      </c>
      <c r="D2170">
        <v>20210401</v>
      </c>
      <c r="E2170">
        <v>20220331</v>
      </c>
      <c r="F2170" t="s">
        <v>5118</v>
      </c>
      <c r="G2170" t="s">
        <v>5119</v>
      </c>
      <c r="H2170" t="s">
        <v>3319</v>
      </c>
      <c r="I2170" t="s">
        <v>1462</v>
      </c>
      <c r="L2170">
        <v>20</v>
      </c>
      <c r="M2170">
        <v>440</v>
      </c>
      <c r="N2170">
        <v>-20</v>
      </c>
      <c r="O2170">
        <v>-440</v>
      </c>
      <c r="Z2170" s="3">
        <f t="shared" si="33"/>
        <v>22</v>
      </c>
    </row>
    <row r="2171" spans="1:26" hidden="1">
      <c r="A2171" t="s">
        <v>706</v>
      </c>
      <c r="B2171" s="6">
        <v>44287</v>
      </c>
      <c r="C2171" s="6">
        <v>44651</v>
      </c>
      <c r="D2171">
        <v>20210401</v>
      </c>
      <c r="E2171">
        <v>20220331</v>
      </c>
      <c r="F2171" t="s">
        <v>5120</v>
      </c>
      <c r="G2171" t="s">
        <v>5121</v>
      </c>
      <c r="H2171" t="s">
        <v>1882</v>
      </c>
      <c r="I2171" t="s">
        <v>1462</v>
      </c>
      <c r="L2171">
        <v>1</v>
      </c>
      <c r="M2171">
        <v>1957</v>
      </c>
      <c r="N2171">
        <v>-2</v>
      </c>
      <c r="O2171">
        <v>-2707</v>
      </c>
      <c r="P2171">
        <v>1</v>
      </c>
      <c r="Q2171">
        <v>750</v>
      </c>
      <c r="Z2171" s="3">
        <f t="shared" si="33"/>
        <v>1957</v>
      </c>
    </row>
    <row r="2172" spans="1:26" hidden="1">
      <c r="A2172" t="s">
        <v>706</v>
      </c>
      <c r="B2172" s="6">
        <v>44287</v>
      </c>
      <c r="C2172" s="6">
        <v>44651</v>
      </c>
      <c r="D2172">
        <v>20210401</v>
      </c>
      <c r="E2172">
        <v>20220331</v>
      </c>
      <c r="F2172" t="s">
        <v>5122</v>
      </c>
      <c r="G2172" t="s">
        <v>5123</v>
      </c>
      <c r="H2172" t="s">
        <v>613</v>
      </c>
      <c r="I2172" t="s">
        <v>1462</v>
      </c>
      <c r="L2172">
        <v>4</v>
      </c>
      <c r="M2172">
        <v>2736</v>
      </c>
      <c r="N2172">
        <v>-5</v>
      </c>
      <c r="O2172">
        <v>-3186</v>
      </c>
      <c r="P2172">
        <v>1</v>
      </c>
      <c r="Q2172">
        <v>450</v>
      </c>
      <c r="Z2172" s="3">
        <f t="shared" si="33"/>
        <v>684</v>
      </c>
    </row>
    <row r="2173" spans="1:26" hidden="1">
      <c r="A2173" t="s">
        <v>706</v>
      </c>
      <c r="B2173" s="6">
        <v>44287</v>
      </c>
      <c r="C2173" s="6">
        <v>44651</v>
      </c>
      <c r="D2173">
        <v>20210401</v>
      </c>
      <c r="E2173">
        <v>20220331</v>
      </c>
      <c r="F2173" t="s">
        <v>5124</v>
      </c>
      <c r="G2173" t="s">
        <v>5125</v>
      </c>
      <c r="H2173" t="s">
        <v>590</v>
      </c>
      <c r="I2173" t="s">
        <v>1462</v>
      </c>
      <c r="L2173">
        <v>4</v>
      </c>
      <c r="M2173">
        <v>236</v>
      </c>
      <c r="N2173">
        <v>-4</v>
      </c>
      <c r="O2173">
        <v>-236</v>
      </c>
      <c r="Z2173" s="3">
        <f t="shared" si="33"/>
        <v>59</v>
      </c>
    </row>
    <row r="2174" spans="1:26" hidden="1">
      <c r="A2174" t="s">
        <v>706</v>
      </c>
      <c r="B2174" s="6">
        <v>44287</v>
      </c>
      <c r="C2174" s="6">
        <v>44651</v>
      </c>
      <c r="D2174">
        <v>20210401</v>
      </c>
      <c r="E2174">
        <v>20220331</v>
      </c>
      <c r="F2174" t="s">
        <v>5126</v>
      </c>
      <c r="G2174" t="s">
        <v>5127</v>
      </c>
      <c r="H2174" t="s">
        <v>590</v>
      </c>
      <c r="I2174" t="s">
        <v>1462</v>
      </c>
      <c r="L2174">
        <v>4</v>
      </c>
      <c r="M2174">
        <v>236</v>
      </c>
      <c r="N2174">
        <v>-4</v>
      </c>
      <c r="O2174">
        <v>-236</v>
      </c>
      <c r="Z2174" s="3">
        <f t="shared" si="33"/>
        <v>59</v>
      </c>
    </row>
    <row r="2175" spans="1:26" hidden="1">
      <c r="A2175" t="s">
        <v>706</v>
      </c>
      <c r="B2175" s="6">
        <v>44287</v>
      </c>
      <c r="C2175" s="6">
        <v>44651</v>
      </c>
      <c r="D2175">
        <v>20210401</v>
      </c>
      <c r="E2175">
        <v>20220331</v>
      </c>
      <c r="F2175" t="s">
        <v>5128</v>
      </c>
      <c r="G2175" t="s">
        <v>5129</v>
      </c>
      <c r="H2175" t="s">
        <v>590</v>
      </c>
      <c r="I2175" t="s">
        <v>1462</v>
      </c>
      <c r="L2175">
        <v>1</v>
      </c>
      <c r="M2175">
        <v>151084</v>
      </c>
      <c r="N2175">
        <v>-1</v>
      </c>
      <c r="O2175">
        <v>-151084</v>
      </c>
      <c r="Z2175" s="3">
        <f t="shared" si="33"/>
        <v>151084</v>
      </c>
    </row>
    <row r="2176" spans="1:26" hidden="1">
      <c r="A2176" t="s">
        <v>706</v>
      </c>
      <c r="B2176" s="6">
        <v>44287</v>
      </c>
      <c r="C2176" s="6">
        <v>44651</v>
      </c>
      <c r="D2176">
        <v>20210401</v>
      </c>
      <c r="E2176">
        <v>20220331</v>
      </c>
      <c r="F2176" t="s">
        <v>5130</v>
      </c>
      <c r="G2176" t="s">
        <v>5131</v>
      </c>
      <c r="H2176" t="s">
        <v>613</v>
      </c>
      <c r="I2176" t="s">
        <v>805</v>
      </c>
      <c r="L2176">
        <v>8</v>
      </c>
      <c r="M2176">
        <v>7080</v>
      </c>
      <c r="N2176">
        <v>-10</v>
      </c>
      <c r="O2176">
        <v>-8120</v>
      </c>
      <c r="P2176">
        <v>2</v>
      </c>
      <c r="Q2176">
        <v>1040</v>
      </c>
      <c r="Z2176" s="3">
        <f t="shared" si="33"/>
        <v>885</v>
      </c>
    </row>
    <row r="2177" spans="1:26" hidden="1">
      <c r="A2177" t="s">
        <v>706</v>
      </c>
      <c r="B2177" s="6">
        <v>44287</v>
      </c>
      <c r="C2177" s="6">
        <v>44651</v>
      </c>
      <c r="D2177">
        <v>20210401</v>
      </c>
      <c r="E2177">
        <v>20220331</v>
      </c>
      <c r="F2177" t="s">
        <v>5132</v>
      </c>
      <c r="G2177" t="s">
        <v>5133</v>
      </c>
      <c r="H2177" t="s">
        <v>590</v>
      </c>
      <c r="I2177" t="s">
        <v>1462</v>
      </c>
      <c r="L2177">
        <v>3</v>
      </c>
      <c r="M2177">
        <v>15693</v>
      </c>
      <c r="P2177">
        <v>3</v>
      </c>
      <c r="Q2177">
        <v>13096.5</v>
      </c>
      <c r="X2177">
        <v>6</v>
      </c>
      <c r="Y2177">
        <v>28789.5</v>
      </c>
      <c r="Z2177" s="3">
        <f t="shared" si="33"/>
        <v>4365.5</v>
      </c>
    </row>
    <row r="2178" spans="1:26" hidden="1">
      <c r="A2178" t="s">
        <v>706</v>
      </c>
      <c r="B2178" s="6">
        <v>44287</v>
      </c>
      <c r="C2178" s="6">
        <v>44651</v>
      </c>
      <c r="D2178">
        <v>20210401</v>
      </c>
      <c r="E2178">
        <v>20220331</v>
      </c>
      <c r="F2178" t="s">
        <v>5134</v>
      </c>
      <c r="G2178" t="s">
        <v>5135</v>
      </c>
      <c r="H2178" t="s">
        <v>590</v>
      </c>
      <c r="I2178" t="s">
        <v>1462</v>
      </c>
      <c r="L2178">
        <v>3</v>
      </c>
      <c r="M2178">
        <v>15693</v>
      </c>
      <c r="X2178">
        <v>3</v>
      </c>
      <c r="Y2178">
        <v>15693</v>
      </c>
      <c r="Z2178" s="3">
        <f t="shared" si="33"/>
        <v>5231</v>
      </c>
    </row>
    <row r="2179" spans="1:26" hidden="1">
      <c r="A2179" t="s">
        <v>706</v>
      </c>
      <c r="B2179" s="6">
        <v>44287</v>
      </c>
      <c r="C2179" s="6">
        <v>44651</v>
      </c>
      <c r="D2179">
        <v>20210401</v>
      </c>
      <c r="E2179">
        <v>20220331</v>
      </c>
      <c r="F2179" t="s">
        <v>5136</v>
      </c>
      <c r="G2179" t="s">
        <v>5137</v>
      </c>
      <c r="H2179" t="s">
        <v>590</v>
      </c>
      <c r="I2179" t="s">
        <v>1462</v>
      </c>
      <c r="L2179">
        <v>2</v>
      </c>
      <c r="M2179">
        <v>60495.66</v>
      </c>
      <c r="N2179">
        <v>-3</v>
      </c>
      <c r="O2179">
        <v>-78245.66</v>
      </c>
      <c r="P2179">
        <v>1</v>
      </c>
      <c r="Q2179">
        <v>17750</v>
      </c>
      <c r="Z2179" s="3">
        <f t="shared" ref="Z2179:Z2242" si="34">IFERROR((O2179+Q2179)/(N2179+P2179),Y2179/X2179)</f>
        <v>30247.83</v>
      </c>
    </row>
    <row r="2180" spans="1:26" hidden="1">
      <c r="A2180" t="s">
        <v>706</v>
      </c>
      <c r="B2180" s="6">
        <v>44287</v>
      </c>
      <c r="C2180" s="6">
        <v>44651</v>
      </c>
      <c r="D2180">
        <v>20210401</v>
      </c>
      <c r="E2180">
        <v>20220331</v>
      </c>
      <c r="F2180" t="s">
        <v>5138</v>
      </c>
      <c r="G2180" t="s">
        <v>5139</v>
      </c>
      <c r="H2180" t="s">
        <v>3319</v>
      </c>
      <c r="I2180" t="s">
        <v>1462</v>
      </c>
      <c r="L2180">
        <v>50</v>
      </c>
      <c r="M2180">
        <v>2889</v>
      </c>
      <c r="N2180">
        <v>-50</v>
      </c>
      <c r="O2180">
        <v>-2889</v>
      </c>
      <c r="Z2180" s="3">
        <f t="shared" si="34"/>
        <v>57.78</v>
      </c>
    </row>
    <row r="2181" spans="1:26" hidden="1">
      <c r="A2181" t="s">
        <v>706</v>
      </c>
      <c r="B2181" s="6">
        <v>44287</v>
      </c>
      <c r="C2181" s="6">
        <v>44651</v>
      </c>
      <c r="D2181">
        <v>20210401</v>
      </c>
      <c r="E2181">
        <v>20220331</v>
      </c>
      <c r="F2181" t="s">
        <v>5140</v>
      </c>
      <c r="G2181" t="s">
        <v>5141</v>
      </c>
      <c r="H2181" t="s">
        <v>590</v>
      </c>
      <c r="I2181" t="s">
        <v>1462</v>
      </c>
      <c r="L2181">
        <v>1</v>
      </c>
      <c r="M2181">
        <v>56160</v>
      </c>
      <c r="X2181">
        <v>1</v>
      </c>
      <c r="Y2181">
        <v>56160</v>
      </c>
      <c r="Z2181" s="3">
        <f t="shared" si="34"/>
        <v>56160</v>
      </c>
    </row>
    <row r="2182" spans="1:26" hidden="1">
      <c r="A2182" t="s">
        <v>706</v>
      </c>
      <c r="B2182" s="6">
        <v>44287</v>
      </c>
      <c r="C2182" s="6">
        <v>44651</v>
      </c>
      <c r="D2182">
        <v>20210401</v>
      </c>
      <c r="E2182">
        <v>20220331</v>
      </c>
      <c r="F2182" t="s">
        <v>5142</v>
      </c>
      <c r="G2182" t="s">
        <v>5143</v>
      </c>
      <c r="H2182" t="s">
        <v>3319</v>
      </c>
      <c r="I2182" t="s">
        <v>1462</v>
      </c>
      <c r="K2182">
        <v>0.01</v>
      </c>
      <c r="L2182">
        <v>450</v>
      </c>
      <c r="M2182">
        <v>45375</v>
      </c>
      <c r="N2182">
        <v>-450</v>
      </c>
      <c r="O2182">
        <v>-44500</v>
      </c>
      <c r="Y2182">
        <v>875.01</v>
      </c>
      <c r="Z2182" s="3">
        <f t="shared" si="34"/>
        <v>98.888888888888886</v>
      </c>
    </row>
    <row r="2183" spans="1:26" hidden="1">
      <c r="A2183" t="s">
        <v>706</v>
      </c>
      <c r="B2183" s="6">
        <v>44287</v>
      </c>
      <c r="C2183" s="6">
        <v>44651</v>
      </c>
      <c r="D2183">
        <v>20210401</v>
      </c>
      <c r="E2183">
        <v>20220331</v>
      </c>
      <c r="F2183" t="s">
        <v>5144</v>
      </c>
      <c r="G2183" t="s">
        <v>5145</v>
      </c>
      <c r="H2183" t="s">
        <v>590</v>
      </c>
      <c r="I2183" t="s">
        <v>1462</v>
      </c>
      <c r="L2183">
        <v>8</v>
      </c>
      <c r="M2183">
        <v>2520</v>
      </c>
      <c r="N2183">
        <v>-8</v>
      </c>
      <c r="O2183">
        <v>-2520</v>
      </c>
      <c r="Z2183" s="3">
        <f t="shared" si="34"/>
        <v>315</v>
      </c>
    </row>
    <row r="2184" spans="1:26" hidden="1">
      <c r="A2184" t="s">
        <v>706</v>
      </c>
      <c r="B2184" s="6">
        <v>44287</v>
      </c>
      <c r="C2184" s="6">
        <v>44651</v>
      </c>
      <c r="D2184">
        <v>20210401</v>
      </c>
      <c r="E2184">
        <v>20220331</v>
      </c>
      <c r="F2184" t="s">
        <v>5146</v>
      </c>
      <c r="G2184" t="s">
        <v>5147</v>
      </c>
      <c r="H2184" t="s">
        <v>590</v>
      </c>
      <c r="I2184" t="s">
        <v>1462</v>
      </c>
      <c r="L2184">
        <v>1</v>
      </c>
      <c r="M2184">
        <v>7966.8</v>
      </c>
      <c r="N2184">
        <v>-1</v>
      </c>
      <c r="O2184">
        <v>-7966.8</v>
      </c>
      <c r="Z2184" s="3">
        <f t="shared" si="34"/>
        <v>7966.8</v>
      </c>
    </row>
    <row r="2185" spans="1:26" hidden="1">
      <c r="A2185" t="s">
        <v>706</v>
      </c>
      <c r="B2185" s="6">
        <v>44287</v>
      </c>
      <c r="C2185" s="6">
        <v>44651</v>
      </c>
      <c r="D2185">
        <v>20210401</v>
      </c>
      <c r="E2185">
        <v>20220331</v>
      </c>
      <c r="F2185" t="s">
        <v>5148</v>
      </c>
      <c r="G2185" t="s">
        <v>5149</v>
      </c>
      <c r="H2185" t="s">
        <v>590</v>
      </c>
      <c r="I2185" t="s">
        <v>1462</v>
      </c>
      <c r="L2185">
        <v>1</v>
      </c>
      <c r="M2185">
        <v>8423.1</v>
      </c>
      <c r="N2185">
        <v>-1</v>
      </c>
      <c r="O2185">
        <v>-8423.1</v>
      </c>
      <c r="Z2185" s="3">
        <f t="shared" si="34"/>
        <v>8423.1</v>
      </c>
    </row>
    <row r="2186" spans="1:26" hidden="1">
      <c r="A2186" t="s">
        <v>706</v>
      </c>
      <c r="B2186" s="6">
        <v>44287</v>
      </c>
      <c r="C2186" s="6">
        <v>44651</v>
      </c>
      <c r="D2186">
        <v>20210401</v>
      </c>
      <c r="E2186">
        <v>20220331</v>
      </c>
      <c r="F2186" t="s">
        <v>5150</v>
      </c>
      <c r="G2186" t="s">
        <v>5151</v>
      </c>
      <c r="H2186" t="s">
        <v>590</v>
      </c>
      <c r="I2186" t="s">
        <v>1462</v>
      </c>
      <c r="L2186">
        <v>30</v>
      </c>
      <c r="M2186">
        <v>218</v>
      </c>
      <c r="N2186">
        <v>-30</v>
      </c>
      <c r="O2186">
        <v>-218</v>
      </c>
      <c r="Z2186" s="3">
        <f t="shared" si="34"/>
        <v>7.2666666666666666</v>
      </c>
    </row>
    <row r="2187" spans="1:26" hidden="1">
      <c r="A2187" t="s">
        <v>706</v>
      </c>
      <c r="B2187" s="6">
        <v>44287</v>
      </c>
      <c r="C2187" s="6">
        <v>44651</v>
      </c>
      <c r="D2187">
        <v>20210401</v>
      </c>
      <c r="E2187">
        <v>20220331</v>
      </c>
      <c r="F2187" t="s">
        <v>5152</v>
      </c>
      <c r="G2187" t="s">
        <v>5153</v>
      </c>
      <c r="H2187" t="s">
        <v>590</v>
      </c>
      <c r="I2187" t="s">
        <v>1462</v>
      </c>
      <c r="L2187">
        <v>1</v>
      </c>
      <c r="M2187">
        <v>540</v>
      </c>
      <c r="N2187">
        <v>-1</v>
      </c>
      <c r="O2187">
        <v>-540</v>
      </c>
      <c r="Z2187" s="3">
        <f t="shared" si="34"/>
        <v>540</v>
      </c>
    </row>
    <row r="2188" spans="1:26" hidden="1">
      <c r="A2188" t="s">
        <v>706</v>
      </c>
      <c r="B2188" s="6">
        <v>44287</v>
      </c>
      <c r="C2188" s="6">
        <v>44651</v>
      </c>
      <c r="D2188">
        <v>20210401</v>
      </c>
      <c r="E2188">
        <v>20220331</v>
      </c>
      <c r="F2188" t="s">
        <v>5154</v>
      </c>
      <c r="G2188" t="s">
        <v>5155</v>
      </c>
      <c r="H2188" t="s">
        <v>590</v>
      </c>
      <c r="I2188" t="s">
        <v>1462</v>
      </c>
      <c r="L2188">
        <v>32</v>
      </c>
      <c r="M2188">
        <v>2596</v>
      </c>
      <c r="N2188">
        <v>-32</v>
      </c>
      <c r="O2188">
        <v>-2596</v>
      </c>
      <c r="Z2188" s="3">
        <f t="shared" si="34"/>
        <v>81.125</v>
      </c>
    </row>
    <row r="2189" spans="1:26" hidden="1">
      <c r="A2189" t="s">
        <v>706</v>
      </c>
      <c r="B2189" s="6">
        <v>44287</v>
      </c>
      <c r="C2189" s="6">
        <v>44651</v>
      </c>
      <c r="D2189">
        <v>20210401</v>
      </c>
      <c r="E2189">
        <v>20220331</v>
      </c>
      <c r="F2189" t="s">
        <v>5156</v>
      </c>
      <c r="G2189" t="s">
        <v>5157</v>
      </c>
      <c r="H2189" t="s">
        <v>590</v>
      </c>
      <c r="I2189" t="s">
        <v>1462</v>
      </c>
      <c r="L2189">
        <v>4</v>
      </c>
      <c r="M2189">
        <v>840</v>
      </c>
      <c r="N2189">
        <v>-4</v>
      </c>
      <c r="O2189">
        <v>-840</v>
      </c>
      <c r="Z2189" s="3">
        <f t="shared" si="34"/>
        <v>210</v>
      </c>
    </row>
    <row r="2190" spans="1:26" hidden="1">
      <c r="A2190" t="s">
        <v>706</v>
      </c>
      <c r="B2190" s="6">
        <v>44287</v>
      </c>
      <c r="C2190" s="6">
        <v>44651</v>
      </c>
      <c r="D2190">
        <v>20210401</v>
      </c>
      <c r="E2190">
        <v>20220331</v>
      </c>
      <c r="F2190" t="s">
        <v>5158</v>
      </c>
      <c r="G2190" t="s">
        <v>5159</v>
      </c>
      <c r="H2190" t="s">
        <v>590</v>
      </c>
      <c r="I2190" t="s">
        <v>1462</v>
      </c>
      <c r="L2190">
        <v>10</v>
      </c>
      <c r="M2190">
        <v>90</v>
      </c>
      <c r="N2190">
        <v>-10</v>
      </c>
      <c r="O2190">
        <v>-90</v>
      </c>
      <c r="Z2190" s="3">
        <f t="shared" si="34"/>
        <v>9</v>
      </c>
    </row>
    <row r="2191" spans="1:26" hidden="1">
      <c r="A2191" t="s">
        <v>706</v>
      </c>
      <c r="B2191" s="6">
        <v>44287</v>
      </c>
      <c r="C2191" s="6">
        <v>44651</v>
      </c>
      <c r="D2191">
        <v>20210401</v>
      </c>
      <c r="E2191">
        <v>20220331</v>
      </c>
      <c r="F2191" t="s">
        <v>5160</v>
      </c>
      <c r="G2191" t="s">
        <v>5161</v>
      </c>
      <c r="H2191" t="s">
        <v>3319</v>
      </c>
      <c r="I2191" t="s">
        <v>1462</v>
      </c>
      <c r="L2191">
        <v>400</v>
      </c>
      <c r="M2191">
        <v>6528</v>
      </c>
      <c r="N2191">
        <v>-400</v>
      </c>
      <c r="O2191">
        <v>-6528</v>
      </c>
      <c r="Z2191" s="3">
        <f t="shared" si="34"/>
        <v>16.32</v>
      </c>
    </row>
    <row r="2192" spans="1:26" hidden="1">
      <c r="A2192" t="s">
        <v>706</v>
      </c>
      <c r="B2192" s="6">
        <v>44287</v>
      </c>
      <c r="C2192" s="6">
        <v>44651</v>
      </c>
      <c r="D2192">
        <v>20210401</v>
      </c>
      <c r="E2192">
        <v>20220331</v>
      </c>
      <c r="F2192" t="s">
        <v>5162</v>
      </c>
      <c r="G2192" t="s">
        <v>5163</v>
      </c>
      <c r="H2192" t="s">
        <v>590</v>
      </c>
      <c r="I2192" t="s">
        <v>805</v>
      </c>
      <c r="L2192">
        <v>2</v>
      </c>
      <c r="M2192">
        <v>222</v>
      </c>
      <c r="N2192">
        <v>-2</v>
      </c>
      <c r="O2192">
        <v>-222</v>
      </c>
      <c r="Z2192" s="3">
        <f t="shared" si="34"/>
        <v>111</v>
      </c>
    </row>
    <row r="2193" spans="1:26" hidden="1">
      <c r="A2193" t="s">
        <v>706</v>
      </c>
      <c r="B2193" s="6">
        <v>44287</v>
      </c>
      <c r="C2193" s="6">
        <v>44651</v>
      </c>
      <c r="D2193">
        <v>20210401</v>
      </c>
      <c r="E2193">
        <v>20220331</v>
      </c>
      <c r="F2193" t="s">
        <v>5164</v>
      </c>
      <c r="G2193" t="s">
        <v>5165</v>
      </c>
      <c r="H2193" t="s">
        <v>590</v>
      </c>
      <c r="I2193" t="s">
        <v>1462</v>
      </c>
      <c r="L2193">
        <v>6</v>
      </c>
      <c r="M2193">
        <v>1290</v>
      </c>
      <c r="N2193">
        <v>-6</v>
      </c>
      <c r="O2193">
        <v>-1290</v>
      </c>
      <c r="Z2193" s="3">
        <f t="shared" si="34"/>
        <v>215</v>
      </c>
    </row>
    <row r="2194" spans="1:26" hidden="1">
      <c r="A2194" t="s">
        <v>706</v>
      </c>
      <c r="B2194" s="6">
        <v>44287</v>
      </c>
      <c r="C2194" s="6">
        <v>44651</v>
      </c>
      <c r="D2194">
        <v>20210401</v>
      </c>
      <c r="E2194">
        <v>20220331</v>
      </c>
      <c r="F2194" t="s">
        <v>5166</v>
      </c>
      <c r="G2194" t="s">
        <v>5167</v>
      </c>
      <c r="H2194" t="s">
        <v>590</v>
      </c>
      <c r="I2194" t="s">
        <v>1462</v>
      </c>
      <c r="L2194">
        <v>5</v>
      </c>
      <c r="M2194">
        <v>249</v>
      </c>
      <c r="N2194">
        <v>-5</v>
      </c>
      <c r="O2194">
        <v>-249</v>
      </c>
      <c r="Z2194" s="3">
        <f t="shared" si="34"/>
        <v>49.8</v>
      </c>
    </row>
    <row r="2195" spans="1:26" hidden="1">
      <c r="A2195" t="s">
        <v>706</v>
      </c>
      <c r="B2195" s="6">
        <v>44287</v>
      </c>
      <c r="C2195" s="6">
        <v>44651</v>
      </c>
      <c r="D2195">
        <v>20210401</v>
      </c>
      <c r="E2195">
        <v>20220331</v>
      </c>
      <c r="F2195" t="s">
        <v>5168</v>
      </c>
      <c r="G2195" t="s">
        <v>5169</v>
      </c>
      <c r="H2195" t="s">
        <v>590</v>
      </c>
      <c r="I2195" t="s">
        <v>1462</v>
      </c>
      <c r="L2195">
        <v>1</v>
      </c>
      <c r="M2195">
        <v>68</v>
      </c>
      <c r="N2195">
        <v>-1</v>
      </c>
      <c r="O2195">
        <v>-68</v>
      </c>
      <c r="Z2195" s="3">
        <f t="shared" si="34"/>
        <v>68</v>
      </c>
    </row>
    <row r="2196" spans="1:26" hidden="1">
      <c r="A2196" t="s">
        <v>706</v>
      </c>
      <c r="B2196" s="6">
        <v>44287</v>
      </c>
      <c r="C2196" s="6">
        <v>44651</v>
      </c>
      <c r="D2196">
        <v>20210401</v>
      </c>
      <c r="E2196">
        <v>20220331</v>
      </c>
      <c r="F2196" t="s">
        <v>5170</v>
      </c>
      <c r="G2196" t="s">
        <v>5171</v>
      </c>
      <c r="H2196" t="s">
        <v>590</v>
      </c>
      <c r="I2196" t="s">
        <v>1462</v>
      </c>
      <c r="L2196">
        <v>20</v>
      </c>
      <c r="M2196">
        <v>290.60000000000002</v>
      </c>
      <c r="N2196">
        <v>-20</v>
      </c>
      <c r="O2196">
        <v>-290.60000000000002</v>
      </c>
      <c r="Z2196" s="3">
        <f t="shared" si="34"/>
        <v>14.530000000000001</v>
      </c>
    </row>
    <row r="2197" spans="1:26" hidden="1">
      <c r="A2197" t="s">
        <v>706</v>
      </c>
      <c r="B2197" s="6">
        <v>44287</v>
      </c>
      <c r="C2197" s="6">
        <v>44651</v>
      </c>
      <c r="D2197">
        <v>20210401</v>
      </c>
      <c r="E2197">
        <v>20220331</v>
      </c>
      <c r="F2197" t="s">
        <v>5172</v>
      </c>
      <c r="G2197" t="s">
        <v>5173</v>
      </c>
      <c r="H2197" t="s">
        <v>3319</v>
      </c>
      <c r="I2197" t="s">
        <v>1462</v>
      </c>
      <c r="L2197">
        <v>32</v>
      </c>
      <c r="M2197">
        <v>2119</v>
      </c>
      <c r="N2197">
        <v>-32</v>
      </c>
      <c r="O2197">
        <v>-2119</v>
      </c>
      <c r="Z2197" s="3">
        <f t="shared" si="34"/>
        <v>66.21875</v>
      </c>
    </row>
    <row r="2198" spans="1:26" hidden="1">
      <c r="A2198" t="s">
        <v>706</v>
      </c>
      <c r="B2198" s="6">
        <v>44287</v>
      </c>
      <c r="C2198" s="6">
        <v>44651</v>
      </c>
      <c r="D2198">
        <v>20210401</v>
      </c>
      <c r="E2198">
        <v>20220331</v>
      </c>
      <c r="F2198" t="s">
        <v>5174</v>
      </c>
      <c r="G2198" t="s">
        <v>5175</v>
      </c>
      <c r="H2198" t="s">
        <v>590</v>
      </c>
      <c r="I2198" t="s">
        <v>1462</v>
      </c>
      <c r="L2198">
        <v>20</v>
      </c>
      <c r="M2198">
        <v>260</v>
      </c>
      <c r="N2198">
        <v>-20</v>
      </c>
      <c r="O2198">
        <v>-260</v>
      </c>
      <c r="Z2198" s="3">
        <f t="shared" si="34"/>
        <v>13</v>
      </c>
    </row>
    <row r="2199" spans="1:26" hidden="1">
      <c r="A2199" t="s">
        <v>706</v>
      </c>
      <c r="B2199" s="6">
        <v>44287</v>
      </c>
      <c r="C2199" s="6">
        <v>44651</v>
      </c>
      <c r="D2199">
        <v>20210401</v>
      </c>
      <c r="E2199">
        <v>20220331</v>
      </c>
      <c r="F2199" t="s">
        <v>5176</v>
      </c>
      <c r="G2199" t="s">
        <v>5177</v>
      </c>
      <c r="H2199" t="s">
        <v>3319</v>
      </c>
      <c r="I2199" t="s">
        <v>1462</v>
      </c>
      <c r="L2199">
        <v>20</v>
      </c>
      <c r="M2199">
        <v>2124</v>
      </c>
      <c r="N2199">
        <v>-20</v>
      </c>
      <c r="O2199">
        <v>-2124</v>
      </c>
      <c r="Z2199" s="3">
        <f t="shared" si="34"/>
        <v>106.2</v>
      </c>
    </row>
    <row r="2200" spans="1:26" hidden="1">
      <c r="A2200" t="s">
        <v>706</v>
      </c>
      <c r="B2200" s="6">
        <v>44287</v>
      </c>
      <c r="C2200" s="6">
        <v>44651</v>
      </c>
      <c r="D2200">
        <v>20210401</v>
      </c>
      <c r="E2200">
        <v>20220331</v>
      </c>
      <c r="F2200" t="s">
        <v>5178</v>
      </c>
      <c r="G2200" t="s">
        <v>5179</v>
      </c>
      <c r="H2200" t="s">
        <v>590</v>
      </c>
      <c r="I2200" t="s">
        <v>1462</v>
      </c>
      <c r="L2200">
        <v>15</v>
      </c>
      <c r="M2200">
        <v>1725</v>
      </c>
      <c r="N2200">
        <v>-15</v>
      </c>
      <c r="O2200">
        <v>-1725</v>
      </c>
      <c r="Z2200" s="3">
        <f t="shared" si="34"/>
        <v>115</v>
      </c>
    </row>
    <row r="2201" spans="1:26" hidden="1">
      <c r="A2201" t="s">
        <v>706</v>
      </c>
      <c r="B2201" s="6">
        <v>44287</v>
      </c>
      <c r="C2201" s="6">
        <v>44651</v>
      </c>
      <c r="D2201">
        <v>20210401</v>
      </c>
      <c r="E2201">
        <v>20220331</v>
      </c>
      <c r="F2201" t="s">
        <v>5180</v>
      </c>
      <c r="G2201" t="s">
        <v>5181</v>
      </c>
      <c r="H2201" t="s">
        <v>590</v>
      </c>
      <c r="I2201" t="s">
        <v>1462</v>
      </c>
      <c r="L2201">
        <v>6</v>
      </c>
      <c r="M2201">
        <v>359.58</v>
      </c>
      <c r="N2201">
        <v>-6</v>
      </c>
      <c r="O2201">
        <v>-359.58</v>
      </c>
      <c r="Z2201" s="3">
        <f t="shared" si="34"/>
        <v>59.93</v>
      </c>
    </row>
    <row r="2202" spans="1:26" hidden="1">
      <c r="A2202" t="s">
        <v>706</v>
      </c>
      <c r="B2202" s="6">
        <v>44287</v>
      </c>
      <c r="C2202" s="6">
        <v>44651</v>
      </c>
      <c r="D2202">
        <v>20210401</v>
      </c>
      <c r="E2202">
        <v>20220331</v>
      </c>
      <c r="F2202" t="s">
        <v>5182</v>
      </c>
      <c r="G2202" t="s">
        <v>5183</v>
      </c>
      <c r="H2202" t="s">
        <v>590</v>
      </c>
      <c r="I2202" t="s">
        <v>1462</v>
      </c>
      <c r="L2202">
        <v>6</v>
      </c>
      <c r="M2202">
        <v>1117.56</v>
      </c>
      <c r="N2202">
        <v>-6</v>
      </c>
      <c r="O2202">
        <v>-1117.56</v>
      </c>
      <c r="Z2202" s="3">
        <f t="shared" si="34"/>
        <v>186.26</v>
      </c>
    </row>
    <row r="2203" spans="1:26" hidden="1">
      <c r="A2203" t="s">
        <v>706</v>
      </c>
      <c r="B2203" s="6">
        <v>44287</v>
      </c>
      <c r="C2203" s="6">
        <v>44651</v>
      </c>
      <c r="D2203">
        <v>20210401</v>
      </c>
      <c r="E2203">
        <v>20220331</v>
      </c>
      <c r="F2203" t="s">
        <v>5184</v>
      </c>
      <c r="G2203" t="s">
        <v>5185</v>
      </c>
      <c r="H2203" t="s">
        <v>590</v>
      </c>
      <c r="I2203" t="s">
        <v>1462</v>
      </c>
      <c r="L2203">
        <v>10</v>
      </c>
      <c r="M2203">
        <v>1523.9</v>
      </c>
      <c r="N2203">
        <v>-10</v>
      </c>
      <c r="O2203">
        <v>-1523.9</v>
      </c>
      <c r="Z2203" s="3">
        <f t="shared" si="34"/>
        <v>152.39000000000001</v>
      </c>
    </row>
    <row r="2204" spans="1:26" hidden="1">
      <c r="A2204" t="s">
        <v>706</v>
      </c>
      <c r="B2204" s="6">
        <v>44287</v>
      </c>
      <c r="C2204" s="6">
        <v>44651</v>
      </c>
      <c r="D2204">
        <v>20210401</v>
      </c>
      <c r="E2204">
        <v>20220331</v>
      </c>
      <c r="F2204" t="s">
        <v>5186</v>
      </c>
      <c r="G2204" t="s">
        <v>5187</v>
      </c>
      <c r="H2204" t="s">
        <v>590</v>
      </c>
      <c r="I2204" t="s">
        <v>1462</v>
      </c>
      <c r="L2204">
        <v>6</v>
      </c>
      <c r="M2204">
        <v>1320</v>
      </c>
      <c r="N2204">
        <v>-6</v>
      </c>
      <c r="O2204">
        <v>-1320</v>
      </c>
      <c r="Z2204" s="3">
        <f t="shared" si="34"/>
        <v>220</v>
      </c>
    </row>
    <row r="2205" spans="1:26" hidden="1">
      <c r="A2205" t="s">
        <v>706</v>
      </c>
      <c r="B2205" s="6">
        <v>44287</v>
      </c>
      <c r="C2205" s="6">
        <v>44651</v>
      </c>
      <c r="D2205">
        <v>20210401</v>
      </c>
      <c r="E2205">
        <v>20220331</v>
      </c>
      <c r="F2205" t="s">
        <v>5188</v>
      </c>
      <c r="G2205" t="s">
        <v>5189</v>
      </c>
      <c r="H2205" t="s">
        <v>590</v>
      </c>
      <c r="I2205" t="s">
        <v>1462</v>
      </c>
      <c r="L2205">
        <v>4</v>
      </c>
      <c r="M2205">
        <v>400</v>
      </c>
      <c r="N2205">
        <v>-4</v>
      </c>
      <c r="O2205">
        <v>-400</v>
      </c>
      <c r="Z2205" s="3">
        <f t="shared" si="34"/>
        <v>100</v>
      </c>
    </row>
    <row r="2206" spans="1:26" hidden="1">
      <c r="A2206" t="s">
        <v>706</v>
      </c>
      <c r="B2206" s="6">
        <v>44287</v>
      </c>
      <c r="C2206" s="6">
        <v>44651</v>
      </c>
      <c r="D2206">
        <v>20210401</v>
      </c>
      <c r="E2206">
        <v>20220331</v>
      </c>
      <c r="F2206" t="s">
        <v>5190</v>
      </c>
      <c r="G2206" t="s">
        <v>5191</v>
      </c>
      <c r="H2206" t="s">
        <v>590</v>
      </c>
      <c r="I2206" t="s">
        <v>1462</v>
      </c>
      <c r="L2206">
        <v>2</v>
      </c>
      <c r="M2206">
        <v>1920</v>
      </c>
      <c r="N2206">
        <v>-2</v>
      </c>
      <c r="O2206">
        <v>-1920</v>
      </c>
      <c r="Z2206" s="3">
        <f t="shared" si="34"/>
        <v>960</v>
      </c>
    </row>
    <row r="2207" spans="1:26" hidden="1">
      <c r="A2207" t="s">
        <v>706</v>
      </c>
      <c r="B2207" s="6">
        <v>44287</v>
      </c>
      <c r="C2207" s="6">
        <v>44651</v>
      </c>
      <c r="D2207">
        <v>20210401</v>
      </c>
      <c r="E2207">
        <v>20220331</v>
      </c>
      <c r="F2207" t="s">
        <v>5192</v>
      </c>
      <c r="G2207" t="s">
        <v>5193</v>
      </c>
      <c r="H2207" t="s">
        <v>590</v>
      </c>
      <c r="I2207" t="s">
        <v>1462</v>
      </c>
      <c r="L2207">
        <v>30</v>
      </c>
      <c r="M2207">
        <v>840</v>
      </c>
      <c r="N2207">
        <v>-30</v>
      </c>
      <c r="O2207">
        <v>-840</v>
      </c>
      <c r="Z2207" s="3">
        <f t="shared" si="34"/>
        <v>28</v>
      </c>
    </row>
    <row r="2208" spans="1:26" hidden="1">
      <c r="A2208" t="s">
        <v>706</v>
      </c>
      <c r="B2208" s="6">
        <v>44287</v>
      </c>
      <c r="C2208" s="6">
        <v>44651</v>
      </c>
      <c r="D2208">
        <v>20210401</v>
      </c>
      <c r="E2208">
        <v>20220331</v>
      </c>
      <c r="F2208" t="s">
        <v>5194</v>
      </c>
      <c r="G2208" t="s">
        <v>5195</v>
      </c>
      <c r="H2208" t="s">
        <v>3319</v>
      </c>
      <c r="I2208" t="s">
        <v>1462</v>
      </c>
      <c r="L2208">
        <v>20</v>
      </c>
      <c r="M2208">
        <v>2956.2</v>
      </c>
      <c r="N2208">
        <v>-20</v>
      </c>
      <c r="O2208">
        <v>-2956.2</v>
      </c>
      <c r="Z2208" s="3">
        <f t="shared" si="34"/>
        <v>147.81</v>
      </c>
    </row>
    <row r="2209" spans="1:26" hidden="1">
      <c r="A2209" t="s">
        <v>706</v>
      </c>
      <c r="B2209" s="6">
        <v>44287</v>
      </c>
      <c r="C2209" s="6">
        <v>44651</v>
      </c>
      <c r="D2209">
        <v>20210401</v>
      </c>
      <c r="E2209">
        <v>20220331</v>
      </c>
      <c r="F2209" t="s">
        <v>5196</v>
      </c>
      <c r="G2209" t="s">
        <v>5197</v>
      </c>
      <c r="H2209" t="s">
        <v>590</v>
      </c>
      <c r="I2209" t="s">
        <v>1462</v>
      </c>
      <c r="L2209">
        <v>6</v>
      </c>
      <c r="M2209">
        <v>1860</v>
      </c>
      <c r="N2209">
        <v>-20</v>
      </c>
      <c r="O2209">
        <v>-6200</v>
      </c>
      <c r="X2209">
        <v>-14</v>
      </c>
      <c r="Y2209">
        <v>-4340</v>
      </c>
      <c r="Z2209" s="3">
        <f t="shared" si="34"/>
        <v>310</v>
      </c>
    </row>
    <row r="2210" spans="1:26" hidden="1">
      <c r="A2210" t="s">
        <v>706</v>
      </c>
      <c r="B2210" s="6">
        <v>44287</v>
      </c>
      <c r="C2210" s="6">
        <v>44651</v>
      </c>
      <c r="D2210">
        <v>20210401</v>
      </c>
      <c r="E2210">
        <v>20220331</v>
      </c>
      <c r="F2210" t="s">
        <v>5198</v>
      </c>
      <c r="G2210" t="s">
        <v>5199</v>
      </c>
      <c r="H2210" t="s">
        <v>590</v>
      </c>
      <c r="I2210" t="s">
        <v>1462</v>
      </c>
      <c r="L2210">
        <v>2</v>
      </c>
      <c r="M2210">
        <v>270</v>
      </c>
      <c r="N2210">
        <v>-2</v>
      </c>
      <c r="O2210">
        <v>-270</v>
      </c>
      <c r="Z2210" s="3">
        <f t="shared" si="34"/>
        <v>135</v>
      </c>
    </row>
    <row r="2211" spans="1:26" hidden="1">
      <c r="A2211" t="s">
        <v>706</v>
      </c>
      <c r="B2211" s="6">
        <v>44287</v>
      </c>
      <c r="C2211" s="6">
        <v>44651</v>
      </c>
      <c r="D2211">
        <v>20210401</v>
      </c>
      <c r="E2211">
        <v>20220331</v>
      </c>
      <c r="F2211" t="s">
        <v>5200</v>
      </c>
      <c r="G2211" t="s">
        <v>5201</v>
      </c>
      <c r="H2211" t="s">
        <v>590</v>
      </c>
      <c r="I2211" t="s">
        <v>1462</v>
      </c>
      <c r="L2211">
        <v>4</v>
      </c>
      <c r="M2211">
        <v>232</v>
      </c>
      <c r="N2211">
        <v>-4</v>
      </c>
      <c r="O2211">
        <v>-232</v>
      </c>
      <c r="Z2211" s="3">
        <f t="shared" si="34"/>
        <v>58</v>
      </c>
    </row>
    <row r="2212" spans="1:26" hidden="1">
      <c r="A2212" t="s">
        <v>706</v>
      </c>
      <c r="B2212" s="6">
        <v>44287</v>
      </c>
      <c r="C2212" s="6">
        <v>44651</v>
      </c>
      <c r="D2212">
        <v>20210401</v>
      </c>
      <c r="E2212">
        <v>20220331</v>
      </c>
      <c r="F2212" t="s">
        <v>5202</v>
      </c>
      <c r="G2212" t="s">
        <v>5203</v>
      </c>
      <c r="H2212" t="s">
        <v>590</v>
      </c>
      <c r="I2212" t="s">
        <v>1462</v>
      </c>
      <c r="L2212">
        <v>2</v>
      </c>
      <c r="M2212">
        <v>1024.8</v>
      </c>
      <c r="N2212">
        <v>-2</v>
      </c>
      <c r="O2212">
        <v>-1024.8</v>
      </c>
      <c r="Z2212" s="3">
        <f t="shared" si="34"/>
        <v>512.4</v>
      </c>
    </row>
    <row r="2213" spans="1:26" hidden="1">
      <c r="A2213" t="s">
        <v>706</v>
      </c>
      <c r="B2213" s="6">
        <v>44287</v>
      </c>
      <c r="C2213" s="6">
        <v>44651</v>
      </c>
      <c r="D2213">
        <v>20210401</v>
      </c>
      <c r="E2213">
        <v>20220331</v>
      </c>
      <c r="F2213" t="s">
        <v>5204</v>
      </c>
      <c r="G2213" t="s">
        <v>5205</v>
      </c>
      <c r="H2213" t="s">
        <v>590</v>
      </c>
      <c r="I2213" t="s">
        <v>1462</v>
      </c>
      <c r="L2213">
        <v>2</v>
      </c>
      <c r="M2213">
        <v>420</v>
      </c>
      <c r="N2213">
        <v>-2</v>
      </c>
      <c r="O2213">
        <v>-420</v>
      </c>
      <c r="Z2213" s="3">
        <f t="shared" si="34"/>
        <v>210</v>
      </c>
    </row>
    <row r="2214" spans="1:26" hidden="1">
      <c r="A2214" t="s">
        <v>706</v>
      </c>
      <c r="B2214" s="6">
        <v>44287</v>
      </c>
      <c r="C2214" s="6">
        <v>44651</v>
      </c>
      <c r="D2214">
        <v>20210401</v>
      </c>
      <c r="E2214">
        <v>20220331</v>
      </c>
      <c r="F2214" t="s">
        <v>5206</v>
      </c>
      <c r="G2214" t="s">
        <v>5207</v>
      </c>
      <c r="H2214" t="s">
        <v>590</v>
      </c>
      <c r="I2214" t="s">
        <v>1462</v>
      </c>
      <c r="L2214">
        <v>30</v>
      </c>
      <c r="M2214">
        <v>240</v>
      </c>
      <c r="N2214">
        <v>-30</v>
      </c>
      <c r="O2214">
        <v>-240</v>
      </c>
      <c r="Z2214" s="3">
        <f t="shared" si="34"/>
        <v>8</v>
      </c>
    </row>
    <row r="2215" spans="1:26" hidden="1">
      <c r="A2215" t="s">
        <v>706</v>
      </c>
      <c r="B2215" s="6">
        <v>44287</v>
      </c>
      <c r="C2215" s="6">
        <v>44651</v>
      </c>
      <c r="D2215">
        <v>20210401</v>
      </c>
      <c r="E2215">
        <v>20220331</v>
      </c>
      <c r="F2215" t="s">
        <v>5208</v>
      </c>
      <c r="G2215" t="s">
        <v>5209</v>
      </c>
      <c r="H2215" t="s">
        <v>590</v>
      </c>
      <c r="I2215" t="s">
        <v>1462</v>
      </c>
      <c r="L2215">
        <v>100</v>
      </c>
      <c r="M2215">
        <v>3750</v>
      </c>
      <c r="N2215">
        <v>-100</v>
      </c>
      <c r="O2215">
        <v>-3750</v>
      </c>
      <c r="Z2215" s="3">
        <f t="shared" si="34"/>
        <v>37.5</v>
      </c>
    </row>
    <row r="2216" spans="1:26" hidden="1">
      <c r="A2216" t="s">
        <v>706</v>
      </c>
      <c r="B2216" s="6">
        <v>44287</v>
      </c>
      <c r="C2216" s="6">
        <v>44651</v>
      </c>
      <c r="D2216">
        <v>20210401</v>
      </c>
      <c r="E2216">
        <v>20220331</v>
      </c>
      <c r="F2216" t="s">
        <v>5210</v>
      </c>
      <c r="G2216" t="s">
        <v>5211</v>
      </c>
      <c r="H2216" t="s">
        <v>590</v>
      </c>
      <c r="I2216" t="s">
        <v>1462</v>
      </c>
      <c r="L2216">
        <v>50</v>
      </c>
      <c r="M2216">
        <v>3500</v>
      </c>
      <c r="N2216">
        <v>-40</v>
      </c>
      <c r="O2216">
        <v>-2800</v>
      </c>
      <c r="X2216">
        <v>10</v>
      </c>
      <c r="Y2216">
        <v>700</v>
      </c>
      <c r="Z2216" s="3">
        <f t="shared" si="34"/>
        <v>70</v>
      </c>
    </row>
    <row r="2217" spans="1:26" hidden="1">
      <c r="A2217" t="s">
        <v>706</v>
      </c>
      <c r="B2217" s="6">
        <v>44287</v>
      </c>
      <c r="C2217" s="6">
        <v>44651</v>
      </c>
      <c r="D2217">
        <v>20210401</v>
      </c>
      <c r="E2217">
        <v>20220331</v>
      </c>
      <c r="F2217" t="s">
        <v>5212</v>
      </c>
      <c r="G2217" t="s">
        <v>5213</v>
      </c>
      <c r="H2217" t="s">
        <v>590</v>
      </c>
      <c r="I2217" t="s">
        <v>1462</v>
      </c>
      <c r="N2217">
        <v>-45</v>
      </c>
      <c r="O2217">
        <v>-1395.68</v>
      </c>
      <c r="P2217">
        <v>45</v>
      </c>
      <c r="Q2217">
        <v>1395.68</v>
      </c>
      <c r="Z2217" s="3" t="e">
        <f t="shared" si="34"/>
        <v>#DIV/0!</v>
      </c>
    </row>
    <row r="2218" spans="1:26" hidden="1">
      <c r="A2218" t="s">
        <v>706</v>
      </c>
      <c r="B2218" s="6">
        <v>44287</v>
      </c>
      <c r="C2218" s="6">
        <v>44651</v>
      </c>
      <c r="D2218">
        <v>20210401</v>
      </c>
      <c r="E2218">
        <v>20220331</v>
      </c>
      <c r="F2218" t="s">
        <v>5214</v>
      </c>
      <c r="G2218" t="s">
        <v>5215</v>
      </c>
      <c r="H2218" t="s">
        <v>590</v>
      </c>
      <c r="I2218" t="s">
        <v>1462</v>
      </c>
      <c r="L2218">
        <v>6</v>
      </c>
      <c r="M2218">
        <v>2850</v>
      </c>
      <c r="N2218">
        <v>-6</v>
      </c>
      <c r="O2218">
        <v>-2850</v>
      </c>
      <c r="Z2218" s="3">
        <f t="shared" si="34"/>
        <v>475</v>
      </c>
    </row>
    <row r="2219" spans="1:26" hidden="1">
      <c r="A2219" t="s">
        <v>706</v>
      </c>
      <c r="B2219" s="6">
        <v>44287</v>
      </c>
      <c r="C2219" s="6">
        <v>44651</v>
      </c>
      <c r="D2219">
        <v>20210401</v>
      </c>
      <c r="E2219">
        <v>20220331</v>
      </c>
      <c r="F2219" t="s">
        <v>5216</v>
      </c>
      <c r="G2219" t="s">
        <v>5217</v>
      </c>
      <c r="H2219" t="s">
        <v>590</v>
      </c>
      <c r="I2219" t="s">
        <v>1462</v>
      </c>
      <c r="L2219">
        <v>1</v>
      </c>
      <c r="M2219">
        <v>1231.2</v>
      </c>
      <c r="N2219">
        <v>-1</v>
      </c>
      <c r="O2219">
        <v>-1231.2</v>
      </c>
      <c r="Z2219" s="3">
        <f t="shared" si="34"/>
        <v>1231.2</v>
      </c>
    </row>
    <row r="2220" spans="1:26" hidden="1">
      <c r="A2220" t="s">
        <v>706</v>
      </c>
      <c r="B2220" s="6">
        <v>44287</v>
      </c>
      <c r="C2220" s="6">
        <v>44651</v>
      </c>
      <c r="D2220">
        <v>20210401</v>
      </c>
      <c r="E2220">
        <v>20220331</v>
      </c>
      <c r="F2220" t="s">
        <v>5218</v>
      </c>
      <c r="G2220" t="s">
        <v>5219</v>
      </c>
      <c r="H2220" t="s">
        <v>590</v>
      </c>
      <c r="I2220" t="s">
        <v>1462</v>
      </c>
      <c r="N2220">
        <v>-1</v>
      </c>
      <c r="O2220">
        <v>-221.5</v>
      </c>
      <c r="P2220">
        <v>1</v>
      </c>
      <c r="Q2220">
        <v>221.5</v>
      </c>
      <c r="Z2220" s="3" t="e">
        <f t="shared" si="34"/>
        <v>#DIV/0!</v>
      </c>
    </row>
    <row r="2221" spans="1:26" hidden="1">
      <c r="A2221" t="s">
        <v>706</v>
      </c>
      <c r="B2221" s="6">
        <v>44287</v>
      </c>
      <c r="C2221" s="6">
        <v>44651</v>
      </c>
      <c r="D2221">
        <v>20210401</v>
      </c>
      <c r="E2221">
        <v>20220331</v>
      </c>
      <c r="F2221" t="s">
        <v>5220</v>
      </c>
      <c r="G2221" t="s">
        <v>5221</v>
      </c>
      <c r="H2221" t="s">
        <v>590</v>
      </c>
      <c r="I2221" t="s">
        <v>805</v>
      </c>
      <c r="K2221">
        <v>0.03</v>
      </c>
      <c r="L2221">
        <v>10</v>
      </c>
      <c r="M2221">
        <v>3600</v>
      </c>
      <c r="N2221">
        <v>-10</v>
      </c>
      <c r="O2221">
        <v>-3600</v>
      </c>
      <c r="Y2221">
        <v>0.03</v>
      </c>
      <c r="Z2221" s="3">
        <f t="shared" si="34"/>
        <v>360</v>
      </c>
    </row>
    <row r="2222" spans="1:26" hidden="1">
      <c r="A2222" t="s">
        <v>706</v>
      </c>
      <c r="B2222" s="6">
        <v>44287</v>
      </c>
      <c r="C2222" s="6">
        <v>44651</v>
      </c>
      <c r="D2222">
        <v>20210401</v>
      </c>
      <c r="E2222">
        <v>20220331</v>
      </c>
      <c r="F2222" t="s">
        <v>5222</v>
      </c>
      <c r="G2222" t="s">
        <v>5223</v>
      </c>
      <c r="H2222" t="s">
        <v>590</v>
      </c>
      <c r="I2222" t="s">
        <v>805</v>
      </c>
      <c r="J2222">
        <v>5</v>
      </c>
      <c r="K2222">
        <v>2750</v>
      </c>
      <c r="L2222">
        <v>6</v>
      </c>
      <c r="M2222">
        <v>7966.67</v>
      </c>
      <c r="N2222">
        <v>-11</v>
      </c>
      <c r="O2222">
        <v>-10716.66</v>
      </c>
      <c r="Y2222">
        <v>0.01</v>
      </c>
      <c r="Z2222" s="3">
        <f t="shared" si="34"/>
        <v>974.24181818181819</v>
      </c>
    </row>
    <row r="2223" spans="1:26" hidden="1">
      <c r="A2223" t="s">
        <v>706</v>
      </c>
      <c r="B2223" s="6">
        <v>44287</v>
      </c>
      <c r="C2223" s="6">
        <v>44651</v>
      </c>
      <c r="D2223">
        <v>20210401</v>
      </c>
      <c r="E2223">
        <v>20220331</v>
      </c>
      <c r="F2223" t="s">
        <v>5224</v>
      </c>
      <c r="G2223" t="s">
        <v>5225</v>
      </c>
      <c r="H2223" t="s">
        <v>590</v>
      </c>
      <c r="I2223" t="s">
        <v>1462</v>
      </c>
      <c r="L2223">
        <v>2</v>
      </c>
      <c r="M2223">
        <v>900</v>
      </c>
      <c r="N2223">
        <v>-2</v>
      </c>
      <c r="O2223">
        <v>-900</v>
      </c>
      <c r="Z2223" s="3">
        <f t="shared" si="34"/>
        <v>450</v>
      </c>
    </row>
    <row r="2224" spans="1:26" hidden="1">
      <c r="A2224" t="s">
        <v>706</v>
      </c>
      <c r="B2224" s="6">
        <v>44287</v>
      </c>
      <c r="C2224" s="6">
        <v>44651</v>
      </c>
      <c r="D2224">
        <v>20210401</v>
      </c>
      <c r="E2224">
        <v>20220331</v>
      </c>
      <c r="F2224" t="s">
        <v>5226</v>
      </c>
      <c r="G2224" t="s">
        <v>5227</v>
      </c>
      <c r="H2224" t="s">
        <v>590</v>
      </c>
      <c r="I2224" t="s">
        <v>1462</v>
      </c>
      <c r="L2224">
        <v>2</v>
      </c>
      <c r="M2224">
        <v>65700</v>
      </c>
      <c r="N2224">
        <v>-2</v>
      </c>
      <c r="O2224">
        <v>-65700</v>
      </c>
      <c r="Z2224" s="3">
        <f t="shared" si="34"/>
        <v>32850</v>
      </c>
    </row>
    <row r="2225" spans="1:26" hidden="1">
      <c r="A2225" t="s">
        <v>706</v>
      </c>
      <c r="B2225" s="6">
        <v>44287</v>
      </c>
      <c r="C2225" s="6">
        <v>44651</v>
      </c>
      <c r="D2225">
        <v>20210401</v>
      </c>
      <c r="E2225">
        <v>20220331</v>
      </c>
      <c r="F2225" t="s">
        <v>5228</v>
      </c>
      <c r="G2225" t="s">
        <v>5229</v>
      </c>
      <c r="H2225" t="s">
        <v>590</v>
      </c>
      <c r="I2225" t="s">
        <v>1462</v>
      </c>
      <c r="L2225">
        <v>1</v>
      </c>
      <c r="M2225">
        <v>28500</v>
      </c>
      <c r="N2225">
        <v>-1</v>
      </c>
      <c r="O2225">
        <v>-28500</v>
      </c>
      <c r="Z2225" s="3">
        <f t="shared" si="34"/>
        <v>28500</v>
      </c>
    </row>
    <row r="2226" spans="1:26" hidden="1">
      <c r="A2226" t="s">
        <v>706</v>
      </c>
      <c r="B2226" s="6">
        <v>44287</v>
      </c>
      <c r="C2226" s="6">
        <v>44651</v>
      </c>
      <c r="D2226">
        <v>20210401</v>
      </c>
      <c r="E2226">
        <v>20220331</v>
      </c>
      <c r="F2226" t="s">
        <v>5230</v>
      </c>
      <c r="G2226" t="s">
        <v>5231</v>
      </c>
      <c r="H2226" t="s">
        <v>590</v>
      </c>
      <c r="I2226" t="s">
        <v>1462</v>
      </c>
      <c r="L2226">
        <v>3</v>
      </c>
      <c r="M2226">
        <v>104760</v>
      </c>
      <c r="N2226">
        <v>-3</v>
      </c>
      <c r="O2226">
        <v>-104760</v>
      </c>
      <c r="Z2226" s="3">
        <f t="shared" si="34"/>
        <v>34920</v>
      </c>
    </row>
    <row r="2227" spans="1:26" hidden="1">
      <c r="A2227" t="s">
        <v>706</v>
      </c>
      <c r="B2227" s="6">
        <v>44287</v>
      </c>
      <c r="C2227" s="6">
        <v>44651</v>
      </c>
      <c r="D2227">
        <v>20210401</v>
      </c>
      <c r="E2227">
        <v>20220331</v>
      </c>
      <c r="F2227" t="s">
        <v>5232</v>
      </c>
      <c r="G2227" t="s">
        <v>5233</v>
      </c>
      <c r="H2227" t="s">
        <v>590</v>
      </c>
      <c r="I2227" t="s">
        <v>1462</v>
      </c>
      <c r="L2227">
        <v>1</v>
      </c>
      <c r="M2227">
        <v>290000</v>
      </c>
      <c r="N2227">
        <v>-1</v>
      </c>
      <c r="O2227">
        <v>-290000</v>
      </c>
      <c r="Z2227" s="3">
        <f t="shared" si="34"/>
        <v>290000</v>
      </c>
    </row>
    <row r="2228" spans="1:26" hidden="1">
      <c r="A2228" t="s">
        <v>706</v>
      </c>
      <c r="B2228" s="6">
        <v>44287</v>
      </c>
      <c r="C2228" s="6">
        <v>44651</v>
      </c>
      <c r="D2228">
        <v>20210401</v>
      </c>
      <c r="E2228">
        <v>20220331</v>
      </c>
      <c r="F2228" t="s">
        <v>5234</v>
      </c>
      <c r="G2228" t="s">
        <v>5235</v>
      </c>
      <c r="H2228" t="s">
        <v>590</v>
      </c>
      <c r="I2228" t="s">
        <v>805</v>
      </c>
      <c r="L2228">
        <v>11</v>
      </c>
      <c r="M2228">
        <v>5940</v>
      </c>
      <c r="N2228">
        <v>-11</v>
      </c>
      <c r="O2228">
        <v>-5940</v>
      </c>
      <c r="Z2228" s="3">
        <f t="shared" si="34"/>
        <v>540</v>
      </c>
    </row>
    <row r="2229" spans="1:26" hidden="1">
      <c r="A2229" t="s">
        <v>706</v>
      </c>
      <c r="B2229" s="6">
        <v>44287</v>
      </c>
      <c r="C2229" s="6">
        <v>44651</v>
      </c>
      <c r="D2229">
        <v>20210401</v>
      </c>
      <c r="E2229">
        <v>20220331</v>
      </c>
      <c r="F2229" t="s">
        <v>5236</v>
      </c>
      <c r="G2229" t="s">
        <v>5237</v>
      </c>
      <c r="H2229" t="s">
        <v>590</v>
      </c>
      <c r="I2229" t="s">
        <v>1462</v>
      </c>
      <c r="L2229">
        <v>1</v>
      </c>
      <c r="M2229">
        <v>17112.5</v>
      </c>
      <c r="N2229">
        <v>-1</v>
      </c>
      <c r="O2229">
        <v>-17112.5</v>
      </c>
      <c r="Z2229" s="3">
        <f t="shared" si="34"/>
        <v>17112.5</v>
      </c>
    </row>
    <row r="2230" spans="1:26" hidden="1">
      <c r="A2230" t="s">
        <v>706</v>
      </c>
      <c r="B2230" s="6">
        <v>44287</v>
      </c>
      <c r="C2230" s="6">
        <v>44651</v>
      </c>
      <c r="D2230">
        <v>20210401</v>
      </c>
      <c r="E2230">
        <v>20220331</v>
      </c>
      <c r="F2230" t="s">
        <v>5238</v>
      </c>
      <c r="G2230" t="s">
        <v>5239</v>
      </c>
      <c r="H2230" t="s">
        <v>1973</v>
      </c>
      <c r="I2230" t="s">
        <v>1462</v>
      </c>
      <c r="L2230">
        <v>1</v>
      </c>
      <c r="M2230">
        <v>13900</v>
      </c>
      <c r="N2230">
        <v>-1</v>
      </c>
      <c r="O2230">
        <v>-13900</v>
      </c>
      <c r="Z2230" s="3">
        <f t="shared" si="34"/>
        <v>13900</v>
      </c>
    </row>
    <row r="2231" spans="1:26" hidden="1">
      <c r="A2231" t="s">
        <v>706</v>
      </c>
      <c r="B2231" s="6">
        <v>44287</v>
      </c>
      <c r="C2231" s="6">
        <v>44651</v>
      </c>
      <c r="D2231">
        <v>20210401</v>
      </c>
      <c r="E2231">
        <v>20220331</v>
      </c>
      <c r="F2231" t="s">
        <v>5240</v>
      </c>
      <c r="G2231" t="s">
        <v>5239</v>
      </c>
      <c r="H2231" t="s">
        <v>1973</v>
      </c>
      <c r="I2231" t="s">
        <v>1462</v>
      </c>
      <c r="L2231">
        <v>1</v>
      </c>
      <c r="M2231">
        <v>20300</v>
      </c>
      <c r="N2231">
        <v>-1</v>
      </c>
      <c r="O2231">
        <v>-20300</v>
      </c>
      <c r="Z2231" s="3">
        <f t="shared" si="34"/>
        <v>20300</v>
      </c>
    </row>
    <row r="2232" spans="1:26" hidden="1">
      <c r="A2232" t="s">
        <v>706</v>
      </c>
      <c r="B2232" s="6">
        <v>44287</v>
      </c>
      <c r="C2232" s="6">
        <v>44651</v>
      </c>
      <c r="D2232">
        <v>20210401</v>
      </c>
      <c r="E2232">
        <v>20220331</v>
      </c>
      <c r="F2232" t="s">
        <v>5241</v>
      </c>
      <c r="G2232" t="s">
        <v>5242</v>
      </c>
      <c r="H2232" t="s">
        <v>590</v>
      </c>
      <c r="I2232" t="s">
        <v>1462</v>
      </c>
      <c r="L2232">
        <v>100</v>
      </c>
      <c r="M2232">
        <v>200</v>
      </c>
      <c r="N2232">
        <v>-100</v>
      </c>
      <c r="O2232">
        <v>-200</v>
      </c>
      <c r="Z2232" s="3">
        <f t="shared" si="34"/>
        <v>2</v>
      </c>
    </row>
    <row r="2233" spans="1:26" hidden="1">
      <c r="A2233" t="s">
        <v>706</v>
      </c>
      <c r="B2233" s="6">
        <v>44287</v>
      </c>
      <c r="C2233" s="6">
        <v>44651</v>
      </c>
      <c r="D2233">
        <v>20210401</v>
      </c>
      <c r="E2233">
        <v>20220331</v>
      </c>
      <c r="F2233" t="s">
        <v>5243</v>
      </c>
      <c r="G2233" t="s">
        <v>5244</v>
      </c>
      <c r="H2233" t="s">
        <v>590</v>
      </c>
      <c r="I2233" t="s">
        <v>1462</v>
      </c>
      <c r="L2233">
        <v>100</v>
      </c>
      <c r="M2233">
        <v>200</v>
      </c>
      <c r="N2233">
        <v>-100</v>
      </c>
      <c r="O2233">
        <v>-200</v>
      </c>
      <c r="Z2233" s="3">
        <f t="shared" si="34"/>
        <v>2</v>
      </c>
    </row>
    <row r="2234" spans="1:26" hidden="1">
      <c r="A2234" t="s">
        <v>706</v>
      </c>
      <c r="B2234" s="6">
        <v>44287</v>
      </c>
      <c r="C2234" s="6">
        <v>44651</v>
      </c>
      <c r="D2234">
        <v>20210401</v>
      </c>
      <c r="E2234">
        <v>20220331</v>
      </c>
      <c r="F2234" t="s">
        <v>5245</v>
      </c>
      <c r="G2234" t="s">
        <v>5246</v>
      </c>
      <c r="H2234" t="s">
        <v>1973</v>
      </c>
      <c r="I2234" t="s">
        <v>1462</v>
      </c>
      <c r="L2234">
        <v>6</v>
      </c>
      <c r="M2234">
        <v>762</v>
      </c>
      <c r="N2234">
        <v>-6</v>
      </c>
      <c r="O2234">
        <v>-762</v>
      </c>
      <c r="Z2234" s="3">
        <f t="shared" si="34"/>
        <v>127</v>
      </c>
    </row>
    <row r="2235" spans="1:26" hidden="1">
      <c r="A2235" t="s">
        <v>706</v>
      </c>
      <c r="B2235" s="6">
        <v>44287</v>
      </c>
      <c r="C2235" s="6">
        <v>44651</v>
      </c>
      <c r="D2235">
        <v>20210401</v>
      </c>
      <c r="E2235">
        <v>20220331</v>
      </c>
      <c r="F2235" t="s">
        <v>5247</v>
      </c>
      <c r="G2235" t="s">
        <v>5248</v>
      </c>
      <c r="H2235" t="s">
        <v>590</v>
      </c>
      <c r="I2235" t="s">
        <v>1462</v>
      </c>
      <c r="L2235">
        <v>16</v>
      </c>
      <c r="M2235">
        <v>432</v>
      </c>
      <c r="N2235">
        <v>-16</v>
      </c>
      <c r="O2235">
        <v>-432</v>
      </c>
      <c r="Z2235" s="3">
        <f t="shared" si="34"/>
        <v>27</v>
      </c>
    </row>
    <row r="2236" spans="1:26" hidden="1">
      <c r="A2236" t="s">
        <v>706</v>
      </c>
      <c r="B2236" s="6">
        <v>44287</v>
      </c>
      <c r="C2236" s="6">
        <v>44651</v>
      </c>
      <c r="D2236">
        <v>20210401</v>
      </c>
      <c r="E2236">
        <v>20220331</v>
      </c>
      <c r="F2236" t="s">
        <v>5249</v>
      </c>
      <c r="G2236" t="s">
        <v>5250</v>
      </c>
      <c r="H2236" t="s">
        <v>590</v>
      </c>
      <c r="I2236" t="s">
        <v>1462</v>
      </c>
      <c r="K2236">
        <v>0.01</v>
      </c>
      <c r="Y2236">
        <v>0.01</v>
      </c>
      <c r="Z2236" s="3" t="e">
        <f t="shared" si="34"/>
        <v>#DIV/0!</v>
      </c>
    </row>
    <row r="2237" spans="1:26" hidden="1">
      <c r="A2237" t="s">
        <v>706</v>
      </c>
      <c r="B2237" s="6">
        <v>44287</v>
      </c>
      <c r="C2237" s="6">
        <v>44651</v>
      </c>
      <c r="D2237">
        <v>20210401</v>
      </c>
      <c r="E2237">
        <v>20220331</v>
      </c>
      <c r="F2237" t="s">
        <v>5251</v>
      </c>
      <c r="G2237" t="s">
        <v>5252</v>
      </c>
      <c r="H2237" t="s">
        <v>590</v>
      </c>
      <c r="I2237" t="s">
        <v>1462</v>
      </c>
      <c r="L2237">
        <v>1</v>
      </c>
      <c r="M2237">
        <v>2075</v>
      </c>
      <c r="N2237">
        <v>-1</v>
      </c>
      <c r="O2237">
        <v>-2075</v>
      </c>
      <c r="Z2237" s="3">
        <f t="shared" si="34"/>
        <v>2075</v>
      </c>
    </row>
    <row r="2238" spans="1:26" hidden="1">
      <c r="A2238" t="s">
        <v>706</v>
      </c>
      <c r="B2238" s="6">
        <v>44287</v>
      </c>
      <c r="C2238" s="6">
        <v>44651</v>
      </c>
      <c r="D2238">
        <v>20210401</v>
      </c>
      <c r="E2238">
        <v>20220331</v>
      </c>
      <c r="F2238" t="s">
        <v>5253</v>
      </c>
      <c r="G2238" t="s">
        <v>5254</v>
      </c>
      <c r="H2238" t="s">
        <v>590</v>
      </c>
      <c r="I2238" t="s">
        <v>1462</v>
      </c>
      <c r="L2238">
        <v>1</v>
      </c>
      <c r="M2238">
        <v>2075</v>
      </c>
      <c r="N2238">
        <v>-1</v>
      </c>
      <c r="O2238">
        <v>-2075</v>
      </c>
      <c r="Z2238" s="3">
        <f t="shared" si="34"/>
        <v>2075</v>
      </c>
    </row>
    <row r="2239" spans="1:26" hidden="1">
      <c r="A2239" t="s">
        <v>706</v>
      </c>
      <c r="B2239" s="6">
        <v>44287</v>
      </c>
      <c r="C2239" s="6">
        <v>44651</v>
      </c>
      <c r="D2239">
        <v>20210401</v>
      </c>
      <c r="E2239">
        <v>20220331</v>
      </c>
      <c r="F2239" t="s">
        <v>5255</v>
      </c>
      <c r="G2239" t="s">
        <v>5256</v>
      </c>
      <c r="H2239" t="s">
        <v>590</v>
      </c>
      <c r="I2239" t="s">
        <v>1462</v>
      </c>
      <c r="L2239">
        <v>1</v>
      </c>
      <c r="M2239">
        <v>2975</v>
      </c>
      <c r="N2239">
        <v>-1</v>
      </c>
      <c r="O2239">
        <v>-2975</v>
      </c>
      <c r="Z2239" s="3">
        <f t="shared" si="34"/>
        <v>2975</v>
      </c>
    </row>
    <row r="2240" spans="1:26" hidden="1">
      <c r="A2240" t="s">
        <v>706</v>
      </c>
      <c r="B2240" s="6">
        <v>44287</v>
      </c>
      <c r="C2240" s="6">
        <v>44651</v>
      </c>
      <c r="D2240">
        <v>20210401</v>
      </c>
      <c r="E2240">
        <v>20220331</v>
      </c>
      <c r="F2240" t="s">
        <v>5257</v>
      </c>
      <c r="G2240" t="s">
        <v>5258</v>
      </c>
      <c r="H2240" t="s">
        <v>590</v>
      </c>
      <c r="I2240" t="s">
        <v>774</v>
      </c>
      <c r="L2240">
        <v>1</v>
      </c>
      <c r="M2240">
        <v>60000</v>
      </c>
      <c r="N2240">
        <v>-1</v>
      </c>
      <c r="O2240">
        <v>-60000</v>
      </c>
      <c r="P2240">
        <v>1</v>
      </c>
      <c r="Q2240">
        <v>60000</v>
      </c>
      <c r="R2240">
        <v>-1</v>
      </c>
      <c r="S2240">
        <v>-60000</v>
      </c>
      <c r="Z2240" s="3" t="e">
        <f t="shared" si="34"/>
        <v>#DIV/0!</v>
      </c>
    </row>
    <row r="2241" spans="1:26" hidden="1">
      <c r="A2241" t="s">
        <v>706</v>
      </c>
      <c r="B2241" s="6">
        <v>44287</v>
      </c>
      <c r="C2241" s="6">
        <v>44651</v>
      </c>
      <c r="D2241">
        <v>20210401</v>
      </c>
      <c r="E2241">
        <v>20220331</v>
      </c>
      <c r="F2241" t="s">
        <v>5259</v>
      </c>
      <c r="G2241" t="s">
        <v>5260</v>
      </c>
      <c r="H2241" t="s">
        <v>590</v>
      </c>
      <c r="I2241" t="s">
        <v>1462</v>
      </c>
      <c r="L2241">
        <v>28</v>
      </c>
      <c r="M2241">
        <v>271465.25</v>
      </c>
      <c r="N2241">
        <v>-28</v>
      </c>
      <c r="O2241">
        <v>-271465.26</v>
      </c>
      <c r="Y2241">
        <v>-0.01</v>
      </c>
      <c r="Z2241" s="3">
        <f t="shared" si="34"/>
        <v>9695.187857142857</v>
      </c>
    </row>
    <row r="2242" spans="1:26" hidden="1">
      <c r="A2242" t="s">
        <v>706</v>
      </c>
      <c r="B2242" s="6">
        <v>44287</v>
      </c>
      <c r="C2242" s="6">
        <v>44651</v>
      </c>
      <c r="D2242">
        <v>20210401</v>
      </c>
      <c r="E2242">
        <v>20220331</v>
      </c>
      <c r="F2242" t="s">
        <v>5261</v>
      </c>
      <c r="G2242" t="s">
        <v>5262</v>
      </c>
      <c r="H2242" t="s">
        <v>590</v>
      </c>
      <c r="I2242" t="s">
        <v>1462</v>
      </c>
      <c r="L2242">
        <v>25</v>
      </c>
      <c r="M2242">
        <v>18735</v>
      </c>
      <c r="N2242">
        <v>-25</v>
      </c>
      <c r="O2242">
        <v>-18735</v>
      </c>
      <c r="Z2242" s="3">
        <f t="shared" si="34"/>
        <v>749.4</v>
      </c>
    </row>
    <row r="2243" spans="1:26" hidden="1">
      <c r="A2243" t="s">
        <v>706</v>
      </c>
      <c r="B2243" s="6">
        <v>44287</v>
      </c>
      <c r="C2243" s="6">
        <v>44651</v>
      </c>
      <c r="D2243">
        <v>20210401</v>
      </c>
      <c r="E2243">
        <v>20220331</v>
      </c>
      <c r="F2243" t="s">
        <v>5263</v>
      </c>
      <c r="G2243" t="s">
        <v>5264</v>
      </c>
      <c r="H2243" t="s">
        <v>590</v>
      </c>
      <c r="I2243" t="s">
        <v>1462</v>
      </c>
      <c r="L2243">
        <v>1</v>
      </c>
      <c r="M2243">
        <v>19425</v>
      </c>
      <c r="N2243">
        <v>-1</v>
      </c>
      <c r="O2243">
        <v>-19425</v>
      </c>
      <c r="Z2243" s="3">
        <f t="shared" ref="Z2243:Z2306" si="35">IFERROR((O2243+Q2243)/(N2243+P2243),Y2243/X2243)</f>
        <v>19425</v>
      </c>
    </row>
    <row r="2244" spans="1:26" hidden="1">
      <c r="A2244" t="s">
        <v>706</v>
      </c>
      <c r="B2244" s="6">
        <v>44287</v>
      </c>
      <c r="C2244" s="6">
        <v>44651</v>
      </c>
      <c r="D2244">
        <v>20210401</v>
      </c>
      <c r="E2244">
        <v>20220331</v>
      </c>
      <c r="F2244" t="s">
        <v>5265</v>
      </c>
      <c r="G2244" t="s">
        <v>5266</v>
      </c>
      <c r="H2244" t="s">
        <v>1973</v>
      </c>
      <c r="I2244" t="s">
        <v>1462</v>
      </c>
      <c r="L2244">
        <v>3</v>
      </c>
      <c r="M2244">
        <v>4950</v>
      </c>
      <c r="N2244">
        <v>-3</v>
      </c>
      <c r="O2244">
        <v>-4950</v>
      </c>
      <c r="Z2244" s="3">
        <f t="shared" si="35"/>
        <v>1650</v>
      </c>
    </row>
    <row r="2245" spans="1:26" hidden="1">
      <c r="A2245" t="s">
        <v>706</v>
      </c>
      <c r="B2245" s="6">
        <v>44287</v>
      </c>
      <c r="C2245" s="6">
        <v>44651</v>
      </c>
      <c r="D2245">
        <v>20210401</v>
      </c>
      <c r="E2245">
        <v>20220331</v>
      </c>
      <c r="F2245" t="s">
        <v>5267</v>
      </c>
      <c r="G2245" t="s">
        <v>5268</v>
      </c>
      <c r="H2245" t="s">
        <v>590</v>
      </c>
      <c r="I2245" t="s">
        <v>1462</v>
      </c>
      <c r="L2245">
        <v>1</v>
      </c>
      <c r="M2245">
        <v>97125</v>
      </c>
      <c r="N2245">
        <v>-1</v>
      </c>
      <c r="O2245">
        <v>-97125</v>
      </c>
      <c r="Z2245" s="3">
        <f t="shared" si="35"/>
        <v>97125</v>
      </c>
    </row>
    <row r="2246" spans="1:26" hidden="1">
      <c r="A2246" t="s">
        <v>706</v>
      </c>
      <c r="B2246" s="6">
        <v>44287</v>
      </c>
      <c r="C2246" s="6">
        <v>44651</v>
      </c>
      <c r="D2246">
        <v>20210401</v>
      </c>
      <c r="E2246">
        <v>20220331</v>
      </c>
      <c r="F2246" t="s">
        <v>5269</v>
      </c>
      <c r="G2246" t="s">
        <v>5270</v>
      </c>
      <c r="H2246" t="s">
        <v>590</v>
      </c>
      <c r="I2246" t="s">
        <v>1462</v>
      </c>
      <c r="N2246">
        <v>-1</v>
      </c>
      <c r="O2246">
        <v>-676.64</v>
      </c>
      <c r="P2246">
        <v>1</v>
      </c>
      <c r="Q2246">
        <v>676.64</v>
      </c>
      <c r="Z2246" s="3" t="e">
        <f t="shared" si="35"/>
        <v>#DIV/0!</v>
      </c>
    </row>
    <row r="2247" spans="1:26" hidden="1">
      <c r="A2247" t="s">
        <v>706</v>
      </c>
      <c r="B2247" s="6">
        <v>44287</v>
      </c>
      <c r="C2247" s="6">
        <v>44651</v>
      </c>
      <c r="D2247">
        <v>20210401</v>
      </c>
      <c r="E2247">
        <v>20220331</v>
      </c>
      <c r="F2247" t="s">
        <v>5271</v>
      </c>
      <c r="G2247" t="s">
        <v>5272</v>
      </c>
      <c r="H2247" t="s">
        <v>590</v>
      </c>
      <c r="I2247" t="s">
        <v>1462</v>
      </c>
      <c r="L2247">
        <v>10</v>
      </c>
      <c r="M2247">
        <v>3240</v>
      </c>
      <c r="N2247">
        <v>-10</v>
      </c>
      <c r="O2247">
        <v>-3240</v>
      </c>
      <c r="Z2247" s="3">
        <f t="shared" si="35"/>
        <v>324</v>
      </c>
    </row>
    <row r="2248" spans="1:26" hidden="1">
      <c r="A2248" t="s">
        <v>706</v>
      </c>
      <c r="B2248" s="6">
        <v>44287</v>
      </c>
      <c r="C2248" s="6">
        <v>44651</v>
      </c>
      <c r="D2248">
        <v>20210401</v>
      </c>
      <c r="E2248">
        <v>20220331</v>
      </c>
      <c r="F2248" t="s">
        <v>5273</v>
      </c>
      <c r="G2248" t="s">
        <v>5274</v>
      </c>
      <c r="H2248" t="s">
        <v>590</v>
      </c>
      <c r="I2248" t="s">
        <v>1462</v>
      </c>
      <c r="L2248">
        <v>8</v>
      </c>
      <c r="M2248">
        <v>2560</v>
      </c>
      <c r="N2248">
        <v>-8</v>
      </c>
      <c r="O2248">
        <v>-2560</v>
      </c>
      <c r="Z2248" s="3">
        <f t="shared" si="35"/>
        <v>320</v>
      </c>
    </row>
    <row r="2249" spans="1:26" hidden="1">
      <c r="A2249" t="s">
        <v>706</v>
      </c>
      <c r="B2249" s="6">
        <v>44287</v>
      </c>
      <c r="C2249" s="6">
        <v>44651</v>
      </c>
      <c r="D2249">
        <v>20210401</v>
      </c>
      <c r="E2249">
        <v>20220331</v>
      </c>
      <c r="F2249" t="s">
        <v>5275</v>
      </c>
      <c r="G2249" t="s">
        <v>5276</v>
      </c>
      <c r="H2249" t="s">
        <v>590</v>
      </c>
      <c r="I2249" t="s">
        <v>1462</v>
      </c>
      <c r="L2249">
        <v>13</v>
      </c>
      <c r="M2249">
        <v>10414</v>
      </c>
      <c r="N2249">
        <v>-13</v>
      </c>
      <c r="O2249">
        <v>-10414</v>
      </c>
      <c r="Z2249" s="3">
        <f t="shared" si="35"/>
        <v>801.07692307692309</v>
      </c>
    </row>
    <row r="2250" spans="1:26" hidden="1">
      <c r="A2250" t="s">
        <v>706</v>
      </c>
      <c r="B2250" s="6">
        <v>44287</v>
      </c>
      <c r="C2250" s="6">
        <v>44651</v>
      </c>
      <c r="D2250">
        <v>20210401</v>
      </c>
      <c r="E2250">
        <v>20220331</v>
      </c>
      <c r="F2250" t="s">
        <v>5277</v>
      </c>
      <c r="G2250" t="s">
        <v>5278</v>
      </c>
      <c r="H2250" t="s">
        <v>590</v>
      </c>
      <c r="I2250" t="s">
        <v>1462</v>
      </c>
      <c r="N2250">
        <v>-3</v>
      </c>
      <c r="O2250">
        <v>-4191</v>
      </c>
      <c r="P2250">
        <v>3</v>
      </c>
      <c r="Q2250">
        <v>4191</v>
      </c>
      <c r="Z2250" s="3" t="e">
        <f t="shared" si="35"/>
        <v>#DIV/0!</v>
      </c>
    </row>
    <row r="2251" spans="1:26" hidden="1">
      <c r="A2251" t="s">
        <v>706</v>
      </c>
      <c r="B2251" s="6">
        <v>44287</v>
      </c>
      <c r="C2251" s="6">
        <v>44651</v>
      </c>
      <c r="D2251">
        <v>20210401</v>
      </c>
      <c r="E2251">
        <v>20220331</v>
      </c>
      <c r="F2251" t="s">
        <v>5279</v>
      </c>
      <c r="G2251" t="s">
        <v>5280</v>
      </c>
      <c r="H2251" t="s">
        <v>590</v>
      </c>
      <c r="I2251" t="s">
        <v>1462</v>
      </c>
      <c r="L2251">
        <v>55</v>
      </c>
      <c r="M2251">
        <v>77105</v>
      </c>
      <c r="N2251">
        <v>-55</v>
      </c>
      <c r="O2251">
        <v>-77105</v>
      </c>
      <c r="Z2251" s="3">
        <f t="shared" si="35"/>
        <v>1401.909090909091</v>
      </c>
    </row>
    <row r="2252" spans="1:26" hidden="1">
      <c r="A2252" t="s">
        <v>706</v>
      </c>
      <c r="B2252" s="6">
        <v>44287</v>
      </c>
      <c r="C2252" s="6">
        <v>44651</v>
      </c>
      <c r="D2252">
        <v>20210401</v>
      </c>
      <c r="E2252">
        <v>20220331</v>
      </c>
      <c r="F2252" t="s">
        <v>5281</v>
      </c>
      <c r="G2252" t="s">
        <v>5282</v>
      </c>
      <c r="H2252" t="s">
        <v>590</v>
      </c>
      <c r="I2252" t="s">
        <v>1462</v>
      </c>
      <c r="L2252">
        <v>1</v>
      </c>
      <c r="M2252">
        <v>31875</v>
      </c>
      <c r="N2252">
        <v>-1</v>
      </c>
      <c r="O2252">
        <v>-31875</v>
      </c>
      <c r="Z2252" s="3">
        <f t="shared" si="35"/>
        <v>31875</v>
      </c>
    </row>
    <row r="2253" spans="1:26" hidden="1">
      <c r="A2253" t="s">
        <v>706</v>
      </c>
      <c r="B2253" s="6">
        <v>44287</v>
      </c>
      <c r="C2253" s="6">
        <v>44651</v>
      </c>
      <c r="D2253">
        <v>20210401</v>
      </c>
      <c r="E2253">
        <v>20220331</v>
      </c>
      <c r="F2253" t="s">
        <v>5283</v>
      </c>
      <c r="G2253" t="s">
        <v>5284</v>
      </c>
      <c r="H2253" t="s">
        <v>590</v>
      </c>
      <c r="I2253" t="s">
        <v>1462</v>
      </c>
      <c r="L2253">
        <v>2</v>
      </c>
      <c r="M2253">
        <v>6750</v>
      </c>
      <c r="N2253">
        <v>-2</v>
      </c>
      <c r="O2253">
        <v>-6750</v>
      </c>
      <c r="Z2253" s="3">
        <f t="shared" si="35"/>
        <v>3375</v>
      </c>
    </row>
    <row r="2254" spans="1:26" hidden="1">
      <c r="A2254" t="s">
        <v>706</v>
      </c>
      <c r="B2254" s="6">
        <v>44287</v>
      </c>
      <c r="C2254" s="6">
        <v>44651</v>
      </c>
      <c r="D2254">
        <v>20210401</v>
      </c>
      <c r="E2254">
        <v>20220331</v>
      </c>
      <c r="F2254" t="s">
        <v>5285</v>
      </c>
      <c r="G2254" t="s">
        <v>5286</v>
      </c>
      <c r="H2254" t="s">
        <v>590</v>
      </c>
      <c r="I2254" t="s">
        <v>1462</v>
      </c>
      <c r="L2254">
        <v>3</v>
      </c>
      <c r="M2254">
        <v>11496</v>
      </c>
      <c r="N2254">
        <v>-1</v>
      </c>
      <c r="O2254">
        <v>-3832</v>
      </c>
      <c r="X2254">
        <v>2</v>
      </c>
      <c r="Y2254">
        <v>7664</v>
      </c>
      <c r="Z2254" s="3">
        <f t="shared" si="35"/>
        <v>3832</v>
      </c>
    </row>
    <row r="2255" spans="1:26" hidden="1">
      <c r="A2255" t="s">
        <v>706</v>
      </c>
      <c r="B2255" s="6">
        <v>44287</v>
      </c>
      <c r="C2255" s="6">
        <v>44651</v>
      </c>
      <c r="D2255">
        <v>20210401</v>
      </c>
      <c r="E2255">
        <v>20220331</v>
      </c>
      <c r="F2255" t="s">
        <v>5287</v>
      </c>
      <c r="G2255" t="s">
        <v>5288</v>
      </c>
      <c r="H2255" t="s">
        <v>590</v>
      </c>
      <c r="I2255" t="s">
        <v>1462</v>
      </c>
      <c r="L2255">
        <v>2</v>
      </c>
      <c r="M2255">
        <v>4504</v>
      </c>
      <c r="N2255">
        <v>-1</v>
      </c>
      <c r="O2255">
        <v>-2252</v>
      </c>
      <c r="X2255">
        <v>1</v>
      </c>
      <c r="Y2255">
        <v>2252</v>
      </c>
      <c r="Z2255" s="3">
        <f t="shared" si="35"/>
        <v>2252</v>
      </c>
    </row>
    <row r="2256" spans="1:26" hidden="1">
      <c r="A2256" t="s">
        <v>706</v>
      </c>
      <c r="B2256" s="6">
        <v>44287</v>
      </c>
      <c r="C2256" s="6">
        <v>44651</v>
      </c>
      <c r="D2256">
        <v>20210401</v>
      </c>
      <c r="E2256">
        <v>20220331</v>
      </c>
      <c r="F2256" t="s">
        <v>5289</v>
      </c>
      <c r="G2256" t="s">
        <v>5290</v>
      </c>
      <c r="H2256" t="s">
        <v>590</v>
      </c>
      <c r="I2256" t="s">
        <v>1462</v>
      </c>
      <c r="L2256">
        <v>2</v>
      </c>
      <c r="M2256">
        <v>4402</v>
      </c>
      <c r="N2256">
        <v>-1</v>
      </c>
      <c r="O2256">
        <v>-2201</v>
      </c>
      <c r="X2256">
        <v>1</v>
      </c>
      <c r="Y2256">
        <v>2201</v>
      </c>
      <c r="Z2256" s="3">
        <f t="shared" si="35"/>
        <v>2201</v>
      </c>
    </row>
    <row r="2257" spans="1:26" hidden="1">
      <c r="A2257" t="s">
        <v>706</v>
      </c>
      <c r="B2257" s="6">
        <v>44287</v>
      </c>
      <c r="C2257" s="6">
        <v>44651</v>
      </c>
      <c r="D2257">
        <v>20210401</v>
      </c>
      <c r="E2257">
        <v>20220331</v>
      </c>
      <c r="F2257" t="s">
        <v>5291</v>
      </c>
      <c r="G2257" t="s">
        <v>5292</v>
      </c>
      <c r="H2257" t="s">
        <v>590</v>
      </c>
      <c r="I2257" t="s">
        <v>1462</v>
      </c>
      <c r="L2257">
        <v>4</v>
      </c>
      <c r="M2257">
        <v>9464</v>
      </c>
      <c r="N2257">
        <v>-2</v>
      </c>
      <c r="O2257">
        <v>-4732</v>
      </c>
      <c r="X2257">
        <v>2</v>
      </c>
      <c r="Y2257">
        <v>4732</v>
      </c>
      <c r="Z2257" s="3">
        <f t="shared" si="35"/>
        <v>2366</v>
      </c>
    </row>
    <row r="2258" spans="1:26" hidden="1">
      <c r="A2258" t="s">
        <v>706</v>
      </c>
      <c r="B2258" s="6">
        <v>44287</v>
      </c>
      <c r="C2258" s="6">
        <v>44651</v>
      </c>
      <c r="D2258">
        <v>20210401</v>
      </c>
      <c r="E2258">
        <v>20220331</v>
      </c>
      <c r="F2258" t="s">
        <v>5293</v>
      </c>
      <c r="G2258" t="s">
        <v>5294</v>
      </c>
      <c r="H2258" t="s">
        <v>590</v>
      </c>
      <c r="I2258" t="s">
        <v>1462</v>
      </c>
      <c r="L2258">
        <v>2</v>
      </c>
      <c r="M2258">
        <v>6076</v>
      </c>
      <c r="N2258">
        <v>-1</v>
      </c>
      <c r="O2258">
        <v>-3038</v>
      </c>
      <c r="X2258">
        <v>1</v>
      </c>
      <c r="Y2258">
        <v>3038</v>
      </c>
      <c r="Z2258" s="3">
        <f t="shared" si="35"/>
        <v>3038</v>
      </c>
    </row>
    <row r="2259" spans="1:26" hidden="1">
      <c r="A2259" t="s">
        <v>706</v>
      </c>
      <c r="B2259" s="6">
        <v>44287</v>
      </c>
      <c r="C2259" s="6">
        <v>44651</v>
      </c>
      <c r="D2259">
        <v>20210401</v>
      </c>
      <c r="E2259">
        <v>20220331</v>
      </c>
      <c r="F2259" t="s">
        <v>5295</v>
      </c>
      <c r="G2259" t="s">
        <v>5296</v>
      </c>
      <c r="H2259" t="s">
        <v>590</v>
      </c>
      <c r="I2259" t="s">
        <v>1462</v>
      </c>
      <c r="L2259">
        <v>4</v>
      </c>
      <c r="M2259">
        <v>3800</v>
      </c>
      <c r="N2259">
        <v>-4</v>
      </c>
      <c r="O2259">
        <v>-3800</v>
      </c>
      <c r="Z2259" s="3">
        <f t="shared" si="35"/>
        <v>950</v>
      </c>
    </row>
    <row r="2260" spans="1:26" hidden="1">
      <c r="A2260" t="s">
        <v>706</v>
      </c>
      <c r="B2260" s="6">
        <v>44287</v>
      </c>
      <c r="C2260" s="6">
        <v>44651</v>
      </c>
      <c r="D2260">
        <v>20210401</v>
      </c>
      <c r="E2260">
        <v>20220331</v>
      </c>
      <c r="F2260" t="s">
        <v>5297</v>
      </c>
      <c r="G2260" t="s">
        <v>5298</v>
      </c>
      <c r="H2260" t="s">
        <v>590</v>
      </c>
      <c r="I2260" t="s">
        <v>1462</v>
      </c>
      <c r="L2260">
        <v>4</v>
      </c>
      <c r="M2260">
        <v>316</v>
      </c>
      <c r="N2260">
        <v>-4</v>
      </c>
      <c r="O2260">
        <v>-316</v>
      </c>
      <c r="Z2260" s="3">
        <f t="shared" si="35"/>
        <v>79</v>
      </c>
    </row>
    <row r="2261" spans="1:26" hidden="1">
      <c r="A2261" t="s">
        <v>706</v>
      </c>
      <c r="B2261" s="6">
        <v>44287</v>
      </c>
      <c r="C2261" s="6">
        <v>44651</v>
      </c>
      <c r="D2261">
        <v>20210401</v>
      </c>
      <c r="E2261">
        <v>20220331</v>
      </c>
      <c r="F2261" t="s">
        <v>5299</v>
      </c>
      <c r="G2261" t="s">
        <v>5300</v>
      </c>
      <c r="H2261" t="s">
        <v>590</v>
      </c>
      <c r="I2261" t="s">
        <v>1462</v>
      </c>
      <c r="L2261">
        <v>4</v>
      </c>
      <c r="M2261">
        <v>105.08</v>
      </c>
      <c r="N2261">
        <v>-4</v>
      </c>
      <c r="O2261">
        <v>-105.08</v>
      </c>
      <c r="Z2261" s="3">
        <f t="shared" si="35"/>
        <v>26.27</v>
      </c>
    </row>
    <row r="2262" spans="1:26" hidden="1">
      <c r="A2262" t="s">
        <v>706</v>
      </c>
      <c r="B2262" s="6">
        <v>44287</v>
      </c>
      <c r="C2262" s="6">
        <v>44651</v>
      </c>
      <c r="D2262">
        <v>20210401</v>
      </c>
      <c r="E2262">
        <v>20220331</v>
      </c>
      <c r="F2262" t="s">
        <v>5301</v>
      </c>
      <c r="G2262" t="s">
        <v>5302</v>
      </c>
      <c r="H2262" t="s">
        <v>590</v>
      </c>
      <c r="I2262" t="s">
        <v>1462</v>
      </c>
      <c r="L2262">
        <v>5</v>
      </c>
      <c r="M2262">
        <v>4250</v>
      </c>
      <c r="N2262">
        <v>-5</v>
      </c>
      <c r="O2262">
        <v>-4250</v>
      </c>
      <c r="Z2262" s="3">
        <f t="shared" si="35"/>
        <v>850</v>
      </c>
    </row>
    <row r="2263" spans="1:26" hidden="1">
      <c r="A2263" t="s">
        <v>706</v>
      </c>
      <c r="B2263" s="6">
        <v>44287</v>
      </c>
      <c r="C2263" s="6">
        <v>44651</v>
      </c>
      <c r="D2263">
        <v>20210401</v>
      </c>
      <c r="E2263">
        <v>20220331</v>
      </c>
      <c r="F2263" t="s">
        <v>5303</v>
      </c>
      <c r="G2263" t="s">
        <v>5304</v>
      </c>
      <c r="H2263" t="s">
        <v>590</v>
      </c>
      <c r="I2263" t="s">
        <v>1462</v>
      </c>
      <c r="L2263">
        <v>4</v>
      </c>
      <c r="M2263">
        <v>4580</v>
      </c>
      <c r="N2263">
        <v>-4</v>
      </c>
      <c r="O2263">
        <v>-4580</v>
      </c>
      <c r="Z2263" s="3">
        <f t="shared" si="35"/>
        <v>1145</v>
      </c>
    </row>
    <row r="2264" spans="1:26" hidden="1">
      <c r="A2264" t="s">
        <v>706</v>
      </c>
      <c r="B2264" s="6">
        <v>44287</v>
      </c>
      <c r="C2264" s="6">
        <v>44651</v>
      </c>
      <c r="D2264">
        <v>20210401</v>
      </c>
      <c r="E2264">
        <v>20220331</v>
      </c>
      <c r="F2264" t="s">
        <v>5305</v>
      </c>
      <c r="G2264" t="s">
        <v>5306</v>
      </c>
      <c r="H2264" t="s">
        <v>590</v>
      </c>
      <c r="I2264" t="s">
        <v>1462</v>
      </c>
      <c r="L2264">
        <v>2</v>
      </c>
      <c r="M2264">
        <v>8261.9</v>
      </c>
      <c r="N2264">
        <v>-1</v>
      </c>
      <c r="O2264">
        <v>-5516</v>
      </c>
      <c r="X2264">
        <v>1</v>
      </c>
      <c r="Y2264">
        <v>2745.9</v>
      </c>
      <c r="Z2264" s="3">
        <f t="shared" si="35"/>
        <v>5516</v>
      </c>
    </row>
    <row r="2265" spans="1:26" hidden="1">
      <c r="A2265" t="s">
        <v>706</v>
      </c>
      <c r="B2265" s="6">
        <v>44287</v>
      </c>
      <c r="C2265" s="6">
        <v>44651</v>
      </c>
      <c r="D2265">
        <v>20210401</v>
      </c>
      <c r="E2265">
        <v>20220331</v>
      </c>
      <c r="F2265" t="s">
        <v>5307</v>
      </c>
      <c r="G2265" t="s">
        <v>5308</v>
      </c>
      <c r="H2265" t="s">
        <v>590</v>
      </c>
      <c r="I2265" t="s">
        <v>1462</v>
      </c>
      <c r="L2265">
        <v>2</v>
      </c>
      <c r="M2265">
        <v>6770.8</v>
      </c>
      <c r="N2265">
        <v>-1</v>
      </c>
      <c r="O2265">
        <v>-4465</v>
      </c>
      <c r="X2265">
        <v>1</v>
      </c>
      <c r="Y2265">
        <v>2305.8000000000002</v>
      </c>
      <c r="Z2265" s="3">
        <f t="shared" si="35"/>
        <v>4465</v>
      </c>
    </row>
    <row r="2266" spans="1:26" hidden="1">
      <c r="A2266" t="s">
        <v>706</v>
      </c>
      <c r="B2266" s="6">
        <v>44287</v>
      </c>
      <c r="C2266" s="6">
        <v>44651</v>
      </c>
      <c r="D2266">
        <v>20210401</v>
      </c>
      <c r="E2266">
        <v>20220331</v>
      </c>
      <c r="F2266" t="s">
        <v>5309</v>
      </c>
      <c r="G2266" t="s">
        <v>5310</v>
      </c>
      <c r="H2266" t="s">
        <v>590</v>
      </c>
      <c r="I2266" t="s">
        <v>1462</v>
      </c>
      <c r="L2266">
        <v>1</v>
      </c>
      <c r="M2266">
        <v>3152</v>
      </c>
      <c r="N2266">
        <v>-1</v>
      </c>
      <c r="O2266">
        <v>-3152</v>
      </c>
      <c r="Z2266" s="3">
        <f t="shared" si="35"/>
        <v>3152</v>
      </c>
    </row>
    <row r="2267" spans="1:26" hidden="1">
      <c r="A2267" t="s">
        <v>706</v>
      </c>
      <c r="B2267" s="6">
        <v>44287</v>
      </c>
      <c r="C2267" s="6">
        <v>44651</v>
      </c>
      <c r="D2267">
        <v>20210401</v>
      </c>
      <c r="E2267">
        <v>20220331</v>
      </c>
      <c r="F2267" t="s">
        <v>5311</v>
      </c>
      <c r="G2267" t="s">
        <v>5312</v>
      </c>
      <c r="H2267" t="s">
        <v>590</v>
      </c>
      <c r="I2267" t="s">
        <v>1462</v>
      </c>
      <c r="L2267">
        <v>6</v>
      </c>
      <c r="M2267">
        <v>6726</v>
      </c>
      <c r="N2267">
        <v>-6</v>
      </c>
      <c r="O2267">
        <v>-6726</v>
      </c>
      <c r="Z2267" s="3">
        <f t="shared" si="35"/>
        <v>1121</v>
      </c>
    </row>
    <row r="2268" spans="1:26" hidden="1">
      <c r="A2268" t="s">
        <v>706</v>
      </c>
      <c r="B2268" s="6">
        <v>44287</v>
      </c>
      <c r="C2268" s="6">
        <v>44651</v>
      </c>
      <c r="D2268">
        <v>20210401</v>
      </c>
      <c r="E2268">
        <v>20220331</v>
      </c>
      <c r="F2268" t="s">
        <v>5313</v>
      </c>
      <c r="G2268" t="s">
        <v>5314</v>
      </c>
      <c r="H2268" t="s">
        <v>590</v>
      </c>
      <c r="I2268" t="s">
        <v>1462</v>
      </c>
      <c r="L2268">
        <v>6</v>
      </c>
      <c r="M2268">
        <v>1326</v>
      </c>
      <c r="N2268">
        <v>-6</v>
      </c>
      <c r="O2268">
        <v>-1326</v>
      </c>
      <c r="Z2268" s="3">
        <f t="shared" si="35"/>
        <v>221</v>
      </c>
    </row>
    <row r="2269" spans="1:26" hidden="1">
      <c r="A2269" t="s">
        <v>706</v>
      </c>
      <c r="B2269" s="6">
        <v>44287</v>
      </c>
      <c r="C2269" s="6">
        <v>44651</v>
      </c>
      <c r="D2269">
        <v>20210401</v>
      </c>
      <c r="E2269">
        <v>20220331</v>
      </c>
      <c r="F2269" t="s">
        <v>5315</v>
      </c>
      <c r="G2269" t="s">
        <v>5316</v>
      </c>
      <c r="H2269" t="s">
        <v>590</v>
      </c>
      <c r="I2269" t="s">
        <v>1462</v>
      </c>
      <c r="L2269">
        <v>1</v>
      </c>
      <c r="M2269">
        <v>89625</v>
      </c>
      <c r="N2269">
        <v>-1</v>
      </c>
      <c r="O2269">
        <v>-89625</v>
      </c>
      <c r="Z2269" s="3">
        <f t="shared" si="35"/>
        <v>89625</v>
      </c>
    </row>
    <row r="2270" spans="1:26" hidden="1">
      <c r="A2270" t="s">
        <v>706</v>
      </c>
      <c r="B2270" s="6">
        <v>44287</v>
      </c>
      <c r="C2270" s="6">
        <v>44651</v>
      </c>
      <c r="D2270">
        <v>20210401</v>
      </c>
      <c r="E2270">
        <v>20220331</v>
      </c>
      <c r="F2270" t="s">
        <v>5317</v>
      </c>
      <c r="G2270" t="s">
        <v>5318</v>
      </c>
      <c r="H2270" t="s">
        <v>590</v>
      </c>
      <c r="I2270" t="s">
        <v>1462</v>
      </c>
      <c r="L2270">
        <v>1</v>
      </c>
      <c r="M2270">
        <v>30000</v>
      </c>
      <c r="N2270">
        <v>-1</v>
      </c>
      <c r="O2270">
        <v>-30000</v>
      </c>
      <c r="Z2270" s="3">
        <f t="shared" si="35"/>
        <v>30000</v>
      </c>
    </row>
    <row r="2271" spans="1:26" hidden="1">
      <c r="A2271" t="s">
        <v>706</v>
      </c>
      <c r="B2271" s="6">
        <v>44287</v>
      </c>
      <c r="C2271" s="6">
        <v>44651</v>
      </c>
      <c r="D2271">
        <v>20210401</v>
      </c>
      <c r="E2271">
        <v>20220331</v>
      </c>
      <c r="F2271" t="s">
        <v>5319</v>
      </c>
      <c r="G2271" t="s">
        <v>5320</v>
      </c>
      <c r="H2271" t="s">
        <v>590</v>
      </c>
      <c r="I2271" t="s">
        <v>1462</v>
      </c>
      <c r="L2271">
        <v>1</v>
      </c>
      <c r="M2271">
        <v>26765</v>
      </c>
      <c r="N2271">
        <v>-1</v>
      </c>
      <c r="O2271">
        <v>-26765</v>
      </c>
      <c r="Z2271" s="3">
        <f t="shared" si="35"/>
        <v>26765</v>
      </c>
    </row>
    <row r="2272" spans="1:26" hidden="1">
      <c r="A2272" t="s">
        <v>706</v>
      </c>
      <c r="B2272" s="6">
        <v>44287</v>
      </c>
      <c r="C2272" s="6">
        <v>44651</v>
      </c>
      <c r="D2272">
        <v>20210401</v>
      </c>
      <c r="E2272">
        <v>20220331</v>
      </c>
      <c r="F2272" t="s">
        <v>5321</v>
      </c>
      <c r="G2272" t="s">
        <v>5322</v>
      </c>
      <c r="H2272" t="s">
        <v>590</v>
      </c>
      <c r="I2272" t="s">
        <v>1462</v>
      </c>
      <c r="L2272">
        <v>1</v>
      </c>
      <c r="M2272">
        <v>119625</v>
      </c>
      <c r="N2272">
        <v>-1</v>
      </c>
      <c r="O2272">
        <v>-119625</v>
      </c>
      <c r="Z2272" s="3">
        <f t="shared" si="35"/>
        <v>119625</v>
      </c>
    </row>
    <row r="2273" spans="1:26" hidden="1">
      <c r="A2273" t="s">
        <v>706</v>
      </c>
      <c r="B2273" s="6">
        <v>44287</v>
      </c>
      <c r="C2273" s="6">
        <v>44651</v>
      </c>
      <c r="D2273">
        <v>20210401</v>
      </c>
      <c r="E2273">
        <v>20220331</v>
      </c>
      <c r="F2273" t="s">
        <v>5323</v>
      </c>
      <c r="G2273" t="s">
        <v>5324</v>
      </c>
      <c r="H2273" t="s">
        <v>590</v>
      </c>
      <c r="I2273" t="s">
        <v>1462</v>
      </c>
      <c r="L2273">
        <v>15</v>
      </c>
      <c r="M2273">
        <v>5355</v>
      </c>
      <c r="N2273">
        <v>-15</v>
      </c>
      <c r="O2273">
        <v>-5355</v>
      </c>
      <c r="Z2273" s="3">
        <f t="shared" si="35"/>
        <v>357</v>
      </c>
    </row>
    <row r="2274" spans="1:26" hidden="1">
      <c r="A2274" t="s">
        <v>706</v>
      </c>
      <c r="B2274" s="6">
        <v>44287</v>
      </c>
      <c r="C2274" s="6">
        <v>44651</v>
      </c>
      <c r="D2274">
        <v>20210401</v>
      </c>
      <c r="E2274">
        <v>20220331</v>
      </c>
      <c r="F2274" t="s">
        <v>5325</v>
      </c>
      <c r="G2274" t="s">
        <v>5326</v>
      </c>
      <c r="H2274" t="s">
        <v>590</v>
      </c>
      <c r="I2274" t="s">
        <v>1462</v>
      </c>
      <c r="L2274">
        <v>15</v>
      </c>
      <c r="M2274">
        <v>5355</v>
      </c>
      <c r="N2274">
        <v>-15</v>
      </c>
      <c r="O2274">
        <v>-5355</v>
      </c>
      <c r="Z2274" s="3">
        <f t="shared" si="35"/>
        <v>357</v>
      </c>
    </row>
    <row r="2275" spans="1:26" hidden="1">
      <c r="A2275" t="s">
        <v>706</v>
      </c>
      <c r="B2275" s="6">
        <v>44287</v>
      </c>
      <c r="C2275" s="6">
        <v>44651</v>
      </c>
      <c r="D2275">
        <v>20210401</v>
      </c>
      <c r="E2275">
        <v>20220331</v>
      </c>
      <c r="F2275" t="s">
        <v>5327</v>
      </c>
      <c r="G2275" t="s">
        <v>5328</v>
      </c>
      <c r="H2275" t="s">
        <v>590</v>
      </c>
      <c r="I2275" t="s">
        <v>1462</v>
      </c>
      <c r="L2275">
        <v>12</v>
      </c>
      <c r="M2275">
        <v>19792</v>
      </c>
      <c r="N2275">
        <v>-4</v>
      </c>
      <c r="O2275">
        <v>-9152</v>
      </c>
      <c r="X2275">
        <v>8</v>
      </c>
      <c r="Y2275">
        <v>10640</v>
      </c>
      <c r="Z2275" s="3">
        <f t="shared" si="35"/>
        <v>2288</v>
      </c>
    </row>
    <row r="2276" spans="1:26" hidden="1">
      <c r="A2276" t="s">
        <v>706</v>
      </c>
      <c r="B2276" s="6">
        <v>44287</v>
      </c>
      <c r="C2276" s="6">
        <v>44651</v>
      </c>
      <c r="D2276">
        <v>20210401</v>
      </c>
      <c r="E2276">
        <v>20220331</v>
      </c>
      <c r="F2276" t="s">
        <v>5329</v>
      </c>
      <c r="G2276" t="s">
        <v>5330</v>
      </c>
      <c r="H2276" t="s">
        <v>590</v>
      </c>
      <c r="I2276" t="s">
        <v>1462</v>
      </c>
      <c r="L2276">
        <v>4</v>
      </c>
      <c r="M2276">
        <v>3360</v>
      </c>
      <c r="N2276">
        <v>-4</v>
      </c>
      <c r="O2276">
        <v>-3360</v>
      </c>
      <c r="Z2276" s="3">
        <f t="shared" si="35"/>
        <v>840</v>
      </c>
    </row>
    <row r="2277" spans="1:26" hidden="1">
      <c r="A2277" t="s">
        <v>706</v>
      </c>
      <c r="B2277" s="6">
        <v>44287</v>
      </c>
      <c r="C2277" s="6">
        <v>44651</v>
      </c>
      <c r="D2277">
        <v>20210401</v>
      </c>
      <c r="E2277">
        <v>20220331</v>
      </c>
      <c r="F2277" t="s">
        <v>5331</v>
      </c>
      <c r="G2277" t="s">
        <v>5332</v>
      </c>
      <c r="H2277" t="s">
        <v>590</v>
      </c>
      <c r="I2277" t="s">
        <v>1462</v>
      </c>
      <c r="L2277">
        <v>8</v>
      </c>
      <c r="M2277">
        <v>14472</v>
      </c>
      <c r="N2277">
        <v>-4</v>
      </c>
      <c r="O2277">
        <v>-9152</v>
      </c>
      <c r="X2277">
        <v>4</v>
      </c>
      <c r="Y2277">
        <v>5320</v>
      </c>
      <c r="Z2277" s="3">
        <f t="shared" si="35"/>
        <v>2288</v>
      </c>
    </row>
    <row r="2278" spans="1:26" hidden="1">
      <c r="A2278" t="s">
        <v>706</v>
      </c>
      <c r="B2278" s="6">
        <v>44287</v>
      </c>
      <c r="C2278" s="6">
        <v>44651</v>
      </c>
      <c r="D2278">
        <v>20210401</v>
      </c>
      <c r="E2278">
        <v>20220331</v>
      </c>
      <c r="F2278" t="s">
        <v>5333</v>
      </c>
      <c r="G2278" t="s">
        <v>5334</v>
      </c>
      <c r="H2278" t="s">
        <v>590</v>
      </c>
      <c r="I2278" t="s">
        <v>1462</v>
      </c>
      <c r="L2278">
        <v>6</v>
      </c>
      <c r="M2278">
        <v>3614</v>
      </c>
      <c r="N2278">
        <v>-6</v>
      </c>
      <c r="O2278">
        <v>-3614</v>
      </c>
      <c r="Z2278" s="3">
        <f t="shared" si="35"/>
        <v>602.33333333333337</v>
      </c>
    </row>
    <row r="2279" spans="1:26" hidden="1">
      <c r="A2279" t="s">
        <v>706</v>
      </c>
      <c r="B2279" s="6">
        <v>44287</v>
      </c>
      <c r="C2279" s="6">
        <v>44651</v>
      </c>
      <c r="D2279">
        <v>20210401</v>
      </c>
      <c r="E2279">
        <v>20220331</v>
      </c>
      <c r="F2279" t="s">
        <v>5335</v>
      </c>
      <c r="G2279" t="s">
        <v>5336</v>
      </c>
      <c r="H2279" t="s">
        <v>590</v>
      </c>
      <c r="I2279" t="s">
        <v>1462</v>
      </c>
      <c r="L2279">
        <v>1</v>
      </c>
      <c r="M2279">
        <v>4875</v>
      </c>
      <c r="N2279">
        <v>-1</v>
      </c>
      <c r="O2279">
        <v>-4875</v>
      </c>
      <c r="Z2279" s="3">
        <f t="shared" si="35"/>
        <v>4875</v>
      </c>
    </row>
    <row r="2280" spans="1:26" hidden="1">
      <c r="A2280" t="s">
        <v>706</v>
      </c>
      <c r="B2280" s="6">
        <v>44287</v>
      </c>
      <c r="C2280" s="6">
        <v>44651</v>
      </c>
      <c r="D2280">
        <v>20210401</v>
      </c>
      <c r="E2280">
        <v>20220331</v>
      </c>
      <c r="F2280" t="s">
        <v>5337</v>
      </c>
      <c r="G2280" t="s">
        <v>5338</v>
      </c>
      <c r="H2280" t="s">
        <v>590</v>
      </c>
      <c r="I2280" t="s">
        <v>1462</v>
      </c>
      <c r="L2280">
        <v>1</v>
      </c>
      <c r="M2280">
        <v>38006</v>
      </c>
      <c r="N2280">
        <v>-1</v>
      </c>
      <c r="O2280">
        <v>-38006</v>
      </c>
      <c r="Z2280" s="3">
        <f t="shared" si="35"/>
        <v>38006</v>
      </c>
    </row>
    <row r="2281" spans="1:26" hidden="1">
      <c r="A2281" t="s">
        <v>706</v>
      </c>
      <c r="B2281" s="6">
        <v>44287</v>
      </c>
      <c r="C2281" s="6">
        <v>44651</v>
      </c>
      <c r="D2281">
        <v>20210401</v>
      </c>
      <c r="E2281">
        <v>20220331</v>
      </c>
      <c r="F2281" t="s">
        <v>5339</v>
      </c>
      <c r="G2281" t="s">
        <v>5340</v>
      </c>
      <c r="H2281" t="s">
        <v>590</v>
      </c>
      <c r="I2281" t="s">
        <v>1462</v>
      </c>
      <c r="L2281">
        <v>2</v>
      </c>
      <c r="M2281">
        <v>2600</v>
      </c>
      <c r="N2281">
        <v>-2</v>
      </c>
      <c r="O2281">
        <v>-2600</v>
      </c>
      <c r="Z2281" s="3">
        <f t="shared" si="35"/>
        <v>1300</v>
      </c>
    </row>
    <row r="2282" spans="1:26" hidden="1">
      <c r="A2282" t="s">
        <v>706</v>
      </c>
      <c r="B2282" s="6">
        <v>44287</v>
      </c>
      <c r="C2282" s="6">
        <v>44651</v>
      </c>
      <c r="D2282">
        <v>20210401</v>
      </c>
      <c r="E2282">
        <v>20220331</v>
      </c>
      <c r="F2282" t="s">
        <v>5341</v>
      </c>
      <c r="G2282" t="s">
        <v>5342</v>
      </c>
      <c r="H2282" t="s">
        <v>590</v>
      </c>
      <c r="I2282" t="s">
        <v>1462</v>
      </c>
      <c r="L2282">
        <v>8</v>
      </c>
      <c r="M2282">
        <v>560</v>
      </c>
      <c r="N2282">
        <v>-8</v>
      </c>
      <c r="O2282">
        <v>-560</v>
      </c>
      <c r="Z2282" s="3">
        <f t="shared" si="35"/>
        <v>70</v>
      </c>
    </row>
    <row r="2283" spans="1:26" hidden="1">
      <c r="A2283" t="s">
        <v>706</v>
      </c>
      <c r="B2283" s="6">
        <v>44287</v>
      </c>
      <c r="C2283" s="6">
        <v>44651</v>
      </c>
      <c r="D2283">
        <v>20210401</v>
      </c>
      <c r="E2283">
        <v>20220331</v>
      </c>
      <c r="F2283" t="s">
        <v>5343</v>
      </c>
      <c r="G2283" t="s">
        <v>5344</v>
      </c>
      <c r="H2283" t="s">
        <v>590</v>
      </c>
      <c r="I2283" t="s">
        <v>1462</v>
      </c>
      <c r="L2283">
        <v>2</v>
      </c>
      <c r="M2283">
        <v>722</v>
      </c>
      <c r="N2283">
        <v>-2</v>
      </c>
      <c r="O2283">
        <v>-722</v>
      </c>
      <c r="Z2283" s="3">
        <f t="shared" si="35"/>
        <v>361</v>
      </c>
    </row>
    <row r="2284" spans="1:26" hidden="1">
      <c r="A2284" t="s">
        <v>706</v>
      </c>
      <c r="B2284" s="6">
        <v>44287</v>
      </c>
      <c r="C2284" s="6">
        <v>44651</v>
      </c>
      <c r="D2284">
        <v>20210401</v>
      </c>
      <c r="E2284">
        <v>20220331</v>
      </c>
      <c r="F2284" t="s">
        <v>5345</v>
      </c>
      <c r="G2284" t="s">
        <v>5346</v>
      </c>
      <c r="H2284" t="s">
        <v>590</v>
      </c>
      <c r="I2284" t="s">
        <v>1462</v>
      </c>
      <c r="L2284">
        <v>3</v>
      </c>
      <c r="M2284">
        <v>954</v>
      </c>
      <c r="X2284">
        <v>3</v>
      </c>
      <c r="Y2284">
        <v>954</v>
      </c>
      <c r="Z2284" s="3">
        <f t="shared" si="35"/>
        <v>318</v>
      </c>
    </row>
    <row r="2285" spans="1:26" hidden="1">
      <c r="A2285" t="s">
        <v>706</v>
      </c>
      <c r="B2285" s="6">
        <v>44287</v>
      </c>
      <c r="C2285" s="6">
        <v>44651</v>
      </c>
      <c r="D2285">
        <v>20210401</v>
      </c>
      <c r="E2285">
        <v>20220331</v>
      </c>
      <c r="F2285" t="s">
        <v>5347</v>
      </c>
      <c r="G2285" t="s">
        <v>5348</v>
      </c>
      <c r="H2285" t="s">
        <v>590</v>
      </c>
      <c r="I2285" t="s">
        <v>1462</v>
      </c>
      <c r="L2285">
        <v>3</v>
      </c>
      <c r="M2285">
        <v>1173</v>
      </c>
      <c r="N2285">
        <v>-3</v>
      </c>
      <c r="O2285">
        <v>-1173</v>
      </c>
      <c r="Z2285" s="3">
        <f t="shared" si="35"/>
        <v>391</v>
      </c>
    </row>
    <row r="2286" spans="1:26" hidden="1">
      <c r="A2286" t="s">
        <v>706</v>
      </c>
      <c r="B2286" s="6">
        <v>44287</v>
      </c>
      <c r="C2286" s="6">
        <v>44651</v>
      </c>
      <c r="D2286">
        <v>20210401</v>
      </c>
      <c r="E2286">
        <v>20220331</v>
      </c>
      <c r="F2286" t="s">
        <v>5349</v>
      </c>
      <c r="G2286" t="s">
        <v>5350</v>
      </c>
      <c r="H2286" t="s">
        <v>590</v>
      </c>
      <c r="I2286" t="s">
        <v>1462</v>
      </c>
      <c r="L2286">
        <v>1</v>
      </c>
      <c r="M2286">
        <v>1460</v>
      </c>
      <c r="N2286">
        <v>-1</v>
      </c>
      <c r="O2286">
        <v>-1460</v>
      </c>
      <c r="Z2286" s="3">
        <f t="shared" si="35"/>
        <v>1460</v>
      </c>
    </row>
    <row r="2287" spans="1:26" hidden="1">
      <c r="A2287" t="s">
        <v>706</v>
      </c>
      <c r="B2287" s="6">
        <v>44287</v>
      </c>
      <c r="C2287" s="6">
        <v>44651</v>
      </c>
      <c r="D2287">
        <v>20210401</v>
      </c>
      <c r="E2287">
        <v>20220331</v>
      </c>
      <c r="F2287" t="s">
        <v>5351</v>
      </c>
      <c r="G2287" t="s">
        <v>5352</v>
      </c>
      <c r="H2287" t="s">
        <v>590</v>
      </c>
      <c r="I2287" t="s">
        <v>1462</v>
      </c>
      <c r="L2287">
        <v>8</v>
      </c>
      <c r="M2287">
        <v>560</v>
      </c>
      <c r="N2287">
        <v>-8</v>
      </c>
      <c r="O2287">
        <v>-560</v>
      </c>
      <c r="Z2287" s="3">
        <f t="shared" si="35"/>
        <v>70</v>
      </c>
    </row>
    <row r="2288" spans="1:26" hidden="1">
      <c r="A2288" t="s">
        <v>706</v>
      </c>
      <c r="B2288" s="6">
        <v>44287</v>
      </c>
      <c r="C2288" s="6">
        <v>44651</v>
      </c>
      <c r="D2288">
        <v>20210401</v>
      </c>
      <c r="E2288">
        <v>20220331</v>
      </c>
      <c r="F2288" t="s">
        <v>5353</v>
      </c>
      <c r="G2288" t="s">
        <v>5354</v>
      </c>
      <c r="H2288" t="s">
        <v>590</v>
      </c>
      <c r="I2288" t="s">
        <v>1462</v>
      </c>
      <c r="L2288">
        <v>9</v>
      </c>
      <c r="M2288">
        <v>7830</v>
      </c>
      <c r="N2288">
        <v>-9</v>
      </c>
      <c r="O2288">
        <v>-7830</v>
      </c>
      <c r="Z2288" s="3">
        <f t="shared" si="35"/>
        <v>870</v>
      </c>
    </row>
    <row r="2289" spans="1:26" hidden="1">
      <c r="A2289" t="s">
        <v>706</v>
      </c>
      <c r="B2289" s="6">
        <v>44287</v>
      </c>
      <c r="C2289" s="6">
        <v>44651</v>
      </c>
      <c r="D2289">
        <v>20210401</v>
      </c>
      <c r="E2289">
        <v>20220331</v>
      </c>
      <c r="F2289" t="s">
        <v>5355</v>
      </c>
      <c r="G2289" t="s">
        <v>5356</v>
      </c>
      <c r="H2289" t="s">
        <v>590</v>
      </c>
      <c r="I2289" t="s">
        <v>1462</v>
      </c>
      <c r="L2289">
        <v>2</v>
      </c>
      <c r="M2289">
        <v>16070</v>
      </c>
      <c r="N2289">
        <v>-2</v>
      </c>
      <c r="O2289">
        <v>-16070</v>
      </c>
      <c r="Z2289" s="3">
        <f t="shared" si="35"/>
        <v>8035</v>
      </c>
    </row>
    <row r="2290" spans="1:26" hidden="1">
      <c r="A2290" t="s">
        <v>706</v>
      </c>
      <c r="B2290" s="6">
        <v>44287</v>
      </c>
      <c r="C2290" s="6">
        <v>44651</v>
      </c>
      <c r="D2290">
        <v>20210401</v>
      </c>
      <c r="E2290">
        <v>20220331</v>
      </c>
      <c r="F2290" t="s">
        <v>5357</v>
      </c>
      <c r="G2290" t="s">
        <v>5358</v>
      </c>
      <c r="H2290" t="s">
        <v>590</v>
      </c>
      <c r="I2290" t="s">
        <v>1462</v>
      </c>
      <c r="L2290">
        <v>1</v>
      </c>
      <c r="M2290">
        <v>139500</v>
      </c>
      <c r="N2290">
        <v>-1</v>
      </c>
      <c r="O2290">
        <v>-139500</v>
      </c>
      <c r="Z2290" s="3">
        <f t="shared" si="35"/>
        <v>139500</v>
      </c>
    </row>
    <row r="2291" spans="1:26" hidden="1">
      <c r="A2291" t="s">
        <v>706</v>
      </c>
      <c r="B2291" s="6">
        <v>44287</v>
      </c>
      <c r="C2291" s="6">
        <v>44651</v>
      </c>
      <c r="D2291">
        <v>20210401</v>
      </c>
      <c r="E2291">
        <v>20220331</v>
      </c>
      <c r="F2291" t="s">
        <v>5359</v>
      </c>
      <c r="G2291" t="s">
        <v>5360</v>
      </c>
      <c r="H2291" t="s">
        <v>590</v>
      </c>
      <c r="I2291" t="s">
        <v>1462</v>
      </c>
      <c r="L2291">
        <v>2</v>
      </c>
      <c r="M2291">
        <v>5928</v>
      </c>
      <c r="N2291">
        <v>-2</v>
      </c>
      <c r="O2291">
        <v>-5928</v>
      </c>
      <c r="Z2291" s="3">
        <f t="shared" si="35"/>
        <v>2964</v>
      </c>
    </row>
    <row r="2292" spans="1:26" hidden="1">
      <c r="A2292" t="s">
        <v>706</v>
      </c>
      <c r="B2292" s="6">
        <v>44287</v>
      </c>
      <c r="C2292" s="6">
        <v>44651</v>
      </c>
      <c r="D2292">
        <v>20210401</v>
      </c>
      <c r="E2292">
        <v>20220331</v>
      </c>
      <c r="F2292" t="s">
        <v>5361</v>
      </c>
      <c r="G2292" t="s">
        <v>5362</v>
      </c>
      <c r="H2292" t="s">
        <v>590</v>
      </c>
      <c r="I2292" t="s">
        <v>1462</v>
      </c>
      <c r="L2292">
        <v>2</v>
      </c>
      <c r="M2292">
        <v>1000</v>
      </c>
      <c r="N2292">
        <v>-2</v>
      </c>
      <c r="O2292">
        <v>-1000</v>
      </c>
      <c r="Z2292" s="3">
        <f t="shared" si="35"/>
        <v>500</v>
      </c>
    </row>
    <row r="2293" spans="1:26" hidden="1">
      <c r="A2293" t="s">
        <v>706</v>
      </c>
      <c r="B2293" s="6">
        <v>44287</v>
      </c>
      <c r="C2293" s="6">
        <v>44651</v>
      </c>
      <c r="D2293">
        <v>20210401</v>
      </c>
      <c r="E2293">
        <v>20220331</v>
      </c>
      <c r="F2293" t="s">
        <v>5363</v>
      </c>
      <c r="G2293" t="s">
        <v>5364</v>
      </c>
      <c r="H2293" t="s">
        <v>613</v>
      </c>
      <c r="I2293" t="s">
        <v>805</v>
      </c>
      <c r="L2293">
        <v>18</v>
      </c>
      <c r="M2293">
        <v>10440</v>
      </c>
      <c r="N2293">
        <v>-18</v>
      </c>
      <c r="O2293">
        <v>-10440</v>
      </c>
      <c r="Z2293" s="3">
        <f t="shared" si="35"/>
        <v>580</v>
      </c>
    </row>
    <row r="2294" spans="1:26" hidden="1">
      <c r="A2294" t="s">
        <v>706</v>
      </c>
      <c r="B2294" s="6">
        <v>44287</v>
      </c>
      <c r="C2294" s="6">
        <v>44651</v>
      </c>
      <c r="D2294">
        <v>20210401</v>
      </c>
      <c r="E2294">
        <v>20220331</v>
      </c>
      <c r="F2294" t="s">
        <v>5365</v>
      </c>
      <c r="G2294" t="s">
        <v>5366</v>
      </c>
      <c r="H2294" t="s">
        <v>590</v>
      </c>
      <c r="I2294" t="s">
        <v>1462</v>
      </c>
      <c r="L2294">
        <v>2</v>
      </c>
      <c r="M2294">
        <v>2030</v>
      </c>
      <c r="X2294">
        <v>2</v>
      </c>
      <c r="Y2294">
        <v>2030</v>
      </c>
      <c r="Z2294" s="3">
        <f t="shared" si="35"/>
        <v>1015</v>
      </c>
    </row>
    <row r="2295" spans="1:26" hidden="1">
      <c r="A2295" t="s">
        <v>706</v>
      </c>
      <c r="B2295" s="6">
        <v>44287</v>
      </c>
      <c r="C2295" s="6">
        <v>44651</v>
      </c>
      <c r="D2295">
        <v>20210401</v>
      </c>
      <c r="E2295">
        <v>20220331</v>
      </c>
      <c r="F2295" t="s">
        <v>5367</v>
      </c>
      <c r="G2295" t="s">
        <v>5368</v>
      </c>
      <c r="H2295" t="s">
        <v>1220</v>
      </c>
      <c r="I2295" t="s">
        <v>5369</v>
      </c>
      <c r="J2295">
        <v>8.8000000000000007</v>
      </c>
      <c r="K2295">
        <v>254876.21</v>
      </c>
      <c r="N2295">
        <v>-8.8000000000000007</v>
      </c>
      <c r="O2295">
        <v>-254876.21</v>
      </c>
      <c r="Z2295" s="3">
        <f t="shared" si="35"/>
        <v>28963.205681818177</v>
      </c>
    </row>
    <row r="2296" spans="1:26" hidden="1">
      <c r="A2296" t="s">
        <v>706</v>
      </c>
      <c r="B2296" s="6">
        <v>44287</v>
      </c>
      <c r="C2296" s="6">
        <v>44651</v>
      </c>
      <c r="D2296">
        <v>20210401</v>
      </c>
      <c r="E2296">
        <v>20220331</v>
      </c>
      <c r="F2296" t="s">
        <v>5370</v>
      </c>
      <c r="G2296" t="s">
        <v>5371</v>
      </c>
      <c r="H2296" t="s">
        <v>590</v>
      </c>
      <c r="I2296" t="s">
        <v>805</v>
      </c>
      <c r="L2296">
        <v>1</v>
      </c>
      <c r="M2296">
        <v>216.95</v>
      </c>
      <c r="N2296">
        <v>-1</v>
      </c>
      <c r="O2296">
        <v>-216.95</v>
      </c>
      <c r="Z2296" s="3">
        <f t="shared" si="35"/>
        <v>216.95</v>
      </c>
    </row>
    <row r="2297" spans="1:26" hidden="1">
      <c r="A2297" t="s">
        <v>706</v>
      </c>
      <c r="B2297" s="6">
        <v>44287</v>
      </c>
      <c r="C2297" s="6">
        <v>44651</v>
      </c>
      <c r="D2297">
        <v>20210401</v>
      </c>
      <c r="E2297">
        <v>20220331</v>
      </c>
      <c r="F2297" t="s">
        <v>5372</v>
      </c>
      <c r="G2297" t="s">
        <v>5373</v>
      </c>
      <c r="H2297" t="s">
        <v>590</v>
      </c>
      <c r="I2297" t="s">
        <v>1462</v>
      </c>
      <c r="L2297">
        <v>1</v>
      </c>
      <c r="M2297">
        <v>6350</v>
      </c>
      <c r="N2297">
        <v>-1</v>
      </c>
      <c r="O2297">
        <v>-6350</v>
      </c>
      <c r="Z2297" s="3">
        <f t="shared" si="35"/>
        <v>6350</v>
      </c>
    </row>
    <row r="2298" spans="1:26" hidden="1">
      <c r="A2298" t="s">
        <v>706</v>
      </c>
      <c r="B2298" s="6">
        <v>44287</v>
      </c>
      <c r="C2298" s="6">
        <v>44651</v>
      </c>
      <c r="D2298">
        <v>20210401</v>
      </c>
      <c r="E2298">
        <v>20220331</v>
      </c>
      <c r="F2298" t="s">
        <v>5374</v>
      </c>
      <c r="G2298" t="s">
        <v>5375</v>
      </c>
      <c r="H2298" t="s">
        <v>590</v>
      </c>
      <c r="I2298" t="s">
        <v>1462</v>
      </c>
      <c r="L2298">
        <v>9</v>
      </c>
      <c r="M2298">
        <v>120000</v>
      </c>
      <c r="N2298">
        <v>-6</v>
      </c>
      <c r="O2298">
        <v>-81000</v>
      </c>
      <c r="X2298">
        <v>3</v>
      </c>
      <c r="Y2298">
        <v>39000</v>
      </c>
      <c r="Z2298" s="3">
        <f t="shared" si="35"/>
        <v>13500</v>
      </c>
    </row>
    <row r="2299" spans="1:26" hidden="1">
      <c r="A2299" t="s">
        <v>706</v>
      </c>
      <c r="B2299" s="6">
        <v>44287</v>
      </c>
      <c r="C2299" s="6">
        <v>44651</v>
      </c>
      <c r="D2299">
        <v>20210401</v>
      </c>
      <c r="E2299">
        <v>20220331</v>
      </c>
      <c r="F2299" t="s">
        <v>5376</v>
      </c>
      <c r="G2299" t="s">
        <v>5377</v>
      </c>
      <c r="H2299" t="s">
        <v>590</v>
      </c>
      <c r="I2299" t="s">
        <v>1462</v>
      </c>
      <c r="L2299">
        <v>2</v>
      </c>
      <c r="M2299">
        <v>9000</v>
      </c>
      <c r="N2299">
        <v>-2</v>
      </c>
      <c r="O2299">
        <v>-9000</v>
      </c>
      <c r="Z2299" s="3">
        <f t="shared" si="35"/>
        <v>4500</v>
      </c>
    </row>
    <row r="2300" spans="1:26" hidden="1">
      <c r="A2300" t="s">
        <v>706</v>
      </c>
      <c r="B2300" s="6">
        <v>44287</v>
      </c>
      <c r="C2300" s="6">
        <v>44651</v>
      </c>
      <c r="D2300">
        <v>20210401</v>
      </c>
      <c r="E2300">
        <v>20220331</v>
      </c>
      <c r="F2300" t="s">
        <v>5378</v>
      </c>
      <c r="G2300" t="s">
        <v>5379</v>
      </c>
      <c r="H2300" t="s">
        <v>590</v>
      </c>
      <c r="I2300" t="s">
        <v>1462</v>
      </c>
      <c r="L2300">
        <v>42</v>
      </c>
      <c r="M2300">
        <v>10560</v>
      </c>
      <c r="N2300">
        <v>-42</v>
      </c>
      <c r="O2300">
        <v>-10560</v>
      </c>
      <c r="Z2300" s="3">
        <f t="shared" si="35"/>
        <v>251.42857142857142</v>
      </c>
    </row>
    <row r="2301" spans="1:26" hidden="1">
      <c r="A2301" t="s">
        <v>706</v>
      </c>
      <c r="B2301" s="6">
        <v>44287</v>
      </c>
      <c r="C2301" s="6">
        <v>44651</v>
      </c>
      <c r="D2301">
        <v>20210401</v>
      </c>
      <c r="E2301">
        <v>20220331</v>
      </c>
      <c r="F2301" t="s">
        <v>5380</v>
      </c>
      <c r="G2301" t="s">
        <v>5381</v>
      </c>
      <c r="H2301" t="s">
        <v>590</v>
      </c>
      <c r="I2301" t="s">
        <v>805</v>
      </c>
      <c r="L2301">
        <v>2</v>
      </c>
      <c r="M2301">
        <v>78</v>
      </c>
      <c r="N2301">
        <v>-2</v>
      </c>
      <c r="O2301">
        <v>-78</v>
      </c>
      <c r="Z2301" s="3">
        <f t="shared" si="35"/>
        <v>39</v>
      </c>
    </row>
    <row r="2302" spans="1:26" hidden="1">
      <c r="A2302" t="s">
        <v>706</v>
      </c>
      <c r="B2302" s="6">
        <v>44287</v>
      </c>
      <c r="C2302" s="6">
        <v>44651</v>
      </c>
      <c r="D2302">
        <v>20210401</v>
      </c>
      <c r="E2302">
        <v>20220331</v>
      </c>
      <c r="F2302" t="s">
        <v>5382</v>
      </c>
      <c r="G2302" t="s">
        <v>5383</v>
      </c>
      <c r="H2302" t="s">
        <v>590</v>
      </c>
      <c r="I2302" t="s">
        <v>805</v>
      </c>
      <c r="L2302">
        <v>19</v>
      </c>
      <c r="M2302">
        <v>456</v>
      </c>
      <c r="N2302">
        <v>-19</v>
      </c>
      <c r="O2302">
        <v>-456</v>
      </c>
      <c r="Z2302" s="3">
        <f t="shared" si="35"/>
        <v>24</v>
      </c>
    </row>
    <row r="2303" spans="1:26" hidden="1">
      <c r="A2303" t="s">
        <v>706</v>
      </c>
      <c r="B2303" s="6">
        <v>44287</v>
      </c>
      <c r="C2303" s="6">
        <v>44651</v>
      </c>
      <c r="D2303">
        <v>20210401</v>
      </c>
      <c r="E2303">
        <v>20220331</v>
      </c>
      <c r="F2303" t="s">
        <v>5384</v>
      </c>
      <c r="G2303" t="s">
        <v>5385</v>
      </c>
      <c r="H2303" t="s">
        <v>590</v>
      </c>
      <c r="I2303" t="s">
        <v>805</v>
      </c>
      <c r="L2303">
        <v>21</v>
      </c>
      <c r="M2303">
        <v>216</v>
      </c>
      <c r="N2303">
        <v>-21</v>
      </c>
      <c r="O2303">
        <v>-216</v>
      </c>
      <c r="Z2303" s="3">
        <f t="shared" si="35"/>
        <v>10.285714285714286</v>
      </c>
    </row>
    <row r="2304" spans="1:26" hidden="1">
      <c r="A2304" t="s">
        <v>706</v>
      </c>
      <c r="B2304" s="6">
        <v>44287</v>
      </c>
      <c r="C2304" s="6">
        <v>44651</v>
      </c>
      <c r="D2304">
        <v>20210401</v>
      </c>
      <c r="E2304">
        <v>20220331</v>
      </c>
      <c r="F2304" t="s">
        <v>5386</v>
      </c>
      <c r="G2304" t="s">
        <v>5387</v>
      </c>
      <c r="H2304" t="s">
        <v>590</v>
      </c>
      <c r="I2304" t="s">
        <v>805</v>
      </c>
      <c r="L2304">
        <v>26</v>
      </c>
      <c r="M2304">
        <v>378.5</v>
      </c>
      <c r="N2304">
        <v>-26</v>
      </c>
      <c r="O2304">
        <v>-378.5</v>
      </c>
      <c r="Z2304" s="3">
        <f t="shared" si="35"/>
        <v>14.557692307692308</v>
      </c>
    </row>
    <row r="2305" spans="1:26" hidden="1">
      <c r="A2305" t="s">
        <v>706</v>
      </c>
      <c r="B2305" s="6">
        <v>44287</v>
      </c>
      <c r="C2305" s="6">
        <v>44651</v>
      </c>
      <c r="D2305">
        <v>20210401</v>
      </c>
      <c r="E2305">
        <v>20220331</v>
      </c>
      <c r="F2305" t="s">
        <v>5388</v>
      </c>
      <c r="G2305" t="s">
        <v>5389</v>
      </c>
      <c r="H2305" t="s">
        <v>590</v>
      </c>
      <c r="I2305" t="s">
        <v>805</v>
      </c>
      <c r="L2305">
        <v>15</v>
      </c>
      <c r="M2305">
        <v>697.5</v>
      </c>
      <c r="N2305">
        <v>-15</v>
      </c>
      <c r="O2305">
        <v>-697.5</v>
      </c>
      <c r="Z2305" s="3">
        <f t="shared" si="35"/>
        <v>46.5</v>
      </c>
    </row>
    <row r="2306" spans="1:26" hidden="1">
      <c r="A2306" t="s">
        <v>706</v>
      </c>
      <c r="B2306" s="6">
        <v>44287</v>
      </c>
      <c r="C2306" s="6">
        <v>44651</v>
      </c>
      <c r="D2306">
        <v>20210401</v>
      </c>
      <c r="E2306">
        <v>20220331</v>
      </c>
      <c r="F2306" t="s">
        <v>5390</v>
      </c>
      <c r="G2306" t="s">
        <v>5391</v>
      </c>
      <c r="H2306" t="s">
        <v>590</v>
      </c>
      <c r="I2306" t="s">
        <v>805</v>
      </c>
      <c r="L2306">
        <v>10</v>
      </c>
      <c r="M2306">
        <v>450</v>
      </c>
      <c r="N2306">
        <v>-10</v>
      </c>
      <c r="O2306">
        <v>-450</v>
      </c>
      <c r="Z2306" s="3">
        <f t="shared" si="35"/>
        <v>45</v>
      </c>
    </row>
    <row r="2307" spans="1:26" hidden="1">
      <c r="A2307" t="s">
        <v>706</v>
      </c>
      <c r="B2307" s="6">
        <v>44287</v>
      </c>
      <c r="C2307" s="6">
        <v>44651</v>
      </c>
      <c r="D2307">
        <v>20210401</v>
      </c>
      <c r="E2307">
        <v>20220331</v>
      </c>
      <c r="F2307" t="s">
        <v>5392</v>
      </c>
      <c r="G2307" t="s">
        <v>5393</v>
      </c>
      <c r="H2307" t="s">
        <v>590</v>
      </c>
      <c r="I2307" t="s">
        <v>805</v>
      </c>
      <c r="L2307">
        <v>41</v>
      </c>
      <c r="M2307">
        <v>307</v>
      </c>
      <c r="N2307">
        <v>-41</v>
      </c>
      <c r="O2307">
        <v>-307</v>
      </c>
      <c r="Z2307" s="3">
        <f t="shared" ref="Z2307:Z2370" si="36">IFERROR((O2307+Q2307)/(N2307+P2307),Y2307/X2307)</f>
        <v>7.4878048780487809</v>
      </c>
    </row>
    <row r="2308" spans="1:26" hidden="1">
      <c r="A2308" t="s">
        <v>706</v>
      </c>
      <c r="B2308" s="6">
        <v>44287</v>
      </c>
      <c r="C2308" s="6">
        <v>44651</v>
      </c>
      <c r="D2308">
        <v>20210401</v>
      </c>
      <c r="E2308">
        <v>20220331</v>
      </c>
      <c r="F2308" t="s">
        <v>5394</v>
      </c>
      <c r="G2308" t="s">
        <v>5395</v>
      </c>
      <c r="H2308" t="s">
        <v>590</v>
      </c>
      <c r="I2308" t="s">
        <v>805</v>
      </c>
      <c r="L2308">
        <v>1</v>
      </c>
      <c r="M2308">
        <v>155</v>
      </c>
      <c r="N2308">
        <v>-1</v>
      </c>
      <c r="O2308">
        <v>-155</v>
      </c>
      <c r="Z2308" s="3">
        <f t="shared" si="36"/>
        <v>155</v>
      </c>
    </row>
    <row r="2309" spans="1:26" hidden="1">
      <c r="A2309" t="s">
        <v>706</v>
      </c>
      <c r="B2309" s="6">
        <v>44287</v>
      </c>
      <c r="C2309" s="6">
        <v>44651</v>
      </c>
      <c r="D2309">
        <v>20210401</v>
      </c>
      <c r="E2309">
        <v>20220331</v>
      </c>
      <c r="F2309" t="s">
        <v>5396</v>
      </c>
      <c r="G2309" t="s">
        <v>5397</v>
      </c>
      <c r="H2309" t="s">
        <v>590</v>
      </c>
      <c r="I2309" t="s">
        <v>805</v>
      </c>
      <c r="L2309">
        <v>20</v>
      </c>
      <c r="M2309">
        <v>370</v>
      </c>
      <c r="N2309">
        <v>-20</v>
      </c>
      <c r="O2309">
        <v>-370</v>
      </c>
      <c r="Z2309" s="3">
        <f t="shared" si="36"/>
        <v>18.5</v>
      </c>
    </row>
    <row r="2310" spans="1:26" hidden="1">
      <c r="A2310" t="s">
        <v>706</v>
      </c>
      <c r="B2310" s="6">
        <v>44287</v>
      </c>
      <c r="C2310" s="6">
        <v>44651</v>
      </c>
      <c r="D2310">
        <v>20210401</v>
      </c>
      <c r="E2310">
        <v>20220331</v>
      </c>
      <c r="F2310" t="s">
        <v>5398</v>
      </c>
      <c r="G2310" t="s">
        <v>5399</v>
      </c>
      <c r="H2310" t="s">
        <v>590</v>
      </c>
      <c r="I2310" t="s">
        <v>805</v>
      </c>
      <c r="L2310">
        <v>4</v>
      </c>
      <c r="M2310">
        <v>240</v>
      </c>
      <c r="N2310">
        <v>-4</v>
      </c>
      <c r="O2310">
        <v>-240</v>
      </c>
      <c r="Z2310" s="3">
        <f t="shared" si="36"/>
        <v>60</v>
      </c>
    </row>
    <row r="2311" spans="1:26" hidden="1">
      <c r="A2311" t="s">
        <v>706</v>
      </c>
      <c r="B2311" s="6">
        <v>44287</v>
      </c>
      <c r="C2311" s="6">
        <v>44651</v>
      </c>
      <c r="D2311">
        <v>20210401</v>
      </c>
      <c r="E2311">
        <v>20220331</v>
      </c>
      <c r="F2311" t="s">
        <v>5400</v>
      </c>
      <c r="G2311" t="s">
        <v>5401</v>
      </c>
      <c r="H2311" t="s">
        <v>1973</v>
      </c>
      <c r="I2311" t="s">
        <v>1462</v>
      </c>
      <c r="L2311">
        <v>1</v>
      </c>
      <c r="M2311">
        <v>590</v>
      </c>
      <c r="N2311">
        <v>-1</v>
      </c>
      <c r="O2311">
        <v>-590</v>
      </c>
      <c r="Z2311" s="3">
        <f t="shared" si="36"/>
        <v>590</v>
      </c>
    </row>
    <row r="2312" spans="1:26" hidden="1">
      <c r="A2312" t="s">
        <v>706</v>
      </c>
      <c r="B2312" s="6">
        <v>44287</v>
      </c>
      <c r="C2312" s="6">
        <v>44651</v>
      </c>
      <c r="D2312">
        <v>20210401</v>
      </c>
      <c r="E2312">
        <v>20220331</v>
      </c>
      <c r="F2312" t="s">
        <v>5402</v>
      </c>
      <c r="G2312" t="s">
        <v>5403</v>
      </c>
      <c r="H2312" t="s">
        <v>590</v>
      </c>
      <c r="I2312" t="s">
        <v>805</v>
      </c>
      <c r="L2312">
        <v>9</v>
      </c>
      <c r="M2312">
        <v>288</v>
      </c>
      <c r="N2312">
        <v>-9</v>
      </c>
      <c r="O2312">
        <v>-288</v>
      </c>
      <c r="Z2312" s="3">
        <f t="shared" si="36"/>
        <v>32</v>
      </c>
    </row>
    <row r="2313" spans="1:26" hidden="1">
      <c r="A2313" t="s">
        <v>706</v>
      </c>
      <c r="B2313" s="6">
        <v>44287</v>
      </c>
      <c r="C2313" s="6">
        <v>44651</v>
      </c>
      <c r="D2313">
        <v>20210401</v>
      </c>
      <c r="E2313">
        <v>20220331</v>
      </c>
      <c r="F2313" t="s">
        <v>5404</v>
      </c>
      <c r="G2313" t="s">
        <v>5405</v>
      </c>
      <c r="H2313" t="s">
        <v>590</v>
      </c>
      <c r="I2313" t="s">
        <v>1462</v>
      </c>
      <c r="L2313">
        <v>4</v>
      </c>
      <c r="M2313">
        <v>5280</v>
      </c>
      <c r="N2313">
        <v>-4</v>
      </c>
      <c r="O2313">
        <v>-5280</v>
      </c>
      <c r="Z2313" s="3">
        <f t="shared" si="36"/>
        <v>1320</v>
      </c>
    </row>
    <row r="2314" spans="1:26" hidden="1">
      <c r="A2314" t="s">
        <v>706</v>
      </c>
      <c r="B2314" s="6">
        <v>44287</v>
      </c>
      <c r="C2314" s="6">
        <v>44651</v>
      </c>
      <c r="D2314">
        <v>20210401</v>
      </c>
      <c r="E2314">
        <v>20220331</v>
      </c>
      <c r="F2314" t="s">
        <v>5406</v>
      </c>
      <c r="G2314" t="s">
        <v>5407</v>
      </c>
      <c r="H2314" t="s">
        <v>590</v>
      </c>
      <c r="I2314" t="s">
        <v>805</v>
      </c>
      <c r="L2314">
        <v>10</v>
      </c>
      <c r="M2314">
        <v>220</v>
      </c>
      <c r="N2314">
        <v>-10</v>
      </c>
      <c r="O2314">
        <v>-220</v>
      </c>
      <c r="Z2314" s="3">
        <f t="shared" si="36"/>
        <v>22</v>
      </c>
    </row>
    <row r="2315" spans="1:26" hidden="1">
      <c r="A2315" t="s">
        <v>706</v>
      </c>
      <c r="B2315" s="6">
        <v>44287</v>
      </c>
      <c r="C2315" s="6">
        <v>44651</v>
      </c>
      <c r="D2315">
        <v>20210401</v>
      </c>
      <c r="E2315">
        <v>20220331</v>
      </c>
      <c r="F2315" t="s">
        <v>5408</v>
      </c>
      <c r="G2315" t="s">
        <v>5409</v>
      </c>
      <c r="H2315" t="s">
        <v>590</v>
      </c>
      <c r="I2315" t="s">
        <v>805</v>
      </c>
      <c r="L2315">
        <v>5</v>
      </c>
      <c r="M2315">
        <v>97.5</v>
      </c>
      <c r="N2315">
        <v>-5</v>
      </c>
      <c r="O2315">
        <v>-97.5</v>
      </c>
      <c r="Z2315" s="3">
        <f t="shared" si="36"/>
        <v>19.5</v>
      </c>
    </row>
    <row r="2316" spans="1:26" hidden="1">
      <c r="A2316" t="s">
        <v>706</v>
      </c>
      <c r="B2316" s="6">
        <v>44287</v>
      </c>
      <c r="C2316" s="6">
        <v>44651</v>
      </c>
      <c r="D2316">
        <v>20210401</v>
      </c>
      <c r="E2316">
        <v>20220331</v>
      </c>
      <c r="F2316" t="s">
        <v>5410</v>
      </c>
      <c r="G2316" t="s">
        <v>5411</v>
      </c>
      <c r="H2316" t="s">
        <v>590</v>
      </c>
      <c r="I2316" t="s">
        <v>805</v>
      </c>
      <c r="L2316">
        <v>5</v>
      </c>
      <c r="M2316">
        <v>180</v>
      </c>
      <c r="N2316">
        <v>-5</v>
      </c>
      <c r="O2316">
        <v>-180</v>
      </c>
      <c r="Z2316" s="3">
        <f t="shared" si="36"/>
        <v>36</v>
      </c>
    </row>
    <row r="2317" spans="1:26" hidden="1">
      <c r="A2317" t="s">
        <v>706</v>
      </c>
      <c r="B2317" s="6">
        <v>44287</v>
      </c>
      <c r="C2317" s="6">
        <v>44651</v>
      </c>
      <c r="D2317">
        <v>20210401</v>
      </c>
      <c r="E2317">
        <v>20220331</v>
      </c>
      <c r="F2317" t="s">
        <v>5412</v>
      </c>
      <c r="G2317" t="s">
        <v>5413</v>
      </c>
      <c r="H2317" t="s">
        <v>590</v>
      </c>
      <c r="I2317" t="s">
        <v>805</v>
      </c>
      <c r="N2317">
        <v>-5</v>
      </c>
      <c r="O2317">
        <v>-520</v>
      </c>
      <c r="X2317">
        <v>-5</v>
      </c>
      <c r="Y2317">
        <v>-520</v>
      </c>
      <c r="Z2317" s="3">
        <f t="shared" si="36"/>
        <v>104</v>
      </c>
    </row>
    <row r="2318" spans="1:26" hidden="1">
      <c r="A2318" t="s">
        <v>706</v>
      </c>
      <c r="B2318" s="6">
        <v>44287</v>
      </c>
      <c r="C2318" s="6">
        <v>44651</v>
      </c>
      <c r="D2318">
        <v>20210401</v>
      </c>
      <c r="E2318">
        <v>20220331</v>
      </c>
      <c r="F2318" t="s">
        <v>5414</v>
      </c>
      <c r="G2318" t="s">
        <v>5415</v>
      </c>
      <c r="H2318" t="s">
        <v>590</v>
      </c>
      <c r="I2318" t="s">
        <v>1462</v>
      </c>
      <c r="L2318">
        <v>2</v>
      </c>
      <c r="M2318">
        <v>1050</v>
      </c>
      <c r="N2318">
        <v>-2</v>
      </c>
      <c r="O2318">
        <v>-1050</v>
      </c>
      <c r="Z2318" s="3">
        <f t="shared" si="36"/>
        <v>525</v>
      </c>
    </row>
    <row r="2319" spans="1:26" hidden="1">
      <c r="A2319" t="s">
        <v>706</v>
      </c>
      <c r="B2319" s="6">
        <v>44287</v>
      </c>
      <c r="C2319" s="6">
        <v>44651</v>
      </c>
      <c r="D2319">
        <v>20210401</v>
      </c>
      <c r="E2319">
        <v>20220331</v>
      </c>
      <c r="F2319" t="s">
        <v>5416</v>
      </c>
      <c r="G2319" t="s">
        <v>5417</v>
      </c>
      <c r="H2319" t="s">
        <v>590</v>
      </c>
      <c r="I2319" t="s">
        <v>1462</v>
      </c>
      <c r="L2319">
        <v>1</v>
      </c>
      <c r="M2319">
        <v>160</v>
      </c>
      <c r="N2319">
        <v>-1</v>
      </c>
      <c r="O2319">
        <v>-160</v>
      </c>
      <c r="Z2319" s="3">
        <f t="shared" si="36"/>
        <v>160</v>
      </c>
    </row>
    <row r="2320" spans="1:26" hidden="1">
      <c r="A2320" t="s">
        <v>706</v>
      </c>
      <c r="B2320" s="6">
        <v>44287</v>
      </c>
      <c r="C2320" s="6">
        <v>44651</v>
      </c>
      <c r="D2320">
        <v>20210401</v>
      </c>
      <c r="E2320">
        <v>20220331</v>
      </c>
      <c r="F2320" t="s">
        <v>5418</v>
      </c>
      <c r="G2320" t="s">
        <v>5419</v>
      </c>
      <c r="H2320" t="s">
        <v>590</v>
      </c>
      <c r="I2320" t="s">
        <v>1462</v>
      </c>
      <c r="L2320">
        <v>1</v>
      </c>
      <c r="M2320">
        <v>160</v>
      </c>
      <c r="N2320">
        <v>-1</v>
      </c>
      <c r="O2320">
        <v>-160</v>
      </c>
      <c r="Z2320" s="3">
        <f t="shared" si="36"/>
        <v>160</v>
      </c>
    </row>
    <row r="2321" spans="1:26" hidden="1">
      <c r="A2321" t="s">
        <v>706</v>
      </c>
      <c r="B2321" s="6">
        <v>44287</v>
      </c>
      <c r="C2321" s="6">
        <v>44651</v>
      </c>
      <c r="D2321">
        <v>20210401</v>
      </c>
      <c r="E2321">
        <v>20220331</v>
      </c>
      <c r="F2321" t="s">
        <v>5420</v>
      </c>
      <c r="G2321" t="s">
        <v>5421</v>
      </c>
      <c r="H2321" t="s">
        <v>590</v>
      </c>
      <c r="I2321" t="s">
        <v>805</v>
      </c>
      <c r="L2321">
        <v>5</v>
      </c>
      <c r="M2321">
        <v>192.5</v>
      </c>
      <c r="N2321">
        <v>-5</v>
      </c>
      <c r="O2321">
        <v>-192.5</v>
      </c>
      <c r="Z2321" s="3">
        <f t="shared" si="36"/>
        <v>38.5</v>
      </c>
    </row>
    <row r="2322" spans="1:26" hidden="1">
      <c r="A2322" t="s">
        <v>706</v>
      </c>
      <c r="B2322" s="6">
        <v>44287</v>
      </c>
      <c r="C2322" s="6">
        <v>44651</v>
      </c>
      <c r="D2322">
        <v>20210401</v>
      </c>
      <c r="E2322">
        <v>20220331</v>
      </c>
      <c r="F2322" t="s">
        <v>5422</v>
      </c>
      <c r="G2322" t="s">
        <v>5423</v>
      </c>
      <c r="H2322" t="s">
        <v>590</v>
      </c>
      <c r="I2322" t="s">
        <v>805</v>
      </c>
      <c r="L2322">
        <v>4</v>
      </c>
      <c r="M2322">
        <v>232</v>
      </c>
      <c r="N2322">
        <v>-4</v>
      </c>
      <c r="O2322">
        <v>-232</v>
      </c>
      <c r="Z2322" s="3">
        <f t="shared" si="36"/>
        <v>58</v>
      </c>
    </row>
    <row r="2323" spans="1:26" hidden="1">
      <c r="A2323" t="s">
        <v>706</v>
      </c>
      <c r="B2323" s="6">
        <v>44287</v>
      </c>
      <c r="C2323" s="6">
        <v>44651</v>
      </c>
      <c r="D2323">
        <v>20210401</v>
      </c>
      <c r="E2323">
        <v>20220331</v>
      </c>
      <c r="F2323" t="s">
        <v>5424</v>
      </c>
      <c r="G2323" t="s">
        <v>5425</v>
      </c>
      <c r="H2323" t="s">
        <v>590</v>
      </c>
      <c r="I2323" t="s">
        <v>805</v>
      </c>
      <c r="J2323">
        <v>4</v>
      </c>
      <c r="K2323">
        <v>728.01</v>
      </c>
      <c r="L2323">
        <v>13</v>
      </c>
      <c r="M2323">
        <v>2366</v>
      </c>
      <c r="N2323">
        <v>-17</v>
      </c>
      <c r="O2323">
        <v>-3094</v>
      </c>
      <c r="Y2323">
        <v>0.01</v>
      </c>
      <c r="Z2323" s="3">
        <f t="shared" si="36"/>
        <v>182</v>
      </c>
    </row>
    <row r="2324" spans="1:26" hidden="1">
      <c r="A2324" t="s">
        <v>706</v>
      </c>
      <c r="B2324" s="6">
        <v>44287</v>
      </c>
      <c r="C2324" s="6">
        <v>44651</v>
      </c>
      <c r="D2324">
        <v>20210401</v>
      </c>
      <c r="E2324">
        <v>20220331</v>
      </c>
      <c r="F2324" t="s">
        <v>5426</v>
      </c>
      <c r="G2324" t="s">
        <v>5427</v>
      </c>
      <c r="H2324" t="s">
        <v>590</v>
      </c>
      <c r="I2324" t="s">
        <v>1462</v>
      </c>
      <c r="J2324">
        <v>1</v>
      </c>
      <c r="K2324">
        <v>1</v>
      </c>
      <c r="N2324">
        <v>-1</v>
      </c>
      <c r="O2324">
        <v>-1</v>
      </c>
      <c r="Z2324" s="3">
        <f t="shared" si="36"/>
        <v>1</v>
      </c>
    </row>
    <row r="2325" spans="1:26" hidden="1">
      <c r="A2325" t="s">
        <v>706</v>
      </c>
      <c r="B2325" s="6">
        <v>44287</v>
      </c>
      <c r="C2325" s="6">
        <v>44651</v>
      </c>
      <c r="D2325">
        <v>20210401</v>
      </c>
      <c r="E2325">
        <v>20220331</v>
      </c>
      <c r="F2325" t="s">
        <v>5428</v>
      </c>
      <c r="G2325" t="s">
        <v>5429</v>
      </c>
      <c r="H2325" t="s">
        <v>590</v>
      </c>
      <c r="I2325" t="s">
        <v>805</v>
      </c>
      <c r="L2325">
        <v>2</v>
      </c>
      <c r="M2325">
        <v>540</v>
      </c>
      <c r="N2325">
        <v>-2</v>
      </c>
      <c r="O2325">
        <v>-540</v>
      </c>
      <c r="Z2325" s="3">
        <f t="shared" si="36"/>
        <v>270</v>
      </c>
    </row>
    <row r="2326" spans="1:26" hidden="1">
      <c r="A2326" t="s">
        <v>706</v>
      </c>
      <c r="B2326" s="6">
        <v>44287</v>
      </c>
      <c r="C2326" s="6">
        <v>44651</v>
      </c>
      <c r="D2326">
        <v>20210401</v>
      </c>
      <c r="E2326">
        <v>20220331</v>
      </c>
      <c r="F2326" t="s">
        <v>5430</v>
      </c>
      <c r="G2326" t="s">
        <v>5431</v>
      </c>
      <c r="H2326" t="s">
        <v>590</v>
      </c>
      <c r="I2326" t="s">
        <v>805</v>
      </c>
      <c r="L2326">
        <v>10</v>
      </c>
      <c r="M2326">
        <v>3365</v>
      </c>
      <c r="N2326">
        <v>-10</v>
      </c>
      <c r="O2326">
        <v>-3365</v>
      </c>
      <c r="Z2326" s="3">
        <f t="shared" si="36"/>
        <v>336.5</v>
      </c>
    </row>
    <row r="2327" spans="1:26" hidden="1">
      <c r="A2327" t="s">
        <v>706</v>
      </c>
      <c r="B2327" s="6">
        <v>44287</v>
      </c>
      <c r="C2327" s="6">
        <v>44651</v>
      </c>
      <c r="D2327">
        <v>20210401</v>
      </c>
      <c r="E2327">
        <v>20220331</v>
      </c>
      <c r="F2327" t="s">
        <v>5432</v>
      </c>
      <c r="G2327" t="s">
        <v>5433</v>
      </c>
      <c r="H2327" t="s">
        <v>590</v>
      </c>
      <c r="I2327" t="s">
        <v>1462</v>
      </c>
      <c r="L2327">
        <v>2</v>
      </c>
      <c r="M2327">
        <v>384</v>
      </c>
      <c r="N2327">
        <v>-2</v>
      </c>
      <c r="O2327">
        <v>-384</v>
      </c>
      <c r="Z2327" s="3">
        <f t="shared" si="36"/>
        <v>192</v>
      </c>
    </row>
    <row r="2328" spans="1:26" hidden="1">
      <c r="A2328" t="s">
        <v>706</v>
      </c>
      <c r="B2328" s="6">
        <v>44287</v>
      </c>
      <c r="C2328" s="6">
        <v>44651</v>
      </c>
      <c r="D2328">
        <v>20210401</v>
      </c>
      <c r="E2328">
        <v>20220331</v>
      </c>
      <c r="F2328" t="s">
        <v>5434</v>
      </c>
      <c r="G2328" t="s">
        <v>5433</v>
      </c>
      <c r="H2328" t="s">
        <v>590</v>
      </c>
      <c r="I2328" t="s">
        <v>1462</v>
      </c>
      <c r="L2328">
        <v>2</v>
      </c>
      <c r="M2328">
        <v>384</v>
      </c>
      <c r="N2328">
        <v>-2</v>
      </c>
      <c r="O2328">
        <v>-384</v>
      </c>
      <c r="Z2328" s="3">
        <f t="shared" si="36"/>
        <v>192</v>
      </c>
    </row>
    <row r="2329" spans="1:26" hidden="1">
      <c r="A2329" t="s">
        <v>706</v>
      </c>
      <c r="B2329" s="6">
        <v>44287</v>
      </c>
      <c r="C2329" s="6">
        <v>44651</v>
      </c>
      <c r="D2329">
        <v>20210401</v>
      </c>
      <c r="E2329">
        <v>20220331</v>
      </c>
      <c r="F2329" t="s">
        <v>5435</v>
      </c>
      <c r="G2329" t="s">
        <v>5436</v>
      </c>
      <c r="H2329" t="s">
        <v>590</v>
      </c>
      <c r="I2329" t="s">
        <v>805</v>
      </c>
      <c r="L2329">
        <v>8</v>
      </c>
      <c r="M2329">
        <v>2345</v>
      </c>
      <c r="N2329">
        <v>-8</v>
      </c>
      <c r="O2329">
        <v>-2345</v>
      </c>
      <c r="Z2329" s="3">
        <f t="shared" si="36"/>
        <v>293.125</v>
      </c>
    </row>
    <row r="2330" spans="1:26" hidden="1">
      <c r="A2330" t="s">
        <v>706</v>
      </c>
      <c r="B2330" s="6">
        <v>44287</v>
      </c>
      <c r="C2330" s="6">
        <v>44651</v>
      </c>
      <c r="D2330">
        <v>20210401</v>
      </c>
      <c r="E2330">
        <v>20220331</v>
      </c>
      <c r="F2330" t="s">
        <v>5437</v>
      </c>
      <c r="G2330" t="s">
        <v>5433</v>
      </c>
      <c r="H2330" t="s">
        <v>590</v>
      </c>
      <c r="I2330" t="s">
        <v>1462</v>
      </c>
      <c r="L2330">
        <v>2</v>
      </c>
      <c r="M2330">
        <v>724</v>
      </c>
      <c r="N2330">
        <v>-2</v>
      </c>
      <c r="O2330">
        <v>-724</v>
      </c>
      <c r="Z2330" s="3">
        <f t="shared" si="36"/>
        <v>362</v>
      </c>
    </row>
    <row r="2331" spans="1:26" hidden="1">
      <c r="A2331" t="s">
        <v>706</v>
      </c>
      <c r="B2331" s="6">
        <v>44287</v>
      </c>
      <c r="C2331" s="6">
        <v>44651</v>
      </c>
      <c r="D2331">
        <v>20210401</v>
      </c>
      <c r="E2331">
        <v>20220331</v>
      </c>
      <c r="F2331" t="s">
        <v>5438</v>
      </c>
      <c r="G2331" t="s">
        <v>5439</v>
      </c>
      <c r="H2331" t="s">
        <v>590</v>
      </c>
      <c r="I2331" t="s">
        <v>1462</v>
      </c>
      <c r="L2331">
        <v>2</v>
      </c>
      <c r="M2331">
        <v>350</v>
      </c>
      <c r="N2331">
        <v>-2</v>
      </c>
      <c r="O2331">
        <v>-350</v>
      </c>
      <c r="Z2331" s="3">
        <f t="shared" si="36"/>
        <v>175</v>
      </c>
    </row>
    <row r="2332" spans="1:26" hidden="1">
      <c r="A2332" t="s">
        <v>706</v>
      </c>
      <c r="B2332" s="6">
        <v>44287</v>
      </c>
      <c r="C2332" s="6">
        <v>44651</v>
      </c>
      <c r="D2332">
        <v>20210401</v>
      </c>
      <c r="E2332">
        <v>20220331</v>
      </c>
      <c r="F2332" t="s">
        <v>5440</v>
      </c>
      <c r="G2332" t="s">
        <v>5441</v>
      </c>
      <c r="H2332" t="s">
        <v>590</v>
      </c>
      <c r="I2332" t="s">
        <v>1462</v>
      </c>
      <c r="L2332">
        <v>2</v>
      </c>
      <c r="M2332">
        <v>424</v>
      </c>
      <c r="N2332">
        <v>-2</v>
      </c>
      <c r="O2332">
        <v>-424</v>
      </c>
      <c r="Z2332" s="3">
        <f t="shared" si="36"/>
        <v>212</v>
      </c>
    </row>
    <row r="2333" spans="1:26" hidden="1">
      <c r="A2333" t="s">
        <v>706</v>
      </c>
      <c r="B2333" s="6">
        <v>44287</v>
      </c>
      <c r="C2333" s="6">
        <v>44651</v>
      </c>
      <c r="D2333">
        <v>20210401</v>
      </c>
      <c r="E2333">
        <v>20220331</v>
      </c>
      <c r="F2333" t="s">
        <v>5442</v>
      </c>
      <c r="G2333" t="s">
        <v>5443</v>
      </c>
      <c r="H2333" t="s">
        <v>590</v>
      </c>
      <c r="I2333" t="s">
        <v>1462</v>
      </c>
      <c r="L2333">
        <v>2</v>
      </c>
      <c r="M2333">
        <v>424</v>
      </c>
      <c r="N2333">
        <v>-2</v>
      </c>
      <c r="O2333">
        <v>-424</v>
      </c>
      <c r="Z2333" s="3">
        <f t="shared" si="36"/>
        <v>212</v>
      </c>
    </row>
    <row r="2334" spans="1:26" hidden="1">
      <c r="A2334" t="s">
        <v>706</v>
      </c>
      <c r="B2334" s="6">
        <v>44287</v>
      </c>
      <c r="C2334" s="6">
        <v>44651</v>
      </c>
      <c r="D2334">
        <v>20210401</v>
      </c>
      <c r="E2334">
        <v>20220331</v>
      </c>
      <c r="F2334" t="s">
        <v>5444</v>
      </c>
      <c r="G2334" t="s">
        <v>5445</v>
      </c>
      <c r="H2334" t="s">
        <v>590</v>
      </c>
      <c r="I2334" t="s">
        <v>805</v>
      </c>
      <c r="L2334">
        <v>15</v>
      </c>
      <c r="M2334">
        <v>52612.95</v>
      </c>
      <c r="N2334">
        <v>-15</v>
      </c>
      <c r="O2334">
        <v>-52612.95</v>
      </c>
      <c r="Z2334" s="3">
        <f t="shared" si="36"/>
        <v>3507.5299999999997</v>
      </c>
    </row>
    <row r="2335" spans="1:26" hidden="1">
      <c r="A2335" t="s">
        <v>706</v>
      </c>
      <c r="B2335" s="6">
        <v>44287</v>
      </c>
      <c r="C2335" s="6">
        <v>44651</v>
      </c>
      <c r="D2335">
        <v>20210401</v>
      </c>
      <c r="E2335">
        <v>20220331</v>
      </c>
      <c r="F2335" t="s">
        <v>5446</v>
      </c>
      <c r="G2335" t="s">
        <v>5447</v>
      </c>
      <c r="H2335" t="s">
        <v>590</v>
      </c>
      <c r="I2335" t="s">
        <v>805</v>
      </c>
      <c r="J2335">
        <v>599</v>
      </c>
      <c r="K2335">
        <v>37138</v>
      </c>
      <c r="L2335">
        <v>150</v>
      </c>
      <c r="M2335">
        <v>126206.5</v>
      </c>
      <c r="N2335">
        <v>-749</v>
      </c>
      <c r="O2335">
        <v>-163344.51</v>
      </c>
      <c r="Y2335">
        <v>-0.01</v>
      </c>
      <c r="Z2335" s="3">
        <f t="shared" si="36"/>
        <v>218.08345794392525</v>
      </c>
    </row>
    <row r="2336" spans="1:26" hidden="1">
      <c r="A2336" t="s">
        <v>706</v>
      </c>
      <c r="B2336" s="6">
        <v>44287</v>
      </c>
      <c r="C2336" s="6">
        <v>44651</v>
      </c>
      <c r="D2336">
        <v>20210401</v>
      </c>
      <c r="E2336">
        <v>20220331</v>
      </c>
      <c r="F2336" t="s">
        <v>5448</v>
      </c>
      <c r="G2336" t="s">
        <v>5449</v>
      </c>
      <c r="H2336" t="s">
        <v>590</v>
      </c>
      <c r="I2336" t="s">
        <v>875</v>
      </c>
      <c r="J2336">
        <v>69</v>
      </c>
      <c r="K2336">
        <v>44409.04</v>
      </c>
      <c r="L2336">
        <v>65</v>
      </c>
      <c r="M2336">
        <v>156385.45000000001</v>
      </c>
      <c r="N2336">
        <v>-134</v>
      </c>
      <c r="O2336">
        <v>-200794.5</v>
      </c>
      <c r="Y2336">
        <v>-0.01</v>
      </c>
      <c r="Z2336" s="3">
        <f t="shared" si="36"/>
        <v>1498.4664179104477</v>
      </c>
    </row>
    <row r="2337" spans="1:26" hidden="1">
      <c r="A2337" t="s">
        <v>706</v>
      </c>
      <c r="B2337" s="6">
        <v>44287</v>
      </c>
      <c r="C2337" s="6">
        <v>44651</v>
      </c>
      <c r="D2337">
        <v>20210401</v>
      </c>
      <c r="E2337">
        <v>20220331</v>
      </c>
      <c r="F2337" t="s">
        <v>5450</v>
      </c>
      <c r="G2337" t="s">
        <v>5451</v>
      </c>
      <c r="H2337" t="s">
        <v>590</v>
      </c>
      <c r="I2337" t="s">
        <v>1462</v>
      </c>
      <c r="L2337">
        <v>14</v>
      </c>
      <c r="M2337">
        <v>10221.6</v>
      </c>
      <c r="N2337">
        <v>-14</v>
      </c>
      <c r="O2337">
        <v>-10221.6</v>
      </c>
      <c r="Z2337" s="3">
        <f t="shared" si="36"/>
        <v>730.11428571428576</v>
      </c>
    </row>
    <row r="2338" spans="1:26" hidden="1">
      <c r="A2338" t="s">
        <v>706</v>
      </c>
      <c r="B2338" s="6">
        <v>44287</v>
      </c>
      <c r="C2338" s="6">
        <v>44651</v>
      </c>
      <c r="D2338">
        <v>20210401</v>
      </c>
      <c r="E2338">
        <v>20220331</v>
      </c>
      <c r="F2338" t="s">
        <v>5452</v>
      </c>
      <c r="G2338" t="s">
        <v>5453</v>
      </c>
      <c r="H2338" t="s">
        <v>590</v>
      </c>
      <c r="I2338" t="s">
        <v>805</v>
      </c>
      <c r="L2338">
        <v>11</v>
      </c>
      <c r="M2338">
        <v>2175</v>
      </c>
      <c r="N2338">
        <v>-11</v>
      </c>
      <c r="O2338">
        <v>-2175</v>
      </c>
      <c r="Z2338" s="3">
        <f t="shared" si="36"/>
        <v>197.72727272727272</v>
      </c>
    </row>
    <row r="2339" spans="1:26" hidden="1">
      <c r="A2339" t="s">
        <v>706</v>
      </c>
      <c r="B2339" s="6">
        <v>44287</v>
      </c>
      <c r="C2339" s="6">
        <v>44651</v>
      </c>
      <c r="D2339">
        <v>20210401</v>
      </c>
      <c r="E2339">
        <v>20220331</v>
      </c>
      <c r="F2339" t="s">
        <v>5454</v>
      </c>
      <c r="G2339" t="s">
        <v>5455</v>
      </c>
      <c r="H2339" t="s">
        <v>590</v>
      </c>
      <c r="I2339" t="s">
        <v>805</v>
      </c>
      <c r="J2339">
        <v>114</v>
      </c>
      <c r="K2339">
        <v>114</v>
      </c>
      <c r="N2339">
        <v>-114</v>
      </c>
      <c r="O2339">
        <v>-114</v>
      </c>
      <c r="Z2339" s="3">
        <f t="shared" si="36"/>
        <v>1</v>
      </c>
    </row>
    <row r="2340" spans="1:26" hidden="1">
      <c r="A2340" t="s">
        <v>706</v>
      </c>
      <c r="B2340" s="6">
        <v>44287</v>
      </c>
      <c r="C2340" s="6">
        <v>44651</v>
      </c>
      <c r="D2340">
        <v>20210401</v>
      </c>
      <c r="E2340">
        <v>20220331</v>
      </c>
      <c r="F2340" t="s">
        <v>5456</v>
      </c>
      <c r="G2340" t="s">
        <v>5457</v>
      </c>
      <c r="H2340" t="s">
        <v>590</v>
      </c>
      <c r="I2340" t="s">
        <v>805</v>
      </c>
      <c r="J2340">
        <v>1</v>
      </c>
      <c r="K2340">
        <v>1</v>
      </c>
      <c r="N2340">
        <v>-1</v>
      </c>
      <c r="O2340">
        <v>-1</v>
      </c>
      <c r="Z2340" s="3">
        <f t="shared" si="36"/>
        <v>1</v>
      </c>
    </row>
    <row r="2341" spans="1:26" hidden="1">
      <c r="A2341" t="s">
        <v>706</v>
      </c>
      <c r="B2341" s="6">
        <v>44287</v>
      </c>
      <c r="C2341" s="6">
        <v>44651</v>
      </c>
      <c r="D2341">
        <v>20210401</v>
      </c>
      <c r="E2341">
        <v>20220331</v>
      </c>
      <c r="F2341" t="s">
        <v>5458</v>
      </c>
      <c r="G2341" t="s">
        <v>5459</v>
      </c>
      <c r="H2341" t="s">
        <v>1973</v>
      </c>
      <c r="I2341" t="s">
        <v>805</v>
      </c>
      <c r="J2341">
        <v>3</v>
      </c>
      <c r="K2341">
        <v>1500</v>
      </c>
      <c r="L2341">
        <v>2</v>
      </c>
      <c r="M2341">
        <v>3811.5</v>
      </c>
      <c r="N2341">
        <v>-5</v>
      </c>
      <c r="O2341">
        <v>-5311.51</v>
      </c>
      <c r="Y2341">
        <v>-0.01</v>
      </c>
      <c r="Z2341" s="3">
        <f t="shared" si="36"/>
        <v>1062.3020000000001</v>
      </c>
    </row>
    <row r="2342" spans="1:26" hidden="1">
      <c r="A2342" t="s">
        <v>706</v>
      </c>
      <c r="B2342" s="6">
        <v>44287</v>
      </c>
      <c r="C2342" s="6">
        <v>44651</v>
      </c>
      <c r="D2342">
        <v>20210401</v>
      </c>
      <c r="E2342">
        <v>20220331</v>
      </c>
      <c r="F2342" t="s">
        <v>5460</v>
      </c>
      <c r="G2342" t="s">
        <v>5461</v>
      </c>
      <c r="H2342" t="s">
        <v>590</v>
      </c>
      <c r="I2342" t="s">
        <v>805</v>
      </c>
      <c r="L2342">
        <v>1</v>
      </c>
      <c r="M2342">
        <v>12478.05</v>
      </c>
      <c r="N2342">
        <v>-1</v>
      </c>
      <c r="O2342">
        <v>-12478.05</v>
      </c>
      <c r="Z2342" s="3">
        <f t="shared" si="36"/>
        <v>12478.05</v>
      </c>
    </row>
    <row r="2343" spans="1:26" hidden="1">
      <c r="A2343" t="s">
        <v>706</v>
      </c>
      <c r="B2343" s="6">
        <v>44287</v>
      </c>
      <c r="C2343" s="6">
        <v>44651</v>
      </c>
      <c r="D2343">
        <v>20210401</v>
      </c>
      <c r="E2343">
        <v>20220331</v>
      </c>
      <c r="F2343" t="s">
        <v>5462</v>
      </c>
      <c r="G2343" t="s">
        <v>5463</v>
      </c>
      <c r="H2343" t="s">
        <v>590</v>
      </c>
      <c r="I2343" t="s">
        <v>805</v>
      </c>
      <c r="L2343">
        <v>35</v>
      </c>
      <c r="M2343">
        <v>33893.15</v>
      </c>
      <c r="N2343">
        <v>-35</v>
      </c>
      <c r="O2343">
        <v>-33893.15</v>
      </c>
      <c r="Z2343" s="3">
        <f t="shared" si="36"/>
        <v>968.37571428571437</v>
      </c>
    </row>
    <row r="2344" spans="1:26" hidden="1">
      <c r="A2344" t="s">
        <v>706</v>
      </c>
      <c r="B2344" s="6">
        <v>44287</v>
      </c>
      <c r="C2344" s="6">
        <v>44651</v>
      </c>
      <c r="D2344">
        <v>20210401</v>
      </c>
      <c r="E2344">
        <v>20220331</v>
      </c>
      <c r="F2344" t="s">
        <v>5464</v>
      </c>
      <c r="G2344" t="s">
        <v>5465</v>
      </c>
      <c r="H2344" t="s">
        <v>590</v>
      </c>
      <c r="I2344" t="s">
        <v>805</v>
      </c>
      <c r="J2344">
        <v>4</v>
      </c>
      <c r="K2344">
        <v>4</v>
      </c>
      <c r="L2344">
        <v>20</v>
      </c>
      <c r="M2344">
        <v>24257</v>
      </c>
      <c r="N2344">
        <v>-24</v>
      </c>
      <c r="O2344">
        <v>-24261</v>
      </c>
      <c r="Z2344" s="3">
        <f t="shared" si="36"/>
        <v>1010.875</v>
      </c>
    </row>
    <row r="2345" spans="1:26" hidden="1">
      <c r="A2345" t="s">
        <v>706</v>
      </c>
      <c r="B2345" s="6">
        <v>44287</v>
      </c>
      <c r="C2345" s="6">
        <v>44651</v>
      </c>
      <c r="D2345">
        <v>20210401</v>
      </c>
      <c r="E2345">
        <v>20220331</v>
      </c>
      <c r="F2345" t="s">
        <v>5466</v>
      </c>
      <c r="G2345" t="s">
        <v>5467</v>
      </c>
      <c r="H2345" t="s">
        <v>590</v>
      </c>
      <c r="I2345" t="s">
        <v>1462</v>
      </c>
      <c r="L2345">
        <v>5</v>
      </c>
      <c r="M2345">
        <v>10699.75</v>
      </c>
      <c r="N2345">
        <v>-5</v>
      </c>
      <c r="O2345">
        <v>-10699.75</v>
      </c>
      <c r="Z2345" s="3">
        <f t="shared" si="36"/>
        <v>2139.9499999999998</v>
      </c>
    </row>
    <row r="2346" spans="1:26" hidden="1">
      <c r="A2346" t="s">
        <v>706</v>
      </c>
      <c r="B2346" s="6">
        <v>44287</v>
      </c>
      <c r="C2346" s="6">
        <v>44651</v>
      </c>
      <c r="D2346">
        <v>20210401</v>
      </c>
      <c r="E2346">
        <v>20220331</v>
      </c>
      <c r="F2346" t="s">
        <v>5468</v>
      </c>
      <c r="G2346" t="s">
        <v>5469</v>
      </c>
      <c r="H2346" t="s">
        <v>1973</v>
      </c>
      <c r="I2346" t="s">
        <v>774</v>
      </c>
      <c r="J2346">
        <v>1</v>
      </c>
      <c r="K2346">
        <v>700</v>
      </c>
      <c r="L2346">
        <v>4</v>
      </c>
      <c r="M2346">
        <v>9306.1</v>
      </c>
      <c r="N2346">
        <v>-5</v>
      </c>
      <c r="O2346">
        <v>-10006.09</v>
      </c>
      <c r="Y2346">
        <v>0.01</v>
      </c>
      <c r="Z2346" s="3">
        <f t="shared" si="36"/>
        <v>2001.2180000000001</v>
      </c>
    </row>
    <row r="2347" spans="1:26" hidden="1">
      <c r="A2347" t="s">
        <v>706</v>
      </c>
      <c r="B2347" s="6">
        <v>44287</v>
      </c>
      <c r="C2347" s="6">
        <v>44651</v>
      </c>
      <c r="D2347">
        <v>20210401</v>
      </c>
      <c r="E2347">
        <v>20220331</v>
      </c>
      <c r="F2347" t="s">
        <v>5470</v>
      </c>
      <c r="G2347" t="s">
        <v>5471</v>
      </c>
      <c r="H2347" t="s">
        <v>1973</v>
      </c>
      <c r="I2347" t="s">
        <v>805</v>
      </c>
      <c r="J2347">
        <v>1</v>
      </c>
      <c r="K2347">
        <v>500</v>
      </c>
      <c r="N2347">
        <v>-1</v>
      </c>
      <c r="O2347">
        <v>-500</v>
      </c>
      <c r="Z2347" s="3">
        <f t="shared" si="36"/>
        <v>500</v>
      </c>
    </row>
    <row r="2348" spans="1:26" hidden="1">
      <c r="A2348" t="s">
        <v>706</v>
      </c>
      <c r="B2348" s="6">
        <v>44287</v>
      </c>
      <c r="C2348" s="6">
        <v>44651</v>
      </c>
      <c r="D2348">
        <v>20210401</v>
      </c>
      <c r="E2348">
        <v>20220331</v>
      </c>
      <c r="F2348" t="s">
        <v>5472</v>
      </c>
      <c r="G2348" t="s">
        <v>5473</v>
      </c>
      <c r="H2348" t="s">
        <v>1973</v>
      </c>
      <c r="I2348" t="s">
        <v>805</v>
      </c>
      <c r="J2348">
        <v>1</v>
      </c>
      <c r="K2348">
        <v>700</v>
      </c>
      <c r="L2348">
        <v>2</v>
      </c>
      <c r="M2348">
        <v>13154.4</v>
      </c>
      <c r="N2348">
        <v>-3</v>
      </c>
      <c r="O2348">
        <v>-13854.4</v>
      </c>
      <c r="Z2348" s="3">
        <f t="shared" si="36"/>
        <v>4618.1333333333332</v>
      </c>
    </row>
    <row r="2349" spans="1:26" hidden="1">
      <c r="A2349" t="s">
        <v>706</v>
      </c>
      <c r="B2349" s="6">
        <v>44287</v>
      </c>
      <c r="C2349" s="6">
        <v>44651</v>
      </c>
      <c r="D2349">
        <v>20210401</v>
      </c>
      <c r="E2349">
        <v>20220331</v>
      </c>
      <c r="F2349" t="s">
        <v>5474</v>
      </c>
      <c r="G2349" t="s">
        <v>5475</v>
      </c>
      <c r="H2349" t="s">
        <v>590</v>
      </c>
      <c r="I2349" t="s">
        <v>805</v>
      </c>
      <c r="L2349">
        <v>3</v>
      </c>
      <c r="M2349">
        <v>31224.22</v>
      </c>
      <c r="N2349">
        <v>-3</v>
      </c>
      <c r="O2349">
        <v>-31224.22</v>
      </c>
      <c r="Z2349" s="3">
        <f t="shared" si="36"/>
        <v>10408.073333333334</v>
      </c>
    </row>
    <row r="2350" spans="1:26" hidden="1">
      <c r="A2350" t="s">
        <v>706</v>
      </c>
      <c r="B2350" s="6">
        <v>44287</v>
      </c>
      <c r="C2350" s="6">
        <v>44651</v>
      </c>
      <c r="D2350">
        <v>20210401</v>
      </c>
      <c r="E2350">
        <v>20220331</v>
      </c>
      <c r="F2350" t="s">
        <v>5476</v>
      </c>
      <c r="G2350" t="s">
        <v>5477</v>
      </c>
      <c r="H2350" t="s">
        <v>590</v>
      </c>
      <c r="I2350" t="s">
        <v>805</v>
      </c>
      <c r="J2350">
        <v>1</v>
      </c>
      <c r="K2350">
        <v>2197</v>
      </c>
      <c r="N2350">
        <v>-1</v>
      </c>
      <c r="O2350">
        <v>-2197</v>
      </c>
      <c r="Z2350" s="3">
        <f t="shared" si="36"/>
        <v>2197</v>
      </c>
    </row>
    <row r="2351" spans="1:26" hidden="1">
      <c r="A2351" t="s">
        <v>706</v>
      </c>
      <c r="B2351" s="6">
        <v>44287</v>
      </c>
      <c r="C2351" s="6">
        <v>44651</v>
      </c>
      <c r="D2351">
        <v>20210401</v>
      </c>
      <c r="E2351">
        <v>20220331</v>
      </c>
      <c r="F2351" t="s">
        <v>5478</v>
      </c>
      <c r="G2351" t="s">
        <v>5479</v>
      </c>
      <c r="H2351" t="s">
        <v>590</v>
      </c>
      <c r="I2351" t="s">
        <v>805</v>
      </c>
      <c r="J2351">
        <v>3</v>
      </c>
      <c r="K2351">
        <v>3</v>
      </c>
      <c r="N2351">
        <v>-3</v>
      </c>
      <c r="O2351">
        <v>-3</v>
      </c>
      <c r="Z2351" s="3">
        <f t="shared" si="36"/>
        <v>1</v>
      </c>
    </row>
    <row r="2352" spans="1:26" hidden="1">
      <c r="A2352" t="s">
        <v>706</v>
      </c>
      <c r="B2352" s="6">
        <v>44287</v>
      </c>
      <c r="C2352" s="6">
        <v>44651</v>
      </c>
      <c r="D2352">
        <v>20210401</v>
      </c>
      <c r="E2352">
        <v>20220331</v>
      </c>
      <c r="F2352" t="s">
        <v>5480</v>
      </c>
      <c r="G2352" t="s">
        <v>5481</v>
      </c>
      <c r="H2352" t="s">
        <v>590</v>
      </c>
      <c r="I2352" t="s">
        <v>805</v>
      </c>
      <c r="L2352">
        <v>29</v>
      </c>
      <c r="M2352">
        <v>12720</v>
      </c>
      <c r="N2352">
        <v>-29</v>
      </c>
      <c r="O2352">
        <v>-12720</v>
      </c>
      <c r="Z2352" s="3">
        <f t="shared" si="36"/>
        <v>438.62068965517244</v>
      </c>
    </row>
    <row r="2353" spans="1:26" hidden="1">
      <c r="A2353" t="s">
        <v>706</v>
      </c>
      <c r="B2353" s="6">
        <v>44287</v>
      </c>
      <c r="C2353" s="6">
        <v>44651</v>
      </c>
      <c r="D2353">
        <v>20210401</v>
      </c>
      <c r="E2353">
        <v>20220331</v>
      </c>
      <c r="F2353" t="s">
        <v>5482</v>
      </c>
      <c r="G2353" t="s">
        <v>5483</v>
      </c>
      <c r="H2353" t="s">
        <v>590</v>
      </c>
      <c r="I2353" t="s">
        <v>805</v>
      </c>
      <c r="L2353">
        <v>20</v>
      </c>
      <c r="M2353">
        <v>16827.5</v>
      </c>
      <c r="N2353">
        <v>-20</v>
      </c>
      <c r="O2353">
        <v>-16827.5</v>
      </c>
      <c r="Z2353" s="3">
        <f t="shared" si="36"/>
        <v>841.375</v>
      </c>
    </row>
    <row r="2354" spans="1:26" hidden="1">
      <c r="A2354" t="s">
        <v>706</v>
      </c>
      <c r="B2354" s="6">
        <v>44287</v>
      </c>
      <c r="C2354" s="6">
        <v>44651</v>
      </c>
      <c r="D2354">
        <v>20210401</v>
      </c>
      <c r="E2354">
        <v>20220331</v>
      </c>
      <c r="F2354" t="s">
        <v>5484</v>
      </c>
      <c r="G2354" t="s">
        <v>5485</v>
      </c>
      <c r="H2354" t="s">
        <v>590</v>
      </c>
      <c r="I2354" t="s">
        <v>805</v>
      </c>
      <c r="J2354">
        <v>1</v>
      </c>
      <c r="K2354">
        <v>1</v>
      </c>
      <c r="N2354">
        <v>-1</v>
      </c>
      <c r="O2354">
        <v>-1</v>
      </c>
      <c r="Z2354" s="3">
        <f t="shared" si="36"/>
        <v>1</v>
      </c>
    </row>
    <row r="2355" spans="1:26" hidden="1">
      <c r="A2355" t="s">
        <v>706</v>
      </c>
      <c r="B2355" s="6">
        <v>44287</v>
      </c>
      <c r="C2355" s="6">
        <v>44651</v>
      </c>
      <c r="D2355">
        <v>20210401</v>
      </c>
      <c r="E2355">
        <v>20220331</v>
      </c>
      <c r="F2355" t="s">
        <v>5486</v>
      </c>
      <c r="G2355" t="s">
        <v>5455</v>
      </c>
      <c r="H2355" t="s">
        <v>590</v>
      </c>
      <c r="I2355" t="s">
        <v>805</v>
      </c>
      <c r="J2355">
        <v>11</v>
      </c>
      <c r="K2355">
        <v>11</v>
      </c>
      <c r="L2355">
        <v>150</v>
      </c>
      <c r="M2355">
        <v>126206.5</v>
      </c>
      <c r="N2355">
        <v>-161</v>
      </c>
      <c r="O2355">
        <v>-126217.5</v>
      </c>
      <c r="Z2355" s="3">
        <f t="shared" si="36"/>
        <v>783.95962732919259</v>
      </c>
    </row>
    <row r="2356" spans="1:26" hidden="1">
      <c r="A2356" t="s">
        <v>706</v>
      </c>
      <c r="B2356" s="6">
        <v>44287</v>
      </c>
      <c r="C2356" s="6">
        <v>44651</v>
      </c>
      <c r="D2356">
        <v>20210401</v>
      </c>
      <c r="E2356">
        <v>20220331</v>
      </c>
      <c r="F2356" t="s">
        <v>5487</v>
      </c>
      <c r="G2356" t="s">
        <v>5488</v>
      </c>
      <c r="I2356" t="s">
        <v>805</v>
      </c>
      <c r="L2356">
        <v>1</v>
      </c>
      <c r="M2356">
        <v>2150</v>
      </c>
      <c r="N2356">
        <v>-1</v>
      </c>
      <c r="O2356">
        <v>-2150</v>
      </c>
      <c r="Z2356" s="3">
        <f t="shared" si="36"/>
        <v>2150</v>
      </c>
    </row>
    <row r="2357" spans="1:26" hidden="1">
      <c r="A2357" t="s">
        <v>706</v>
      </c>
      <c r="B2357" s="6">
        <v>44287</v>
      </c>
      <c r="C2357" s="6">
        <v>44651</v>
      </c>
      <c r="D2357">
        <v>20210401</v>
      </c>
      <c r="E2357">
        <v>20220331</v>
      </c>
      <c r="F2357" t="s">
        <v>5489</v>
      </c>
      <c r="G2357" t="s">
        <v>5490</v>
      </c>
      <c r="H2357" t="s">
        <v>590</v>
      </c>
      <c r="I2357" t="s">
        <v>1462</v>
      </c>
      <c r="L2357">
        <v>190</v>
      </c>
      <c r="M2357">
        <v>580</v>
      </c>
      <c r="N2357">
        <v>-242</v>
      </c>
      <c r="O2357">
        <v>-697</v>
      </c>
      <c r="P2357">
        <v>52</v>
      </c>
      <c r="Q2357">
        <v>117</v>
      </c>
      <c r="Z2357" s="3">
        <f t="shared" si="36"/>
        <v>3.0526315789473686</v>
      </c>
    </row>
    <row r="2358" spans="1:26" hidden="1">
      <c r="A2358" t="s">
        <v>706</v>
      </c>
      <c r="B2358" s="6">
        <v>44287</v>
      </c>
      <c r="C2358" s="6">
        <v>44651</v>
      </c>
      <c r="D2358">
        <v>20210401</v>
      </c>
      <c r="E2358">
        <v>20220331</v>
      </c>
      <c r="F2358" t="s">
        <v>5491</v>
      </c>
      <c r="G2358" t="s">
        <v>5492</v>
      </c>
      <c r="H2358" t="s">
        <v>590</v>
      </c>
      <c r="I2358" t="s">
        <v>1462</v>
      </c>
      <c r="L2358">
        <v>10</v>
      </c>
      <c r="M2358">
        <v>50</v>
      </c>
      <c r="N2358">
        <v>-10</v>
      </c>
      <c r="O2358">
        <v>-50</v>
      </c>
      <c r="Z2358" s="3">
        <f t="shared" si="36"/>
        <v>5</v>
      </c>
    </row>
    <row r="2359" spans="1:26" hidden="1">
      <c r="A2359" t="s">
        <v>706</v>
      </c>
      <c r="B2359" s="6">
        <v>44287</v>
      </c>
      <c r="C2359" s="6">
        <v>44651</v>
      </c>
      <c r="D2359">
        <v>20210401</v>
      </c>
      <c r="E2359">
        <v>20220331</v>
      </c>
      <c r="F2359" t="s">
        <v>5493</v>
      </c>
      <c r="G2359" t="s">
        <v>5494</v>
      </c>
      <c r="H2359" t="s">
        <v>590</v>
      </c>
      <c r="I2359" t="s">
        <v>805</v>
      </c>
      <c r="L2359">
        <v>50</v>
      </c>
      <c r="M2359">
        <v>165814</v>
      </c>
      <c r="N2359">
        <v>-50</v>
      </c>
      <c r="O2359">
        <v>-165814</v>
      </c>
      <c r="Z2359" s="3">
        <f t="shared" si="36"/>
        <v>3316.28</v>
      </c>
    </row>
    <row r="2360" spans="1:26" hidden="1">
      <c r="A2360" t="s">
        <v>706</v>
      </c>
      <c r="B2360" s="6">
        <v>44287</v>
      </c>
      <c r="C2360" s="6">
        <v>44651</v>
      </c>
      <c r="D2360">
        <v>20210401</v>
      </c>
      <c r="E2360">
        <v>20220331</v>
      </c>
      <c r="F2360" t="s">
        <v>5495</v>
      </c>
      <c r="G2360" t="s">
        <v>5496</v>
      </c>
      <c r="H2360" t="s">
        <v>590</v>
      </c>
      <c r="I2360" t="s">
        <v>805</v>
      </c>
      <c r="L2360">
        <v>20</v>
      </c>
      <c r="M2360">
        <v>16827.5</v>
      </c>
      <c r="N2360">
        <v>-20</v>
      </c>
      <c r="O2360">
        <v>-16827.5</v>
      </c>
      <c r="Z2360" s="3">
        <f t="shared" si="36"/>
        <v>841.375</v>
      </c>
    </row>
    <row r="2361" spans="1:26" hidden="1">
      <c r="A2361" t="s">
        <v>706</v>
      </c>
      <c r="B2361" s="6">
        <v>44287</v>
      </c>
      <c r="C2361" s="6">
        <v>44651</v>
      </c>
      <c r="D2361">
        <v>20210401</v>
      </c>
      <c r="E2361">
        <v>20220331</v>
      </c>
      <c r="F2361" t="s">
        <v>5497</v>
      </c>
      <c r="G2361" t="s">
        <v>5498</v>
      </c>
      <c r="H2361" t="s">
        <v>590</v>
      </c>
      <c r="I2361" t="s">
        <v>1462</v>
      </c>
      <c r="L2361">
        <v>4</v>
      </c>
      <c r="M2361">
        <v>18728</v>
      </c>
      <c r="N2361">
        <v>-4</v>
      </c>
      <c r="O2361">
        <v>-18728</v>
      </c>
      <c r="Z2361" s="3">
        <f t="shared" si="36"/>
        <v>4682</v>
      </c>
    </row>
    <row r="2362" spans="1:26" hidden="1">
      <c r="A2362" t="s">
        <v>706</v>
      </c>
      <c r="B2362" s="6">
        <v>44287</v>
      </c>
      <c r="C2362" s="6">
        <v>44651</v>
      </c>
      <c r="D2362">
        <v>20210401</v>
      </c>
      <c r="E2362">
        <v>20220331</v>
      </c>
      <c r="F2362" t="s">
        <v>5499</v>
      </c>
      <c r="G2362" t="s">
        <v>5500</v>
      </c>
      <c r="H2362" t="s">
        <v>590</v>
      </c>
      <c r="I2362" t="s">
        <v>805</v>
      </c>
      <c r="L2362">
        <v>4</v>
      </c>
      <c r="M2362">
        <v>19828</v>
      </c>
      <c r="N2362">
        <v>-4</v>
      </c>
      <c r="O2362">
        <v>-19828</v>
      </c>
      <c r="Z2362" s="3">
        <f t="shared" si="36"/>
        <v>4957</v>
      </c>
    </row>
    <row r="2363" spans="1:26" hidden="1">
      <c r="A2363" t="s">
        <v>706</v>
      </c>
      <c r="B2363" s="6">
        <v>44287</v>
      </c>
      <c r="C2363" s="6">
        <v>44651</v>
      </c>
      <c r="D2363">
        <v>20210401</v>
      </c>
      <c r="E2363">
        <v>20220331</v>
      </c>
      <c r="F2363" t="s">
        <v>5501</v>
      </c>
      <c r="G2363" t="s">
        <v>5502</v>
      </c>
      <c r="H2363" t="s">
        <v>590</v>
      </c>
      <c r="I2363" t="s">
        <v>1462</v>
      </c>
      <c r="L2363">
        <v>5</v>
      </c>
      <c r="M2363">
        <v>4199</v>
      </c>
      <c r="N2363">
        <v>-5</v>
      </c>
      <c r="O2363">
        <v>-4199</v>
      </c>
      <c r="Z2363" s="3">
        <f t="shared" si="36"/>
        <v>839.8</v>
      </c>
    </row>
    <row r="2364" spans="1:26" hidden="1">
      <c r="A2364" t="s">
        <v>706</v>
      </c>
      <c r="B2364" s="6">
        <v>44287</v>
      </c>
      <c r="C2364" s="6">
        <v>44651</v>
      </c>
      <c r="D2364">
        <v>20210401</v>
      </c>
      <c r="E2364">
        <v>20220331</v>
      </c>
      <c r="F2364" t="s">
        <v>5503</v>
      </c>
      <c r="G2364" t="s">
        <v>5504</v>
      </c>
      <c r="H2364" t="s">
        <v>590</v>
      </c>
      <c r="I2364" t="s">
        <v>1462</v>
      </c>
      <c r="L2364">
        <v>60</v>
      </c>
      <c r="M2364">
        <v>14100</v>
      </c>
      <c r="N2364">
        <v>-60</v>
      </c>
      <c r="O2364">
        <v>-14100</v>
      </c>
      <c r="Z2364" s="3">
        <f t="shared" si="36"/>
        <v>235</v>
      </c>
    </row>
    <row r="2365" spans="1:26" hidden="1">
      <c r="A2365" t="s">
        <v>706</v>
      </c>
      <c r="B2365" s="6">
        <v>44287</v>
      </c>
      <c r="C2365" s="6">
        <v>44651</v>
      </c>
      <c r="D2365">
        <v>20210401</v>
      </c>
      <c r="E2365">
        <v>20220331</v>
      </c>
      <c r="F2365" t="s">
        <v>5505</v>
      </c>
      <c r="G2365" t="s">
        <v>5506</v>
      </c>
      <c r="H2365" t="s">
        <v>590</v>
      </c>
      <c r="I2365" t="s">
        <v>774</v>
      </c>
      <c r="L2365">
        <v>3</v>
      </c>
      <c r="M2365">
        <v>15066</v>
      </c>
      <c r="N2365">
        <v>-3</v>
      </c>
      <c r="O2365">
        <v>-15066</v>
      </c>
      <c r="Z2365" s="3">
        <f t="shared" si="36"/>
        <v>5022</v>
      </c>
    </row>
    <row r="2366" spans="1:26" hidden="1">
      <c r="A2366" t="s">
        <v>706</v>
      </c>
      <c r="B2366" s="6">
        <v>44287</v>
      </c>
      <c r="C2366" s="6">
        <v>44651</v>
      </c>
      <c r="D2366">
        <v>20210401</v>
      </c>
      <c r="E2366">
        <v>20220331</v>
      </c>
      <c r="F2366" t="s">
        <v>5507</v>
      </c>
      <c r="G2366" t="s">
        <v>5508</v>
      </c>
      <c r="H2366" t="s">
        <v>590</v>
      </c>
      <c r="I2366" t="s">
        <v>774</v>
      </c>
      <c r="L2366">
        <v>10</v>
      </c>
      <c r="M2366">
        <v>1572.5</v>
      </c>
      <c r="N2366">
        <v>-10</v>
      </c>
      <c r="O2366">
        <v>-1572.5</v>
      </c>
      <c r="Z2366" s="3">
        <f t="shared" si="36"/>
        <v>157.25</v>
      </c>
    </row>
    <row r="2367" spans="1:26" hidden="1">
      <c r="A2367" t="s">
        <v>706</v>
      </c>
      <c r="B2367" s="6">
        <v>44287</v>
      </c>
      <c r="C2367" s="6">
        <v>44651</v>
      </c>
      <c r="D2367">
        <v>20210401</v>
      </c>
      <c r="E2367">
        <v>20220331</v>
      </c>
      <c r="F2367" t="s">
        <v>5509</v>
      </c>
      <c r="G2367" t="s">
        <v>5510</v>
      </c>
      <c r="H2367" t="s">
        <v>590</v>
      </c>
      <c r="I2367" t="s">
        <v>774</v>
      </c>
      <c r="J2367">
        <v>8</v>
      </c>
      <c r="K2367">
        <v>755.92</v>
      </c>
      <c r="L2367">
        <v>80</v>
      </c>
      <c r="M2367">
        <v>7559.2</v>
      </c>
      <c r="N2367">
        <v>-88</v>
      </c>
      <c r="O2367">
        <v>-8315.1200000000008</v>
      </c>
      <c r="Z2367" s="3">
        <f t="shared" si="36"/>
        <v>94.490000000000009</v>
      </c>
    </row>
    <row r="2368" spans="1:26" hidden="1">
      <c r="A2368" t="s">
        <v>706</v>
      </c>
      <c r="B2368" s="6">
        <v>44287</v>
      </c>
      <c r="C2368" s="6">
        <v>44651</v>
      </c>
      <c r="D2368">
        <v>20210401</v>
      </c>
      <c r="E2368">
        <v>20220331</v>
      </c>
      <c r="F2368" t="s">
        <v>5511</v>
      </c>
      <c r="G2368" t="s">
        <v>5512</v>
      </c>
      <c r="H2368" t="s">
        <v>590</v>
      </c>
      <c r="I2368" t="s">
        <v>774</v>
      </c>
      <c r="L2368">
        <v>20</v>
      </c>
      <c r="M2368">
        <v>2125</v>
      </c>
      <c r="N2368">
        <v>-20</v>
      </c>
      <c r="O2368">
        <v>-2125</v>
      </c>
      <c r="Z2368" s="3">
        <f t="shared" si="36"/>
        <v>106.25</v>
      </c>
    </row>
    <row r="2369" spans="1:26" hidden="1">
      <c r="A2369" t="s">
        <v>706</v>
      </c>
      <c r="B2369" s="6">
        <v>44287</v>
      </c>
      <c r="C2369" s="6">
        <v>44651</v>
      </c>
      <c r="D2369">
        <v>20210401</v>
      </c>
      <c r="E2369">
        <v>20220331</v>
      </c>
      <c r="F2369" t="s">
        <v>5513</v>
      </c>
      <c r="G2369" t="s">
        <v>5514</v>
      </c>
      <c r="H2369" t="s">
        <v>590</v>
      </c>
      <c r="I2369" t="s">
        <v>1462</v>
      </c>
      <c r="L2369">
        <v>1</v>
      </c>
      <c r="M2369">
        <v>1150</v>
      </c>
      <c r="N2369">
        <v>-1</v>
      </c>
      <c r="O2369">
        <v>-1150</v>
      </c>
      <c r="Z2369" s="3">
        <f t="shared" si="36"/>
        <v>1150</v>
      </c>
    </row>
    <row r="2370" spans="1:26" hidden="1">
      <c r="A2370" t="s">
        <v>706</v>
      </c>
      <c r="B2370" s="6">
        <v>44287</v>
      </c>
      <c r="C2370" s="6">
        <v>44651</v>
      </c>
      <c r="D2370">
        <v>20210401</v>
      </c>
      <c r="E2370">
        <v>20220331</v>
      </c>
      <c r="F2370" t="s">
        <v>5515</v>
      </c>
      <c r="G2370" t="s">
        <v>5516</v>
      </c>
      <c r="H2370" t="s">
        <v>590</v>
      </c>
      <c r="I2370" t="s">
        <v>1462</v>
      </c>
      <c r="L2370">
        <v>4</v>
      </c>
      <c r="M2370">
        <v>13500</v>
      </c>
      <c r="N2370">
        <v>-4</v>
      </c>
      <c r="O2370">
        <v>-13500</v>
      </c>
      <c r="Z2370" s="3">
        <f t="shared" si="36"/>
        <v>3375</v>
      </c>
    </row>
    <row r="2371" spans="1:26" hidden="1">
      <c r="A2371" t="s">
        <v>706</v>
      </c>
      <c r="B2371" s="6">
        <v>44287</v>
      </c>
      <c r="C2371" s="6">
        <v>44651</v>
      </c>
      <c r="D2371">
        <v>20210401</v>
      </c>
      <c r="E2371">
        <v>20220331</v>
      </c>
      <c r="F2371" t="s">
        <v>5517</v>
      </c>
      <c r="G2371" t="s">
        <v>5518</v>
      </c>
      <c r="H2371" t="s">
        <v>590</v>
      </c>
      <c r="I2371" t="s">
        <v>1462</v>
      </c>
      <c r="L2371">
        <v>5</v>
      </c>
      <c r="M2371">
        <v>7480</v>
      </c>
      <c r="N2371">
        <v>-5</v>
      </c>
      <c r="O2371">
        <v>-7480</v>
      </c>
      <c r="Z2371" s="3">
        <f t="shared" ref="Z2371:Z2434" si="37">IFERROR((O2371+Q2371)/(N2371+P2371),Y2371/X2371)</f>
        <v>1496</v>
      </c>
    </row>
    <row r="2372" spans="1:26" hidden="1">
      <c r="A2372" t="s">
        <v>706</v>
      </c>
      <c r="B2372" s="6">
        <v>44287</v>
      </c>
      <c r="C2372" s="6">
        <v>44651</v>
      </c>
      <c r="D2372">
        <v>20210401</v>
      </c>
      <c r="E2372">
        <v>20220331</v>
      </c>
      <c r="F2372" t="s">
        <v>5519</v>
      </c>
      <c r="G2372" t="s">
        <v>5520</v>
      </c>
      <c r="H2372" t="s">
        <v>590</v>
      </c>
      <c r="I2372" t="s">
        <v>1462</v>
      </c>
      <c r="L2372">
        <v>1</v>
      </c>
      <c r="M2372">
        <v>7000</v>
      </c>
      <c r="N2372">
        <v>-1</v>
      </c>
      <c r="O2372">
        <v>-7000</v>
      </c>
      <c r="Z2372" s="3">
        <f t="shared" si="37"/>
        <v>7000</v>
      </c>
    </row>
    <row r="2373" spans="1:26" hidden="1">
      <c r="A2373" t="s">
        <v>706</v>
      </c>
      <c r="B2373" s="6">
        <v>44287</v>
      </c>
      <c r="C2373" s="6">
        <v>44651</v>
      </c>
      <c r="D2373">
        <v>20210401</v>
      </c>
      <c r="E2373">
        <v>20220331</v>
      </c>
      <c r="F2373" t="s">
        <v>5521</v>
      </c>
      <c r="G2373" t="s">
        <v>5522</v>
      </c>
      <c r="H2373" t="s">
        <v>590</v>
      </c>
      <c r="I2373" t="s">
        <v>805</v>
      </c>
      <c r="L2373">
        <v>10</v>
      </c>
      <c r="M2373">
        <v>12240</v>
      </c>
      <c r="N2373">
        <v>-10</v>
      </c>
      <c r="O2373">
        <v>-12240</v>
      </c>
      <c r="Z2373" s="3">
        <f t="shared" si="37"/>
        <v>1224</v>
      </c>
    </row>
    <row r="2374" spans="1:26" hidden="1">
      <c r="A2374" t="s">
        <v>706</v>
      </c>
      <c r="B2374" s="6">
        <v>44287</v>
      </c>
      <c r="C2374" s="6">
        <v>44651</v>
      </c>
      <c r="D2374">
        <v>20210401</v>
      </c>
      <c r="E2374">
        <v>20220331</v>
      </c>
      <c r="F2374" t="s">
        <v>5523</v>
      </c>
      <c r="G2374" t="s">
        <v>5524</v>
      </c>
      <c r="H2374" t="s">
        <v>590</v>
      </c>
      <c r="I2374" t="s">
        <v>805</v>
      </c>
      <c r="L2374">
        <v>11</v>
      </c>
      <c r="M2374">
        <v>3565</v>
      </c>
      <c r="N2374">
        <v>-11</v>
      </c>
      <c r="O2374">
        <v>-3565</v>
      </c>
      <c r="Z2374" s="3">
        <f t="shared" si="37"/>
        <v>324.09090909090907</v>
      </c>
    </row>
    <row r="2375" spans="1:26" hidden="1">
      <c r="A2375" t="s">
        <v>706</v>
      </c>
      <c r="B2375" s="6">
        <v>44287</v>
      </c>
      <c r="C2375" s="6">
        <v>44651</v>
      </c>
      <c r="D2375">
        <v>20210401</v>
      </c>
      <c r="E2375">
        <v>20220331</v>
      </c>
      <c r="F2375" t="s">
        <v>5525</v>
      </c>
      <c r="G2375" t="s">
        <v>5526</v>
      </c>
      <c r="H2375" t="s">
        <v>590</v>
      </c>
      <c r="I2375" t="s">
        <v>805</v>
      </c>
      <c r="J2375">
        <v>36</v>
      </c>
      <c r="K2375">
        <v>1368.75</v>
      </c>
      <c r="N2375">
        <v>-36</v>
      </c>
      <c r="O2375">
        <v>-1368.75</v>
      </c>
      <c r="Z2375" s="3">
        <f t="shared" si="37"/>
        <v>38.020833333333336</v>
      </c>
    </row>
    <row r="2376" spans="1:26" hidden="1">
      <c r="A2376" t="s">
        <v>706</v>
      </c>
      <c r="B2376" s="6">
        <v>44287</v>
      </c>
      <c r="C2376" s="6">
        <v>44651</v>
      </c>
      <c r="D2376">
        <v>20210401</v>
      </c>
      <c r="E2376">
        <v>20220331</v>
      </c>
      <c r="F2376" t="s">
        <v>5527</v>
      </c>
      <c r="G2376" t="s">
        <v>5528</v>
      </c>
      <c r="H2376" t="s">
        <v>590</v>
      </c>
      <c r="I2376" t="s">
        <v>805</v>
      </c>
      <c r="J2376">
        <v>32</v>
      </c>
      <c r="K2376">
        <v>1920</v>
      </c>
      <c r="N2376">
        <v>-32</v>
      </c>
      <c r="O2376">
        <v>-1920</v>
      </c>
      <c r="Z2376" s="3">
        <f t="shared" si="37"/>
        <v>60</v>
      </c>
    </row>
    <row r="2377" spans="1:26" hidden="1">
      <c r="A2377" t="s">
        <v>706</v>
      </c>
      <c r="B2377" s="6">
        <v>44287</v>
      </c>
      <c r="C2377" s="6">
        <v>44651</v>
      </c>
      <c r="D2377">
        <v>20210401</v>
      </c>
      <c r="E2377">
        <v>20220331</v>
      </c>
      <c r="F2377" t="s">
        <v>5529</v>
      </c>
      <c r="G2377" t="s">
        <v>5530</v>
      </c>
      <c r="H2377" t="s">
        <v>590</v>
      </c>
      <c r="I2377" t="s">
        <v>805</v>
      </c>
      <c r="J2377">
        <v>33</v>
      </c>
      <c r="K2377">
        <v>1930.32</v>
      </c>
      <c r="N2377">
        <v>-33</v>
      </c>
      <c r="O2377">
        <v>-1930.37</v>
      </c>
      <c r="Y2377">
        <v>-0.05</v>
      </c>
      <c r="Z2377" s="3">
        <f t="shared" si="37"/>
        <v>58.496060606060603</v>
      </c>
    </row>
    <row r="2378" spans="1:26" hidden="1">
      <c r="A2378" t="s">
        <v>706</v>
      </c>
      <c r="B2378" s="6">
        <v>44287</v>
      </c>
      <c r="C2378" s="6">
        <v>44651</v>
      </c>
      <c r="D2378">
        <v>20210401</v>
      </c>
      <c r="E2378">
        <v>20220331</v>
      </c>
      <c r="F2378" t="s">
        <v>5531</v>
      </c>
      <c r="G2378" t="s">
        <v>5532</v>
      </c>
      <c r="H2378" t="s">
        <v>590</v>
      </c>
      <c r="I2378" t="s">
        <v>805</v>
      </c>
      <c r="L2378">
        <v>17</v>
      </c>
      <c r="M2378">
        <v>4704.5</v>
      </c>
      <c r="N2378">
        <v>-17</v>
      </c>
      <c r="O2378">
        <v>-4704.5</v>
      </c>
      <c r="Z2378" s="3">
        <f t="shared" si="37"/>
        <v>276.73529411764707</v>
      </c>
    </row>
    <row r="2379" spans="1:26" hidden="1">
      <c r="A2379" t="s">
        <v>706</v>
      </c>
      <c r="B2379" s="6">
        <v>44287</v>
      </c>
      <c r="C2379" s="6">
        <v>44651</v>
      </c>
      <c r="D2379">
        <v>20210401</v>
      </c>
      <c r="E2379">
        <v>20220331</v>
      </c>
      <c r="F2379" t="s">
        <v>5533</v>
      </c>
      <c r="G2379" t="s">
        <v>5534</v>
      </c>
      <c r="H2379" t="s">
        <v>590</v>
      </c>
      <c r="I2379" t="s">
        <v>805</v>
      </c>
      <c r="J2379">
        <v>16</v>
      </c>
      <c r="K2379">
        <v>1476.8</v>
      </c>
      <c r="N2379">
        <v>-16</v>
      </c>
      <c r="O2379">
        <v>-1476.8</v>
      </c>
      <c r="Z2379" s="3">
        <f t="shared" si="37"/>
        <v>92.3</v>
      </c>
    </row>
    <row r="2380" spans="1:26" hidden="1">
      <c r="A2380" t="s">
        <v>706</v>
      </c>
      <c r="B2380" s="6">
        <v>44287</v>
      </c>
      <c r="C2380" s="6">
        <v>44651</v>
      </c>
      <c r="D2380">
        <v>20210401</v>
      </c>
      <c r="E2380">
        <v>20220331</v>
      </c>
      <c r="F2380" t="s">
        <v>5535</v>
      </c>
      <c r="G2380" t="s">
        <v>5536</v>
      </c>
      <c r="H2380" t="s">
        <v>590</v>
      </c>
      <c r="I2380" t="s">
        <v>805</v>
      </c>
      <c r="J2380">
        <v>10</v>
      </c>
      <c r="K2380">
        <v>5900</v>
      </c>
      <c r="N2380">
        <v>-10</v>
      </c>
      <c r="O2380">
        <v>-5900</v>
      </c>
      <c r="Z2380" s="3">
        <f t="shared" si="37"/>
        <v>590</v>
      </c>
    </row>
    <row r="2381" spans="1:26" hidden="1">
      <c r="A2381" t="s">
        <v>706</v>
      </c>
      <c r="B2381" s="6">
        <v>44287</v>
      </c>
      <c r="C2381" s="6">
        <v>44651</v>
      </c>
      <c r="D2381">
        <v>20210401</v>
      </c>
      <c r="E2381">
        <v>20220331</v>
      </c>
      <c r="F2381" t="s">
        <v>5537</v>
      </c>
      <c r="G2381" t="s">
        <v>5538</v>
      </c>
      <c r="H2381" t="s">
        <v>590</v>
      </c>
      <c r="I2381" t="s">
        <v>805</v>
      </c>
      <c r="L2381">
        <v>15</v>
      </c>
      <c r="M2381">
        <v>1000</v>
      </c>
      <c r="N2381">
        <v>-15</v>
      </c>
      <c r="O2381">
        <v>-1000</v>
      </c>
      <c r="Z2381" s="3">
        <f t="shared" si="37"/>
        <v>66.666666666666671</v>
      </c>
    </row>
    <row r="2382" spans="1:26" hidden="1">
      <c r="A2382" t="s">
        <v>706</v>
      </c>
      <c r="B2382" s="6">
        <v>44287</v>
      </c>
      <c r="C2382" s="6">
        <v>44651</v>
      </c>
      <c r="D2382">
        <v>20210401</v>
      </c>
      <c r="E2382">
        <v>20220331</v>
      </c>
      <c r="F2382" t="s">
        <v>5539</v>
      </c>
      <c r="G2382" t="s">
        <v>5540</v>
      </c>
      <c r="H2382" t="s">
        <v>590</v>
      </c>
      <c r="I2382" t="s">
        <v>805</v>
      </c>
      <c r="L2382">
        <v>5</v>
      </c>
      <c r="M2382">
        <v>60</v>
      </c>
      <c r="N2382">
        <v>-5</v>
      </c>
      <c r="O2382">
        <v>-60</v>
      </c>
      <c r="Z2382" s="3">
        <f t="shared" si="37"/>
        <v>12</v>
      </c>
    </row>
    <row r="2383" spans="1:26" hidden="1">
      <c r="A2383" t="s">
        <v>706</v>
      </c>
      <c r="B2383" s="6">
        <v>44287</v>
      </c>
      <c r="C2383" s="6">
        <v>44651</v>
      </c>
      <c r="D2383">
        <v>20210401</v>
      </c>
      <c r="E2383">
        <v>20220331</v>
      </c>
      <c r="F2383" t="s">
        <v>5541</v>
      </c>
      <c r="G2383" t="s">
        <v>5542</v>
      </c>
      <c r="H2383" t="s">
        <v>590</v>
      </c>
      <c r="I2383" t="s">
        <v>805</v>
      </c>
      <c r="L2383">
        <v>3</v>
      </c>
      <c r="M2383">
        <v>3579.3</v>
      </c>
      <c r="N2383">
        <v>-3</v>
      </c>
      <c r="O2383">
        <v>-3579.3</v>
      </c>
      <c r="Z2383" s="3">
        <f t="shared" si="37"/>
        <v>1193.1000000000001</v>
      </c>
    </row>
    <row r="2384" spans="1:26" hidden="1">
      <c r="A2384" t="s">
        <v>706</v>
      </c>
      <c r="B2384" s="6">
        <v>44287</v>
      </c>
      <c r="C2384" s="6">
        <v>44651</v>
      </c>
      <c r="D2384">
        <v>20210401</v>
      </c>
      <c r="E2384">
        <v>20220331</v>
      </c>
      <c r="F2384" t="s">
        <v>5543</v>
      </c>
      <c r="G2384" t="s">
        <v>5544</v>
      </c>
      <c r="H2384" t="s">
        <v>590</v>
      </c>
      <c r="I2384" t="s">
        <v>1462</v>
      </c>
      <c r="N2384">
        <v>-2</v>
      </c>
      <c r="O2384">
        <v>-190</v>
      </c>
      <c r="P2384">
        <v>2</v>
      </c>
      <c r="Q2384">
        <v>190</v>
      </c>
      <c r="Z2384" s="3" t="e">
        <f t="shared" si="37"/>
        <v>#DIV/0!</v>
      </c>
    </row>
    <row r="2385" spans="1:26" hidden="1">
      <c r="A2385" t="s">
        <v>706</v>
      </c>
      <c r="B2385" s="6">
        <v>44287</v>
      </c>
      <c r="C2385" s="6">
        <v>44651</v>
      </c>
      <c r="D2385">
        <v>20210401</v>
      </c>
      <c r="E2385">
        <v>20220331</v>
      </c>
      <c r="F2385" t="s">
        <v>5545</v>
      </c>
      <c r="G2385" t="s">
        <v>5546</v>
      </c>
      <c r="H2385" t="s">
        <v>590</v>
      </c>
      <c r="I2385" t="s">
        <v>805</v>
      </c>
      <c r="L2385">
        <v>10</v>
      </c>
      <c r="M2385">
        <v>2430</v>
      </c>
      <c r="N2385">
        <v>-10</v>
      </c>
      <c r="O2385">
        <v>-2430</v>
      </c>
      <c r="Z2385" s="3">
        <f t="shared" si="37"/>
        <v>243</v>
      </c>
    </row>
    <row r="2386" spans="1:26" hidden="1">
      <c r="A2386" t="s">
        <v>706</v>
      </c>
      <c r="B2386" s="6">
        <v>44287</v>
      </c>
      <c r="C2386" s="6">
        <v>44651</v>
      </c>
      <c r="D2386">
        <v>20210401</v>
      </c>
      <c r="E2386">
        <v>20220331</v>
      </c>
      <c r="F2386" t="s">
        <v>5547</v>
      </c>
      <c r="G2386" t="s">
        <v>5548</v>
      </c>
      <c r="H2386" t="s">
        <v>590</v>
      </c>
      <c r="I2386" t="s">
        <v>805</v>
      </c>
      <c r="L2386">
        <v>2</v>
      </c>
      <c r="M2386">
        <v>408</v>
      </c>
      <c r="N2386">
        <v>-2</v>
      </c>
      <c r="O2386">
        <v>-408</v>
      </c>
      <c r="Z2386" s="3">
        <f t="shared" si="37"/>
        <v>204</v>
      </c>
    </row>
    <row r="2387" spans="1:26" hidden="1">
      <c r="A2387" t="s">
        <v>706</v>
      </c>
      <c r="B2387" s="6">
        <v>44287</v>
      </c>
      <c r="C2387" s="6">
        <v>44651</v>
      </c>
      <c r="D2387">
        <v>20210401</v>
      </c>
      <c r="E2387">
        <v>20220331</v>
      </c>
      <c r="F2387" t="s">
        <v>5549</v>
      </c>
      <c r="G2387" t="s">
        <v>5548</v>
      </c>
      <c r="H2387" t="s">
        <v>590</v>
      </c>
      <c r="I2387" t="s">
        <v>805</v>
      </c>
      <c r="L2387">
        <v>4</v>
      </c>
      <c r="M2387">
        <v>868</v>
      </c>
      <c r="N2387">
        <v>-4</v>
      </c>
      <c r="O2387">
        <v>-868</v>
      </c>
      <c r="Z2387" s="3">
        <f t="shared" si="37"/>
        <v>217</v>
      </c>
    </row>
    <row r="2388" spans="1:26" hidden="1">
      <c r="A2388" t="s">
        <v>706</v>
      </c>
      <c r="B2388" s="6">
        <v>44287</v>
      </c>
      <c r="C2388" s="6">
        <v>44651</v>
      </c>
      <c r="D2388">
        <v>20210401</v>
      </c>
      <c r="E2388">
        <v>20220331</v>
      </c>
      <c r="F2388" t="s">
        <v>5550</v>
      </c>
      <c r="G2388" t="s">
        <v>5551</v>
      </c>
      <c r="H2388" t="s">
        <v>590</v>
      </c>
      <c r="I2388" t="s">
        <v>1462</v>
      </c>
      <c r="L2388">
        <v>2</v>
      </c>
      <c r="M2388">
        <v>2960</v>
      </c>
      <c r="N2388">
        <v>-2</v>
      </c>
      <c r="O2388">
        <v>-2960</v>
      </c>
      <c r="Z2388" s="3">
        <f t="shared" si="37"/>
        <v>1480</v>
      </c>
    </row>
    <row r="2389" spans="1:26" hidden="1">
      <c r="A2389" t="s">
        <v>706</v>
      </c>
      <c r="B2389" s="6">
        <v>44287</v>
      </c>
      <c r="C2389" s="6">
        <v>44651</v>
      </c>
      <c r="D2389">
        <v>20210401</v>
      </c>
      <c r="E2389">
        <v>20220331</v>
      </c>
      <c r="F2389" t="s">
        <v>5552</v>
      </c>
      <c r="G2389" t="s">
        <v>5553</v>
      </c>
      <c r="H2389" t="s">
        <v>590</v>
      </c>
      <c r="I2389" t="s">
        <v>1462</v>
      </c>
      <c r="L2389">
        <v>5</v>
      </c>
      <c r="M2389">
        <v>4199</v>
      </c>
      <c r="N2389">
        <v>-5</v>
      </c>
      <c r="O2389">
        <v>-4199</v>
      </c>
      <c r="Z2389" s="3">
        <f t="shared" si="37"/>
        <v>839.8</v>
      </c>
    </row>
    <row r="2390" spans="1:26" hidden="1">
      <c r="A2390" t="s">
        <v>706</v>
      </c>
      <c r="B2390" s="6">
        <v>44287</v>
      </c>
      <c r="C2390" s="6">
        <v>44651</v>
      </c>
      <c r="D2390">
        <v>20210401</v>
      </c>
      <c r="E2390">
        <v>20220331</v>
      </c>
      <c r="F2390" t="s">
        <v>5554</v>
      </c>
      <c r="G2390" t="s">
        <v>5555</v>
      </c>
      <c r="H2390" t="s">
        <v>590</v>
      </c>
      <c r="I2390" t="s">
        <v>1462</v>
      </c>
      <c r="L2390">
        <v>4</v>
      </c>
      <c r="M2390">
        <v>3264</v>
      </c>
      <c r="N2390">
        <v>-4</v>
      </c>
      <c r="O2390">
        <v>-3264</v>
      </c>
      <c r="Z2390" s="3">
        <f t="shared" si="37"/>
        <v>816</v>
      </c>
    </row>
    <row r="2391" spans="1:26" hidden="1">
      <c r="A2391" t="s">
        <v>706</v>
      </c>
      <c r="B2391" s="6">
        <v>44287</v>
      </c>
      <c r="C2391" s="6">
        <v>44651</v>
      </c>
      <c r="D2391">
        <v>20210401</v>
      </c>
      <c r="E2391">
        <v>20220331</v>
      </c>
      <c r="F2391" t="s">
        <v>5556</v>
      </c>
      <c r="G2391" t="s">
        <v>5557</v>
      </c>
      <c r="H2391" t="s">
        <v>590</v>
      </c>
      <c r="I2391" t="s">
        <v>1462</v>
      </c>
      <c r="L2391">
        <v>7</v>
      </c>
      <c r="M2391">
        <v>5712</v>
      </c>
      <c r="N2391">
        <v>-7</v>
      </c>
      <c r="O2391">
        <v>-5712</v>
      </c>
      <c r="Z2391" s="3">
        <f t="shared" si="37"/>
        <v>816</v>
      </c>
    </row>
    <row r="2392" spans="1:26" hidden="1">
      <c r="A2392" t="s">
        <v>706</v>
      </c>
      <c r="B2392" s="6">
        <v>44287</v>
      </c>
      <c r="C2392" s="6">
        <v>44651</v>
      </c>
      <c r="D2392">
        <v>20210401</v>
      </c>
      <c r="E2392">
        <v>20220331</v>
      </c>
      <c r="F2392" t="s">
        <v>5558</v>
      </c>
      <c r="G2392" t="s">
        <v>5559</v>
      </c>
      <c r="H2392" t="s">
        <v>590</v>
      </c>
      <c r="I2392" t="s">
        <v>1462</v>
      </c>
      <c r="L2392">
        <v>17</v>
      </c>
      <c r="M2392">
        <v>18298.8</v>
      </c>
      <c r="N2392">
        <v>-17</v>
      </c>
      <c r="O2392">
        <v>-18298.8</v>
      </c>
      <c r="Z2392" s="3">
        <f t="shared" si="37"/>
        <v>1076.3999999999999</v>
      </c>
    </row>
    <row r="2393" spans="1:26" hidden="1">
      <c r="A2393" t="s">
        <v>706</v>
      </c>
      <c r="B2393" s="6">
        <v>44287</v>
      </c>
      <c r="C2393" s="6">
        <v>44651</v>
      </c>
      <c r="D2393">
        <v>20210401</v>
      </c>
      <c r="E2393">
        <v>20220331</v>
      </c>
      <c r="F2393" t="s">
        <v>5560</v>
      </c>
      <c r="G2393" t="s">
        <v>5561</v>
      </c>
      <c r="H2393" t="s">
        <v>590</v>
      </c>
      <c r="I2393" t="s">
        <v>805</v>
      </c>
      <c r="L2393">
        <v>10</v>
      </c>
      <c r="M2393">
        <v>1311.6</v>
      </c>
      <c r="N2393">
        <v>-10</v>
      </c>
      <c r="O2393">
        <v>-1311.6</v>
      </c>
      <c r="Z2393" s="3">
        <f t="shared" si="37"/>
        <v>131.16</v>
      </c>
    </row>
    <row r="2394" spans="1:26" hidden="1">
      <c r="A2394" t="s">
        <v>706</v>
      </c>
      <c r="B2394" s="6">
        <v>44287</v>
      </c>
      <c r="C2394" s="6">
        <v>44651</v>
      </c>
      <c r="D2394">
        <v>20210401</v>
      </c>
      <c r="E2394">
        <v>20220331</v>
      </c>
      <c r="F2394" t="s">
        <v>5562</v>
      </c>
      <c r="G2394" t="s">
        <v>5563</v>
      </c>
      <c r="H2394" t="s">
        <v>590</v>
      </c>
      <c r="I2394" t="s">
        <v>805</v>
      </c>
      <c r="L2394">
        <v>10</v>
      </c>
      <c r="M2394">
        <v>2850</v>
      </c>
      <c r="N2394">
        <v>-10</v>
      </c>
      <c r="O2394">
        <v>-2850</v>
      </c>
      <c r="Z2394" s="3">
        <f t="shared" si="37"/>
        <v>285</v>
      </c>
    </row>
    <row r="2395" spans="1:26" hidden="1">
      <c r="A2395" t="s">
        <v>706</v>
      </c>
      <c r="B2395" s="6">
        <v>44287</v>
      </c>
      <c r="C2395" s="6">
        <v>44651</v>
      </c>
      <c r="D2395">
        <v>20210401</v>
      </c>
      <c r="E2395">
        <v>20220331</v>
      </c>
      <c r="F2395" t="s">
        <v>5564</v>
      </c>
      <c r="G2395" t="s">
        <v>5565</v>
      </c>
      <c r="H2395" t="s">
        <v>590</v>
      </c>
      <c r="I2395" t="s">
        <v>805</v>
      </c>
      <c r="L2395">
        <v>5</v>
      </c>
      <c r="M2395">
        <v>60</v>
      </c>
      <c r="N2395">
        <v>-5</v>
      </c>
      <c r="O2395">
        <v>-60</v>
      </c>
      <c r="Z2395" s="3">
        <f t="shared" si="37"/>
        <v>12</v>
      </c>
    </row>
    <row r="2396" spans="1:26" hidden="1">
      <c r="A2396" t="s">
        <v>706</v>
      </c>
      <c r="B2396" s="6">
        <v>44287</v>
      </c>
      <c r="C2396" s="6">
        <v>44651</v>
      </c>
      <c r="D2396">
        <v>20210401</v>
      </c>
      <c r="E2396">
        <v>20220331</v>
      </c>
      <c r="F2396" t="s">
        <v>5566</v>
      </c>
      <c r="G2396" t="s">
        <v>5567</v>
      </c>
      <c r="H2396" t="s">
        <v>590</v>
      </c>
      <c r="I2396" t="s">
        <v>1462</v>
      </c>
      <c r="L2396">
        <v>13</v>
      </c>
      <c r="M2396">
        <v>11291.28</v>
      </c>
      <c r="N2396">
        <v>-13</v>
      </c>
      <c r="O2396">
        <v>-11291.28</v>
      </c>
      <c r="Z2396" s="3">
        <f t="shared" si="37"/>
        <v>868.56000000000006</v>
      </c>
    </row>
    <row r="2397" spans="1:26" hidden="1">
      <c r="A2397" t="s">
        <v>706</v>
      </c>
      <c r="B2397" s="6">
        <v>44287</v>
      </c>
      <c r="C2397" s="6">
        <v>44651</v>
      </c>
      <c r="D2397">
        <v>20210401</v>
      </c>
      <c r="E2397">
        <v>20220331</v>
      </c>
      <c r="F2397" t="s">
        <v>5568</v>
      </c>
      <c r="G2397" t="s">
        <v>5569</v>
      </c>
      <c r="H2397" t="s">
        <v>590</v>
      </c>
      <c r="I2397" t="s">
        <v>1462</v>
      </c>
      <c r="L2397">
        <v>29</v>
      </c>
      <c r="M2397">
        <v>57985.5</v>
      </c>
      <c r="N2397">
        <v>-29</v>
      </c>
      <c r="O2397">
        <v>-57985.5</v>
      </c>
      <c r="Z2397" s="3">
        <f t="shared" si="37"/>
        <v>1999.5</v>
      </c>
    </row>
    <row r="2398" spans="1:26" hidden="1">
      <c r="A2398" t="s">
        <v>706</v>
      </c>
      <c r="B2398" s="6">
        <v>44287</v>
      </c>
      <c r="C2398" s="6">
        <v>44651</v>
      </c>
      <c r="D2398">
        <v>20210401</v>
      </c>
      <c r="E2398">
        <v>20220331</v>
      </c>
      <c r="F2398" t="s">
        <v>5570</v>
      </c>
      <c r="G2398" t="s">
        <v>5571</v>
      </c>
      <c r="H2398" t="s">
        <v>590</v>
      </c>
      <c r="I2398" t="s">
        <v>1462</v>
      </c>
      <c r="P2398">
        <v>1</v>
      </c>
      <c r="Q2398">
        <v>4797</v>
      </c>
      <c r="R2398">
        <v>-1</v>
      </c>
      <c r="S2398">
        <v>-4797</v>
      </c>
      <c r="Z2398" s="3">
        <f t="shared" si="37"/>
        <v>4797</v>
      </c>
    </row>
    <row r="2399" spans="1:26" hidden="1">
      <c r="A2399" t="s">
        <v>706</v>
      </c>
      <c r="B2399" s="6">
        <v>44287</v>
      </c>
      <c r="C2399" s="6">
        <v>44651</v>
      </c>
      <c r="D2399">
        <v>20210401</v>
      </c>
      <c r="E2399">
        <v>20220331</v>
      </c>
      <c r="F2399" t="s">
        <v>5572</v>
      </c>
      <c r="G2399" t="s">
        <v>5573</v>
      </c>
      <c r="H2399" t="s">
        <v>590</v>
      </c>
      <c r="I2399" t="s">
        <v>1462</v>
      </c>
      <c r="L2399">
        <v>5</v>
      </c>
      <c r="M2399">
        <v>205</v>
      </c>
      <c r="N2399">
        <v>-5</v>
      </c>
      <c r="O2399">
        <v>-205</v>
      </c>
      <c r="Z2399" s="3">
        <f t="shared" si="37"/>
        <v>41</v>
      </c>
    </row>
    <row r="2400" spans="1:26" hidden="1">
      <c r="A2400" t="s">
        <v>706</v>
      </c>
      <c r="B2400" s="6">
        <v>44287</v>
      </c>
      <c r="C2400" s="6">
        <v>44651</v>
      </c>
      <c r="D2400">
        <v>20210401</v>
      </c>
      <c r="E2400">
        <v>20220331</v>
      </c>
      <c r="F2400" t="s">
        <v>5574</v>
      </c>
      <c r="G2400" t="s">
        <v>5575</v>
      </c>
      <c r="H2400" t="s">
        <v>590</v>
      </c>
      <c r="I2400" t="s">
        <v>1462</v>
      </c>
      <c r="L2400">
        <v>2</v>
      </c>
      <c r="M2400">
        <v>1340</v>
      </c>
      <c r="N2400">
        <v>-2</v>
      </c>
      <c r="O2400">
        <v>-1340</v>
      </c>
      <c r="Z2400" s="3">
        <f t="shared" si="37"/>
        <v>670</v>
      </c>
    </row>
    <row r="2401" spans="1:26" hidden="1">
      <c r="A2401" t="s">
        <v>706</v>
      </c>
      <c r="B2401" s="6">
        <v>44287</v>
      </c>
      <c r="C2401" s="6">
        <v>44651</v>
      </c>
      <c r="D2401">
        <v>20210401</v>
      </c>
      <c r="E2401">
        <v>20220331</v>
      </c>
      <c r="F2401" t="s">
        <v>5576</v>
      </c>
      <c r="G2401" t="s">
        <v>5577</v>
      </c>
      <c r="H2401" t="s">
        <v>590</v>
      </c>
      <c r="I2401" t="s">
        <v>1462</v>
      </c>
      <c r="L2401">
        <v>2</v>
      </c>
      <c r="M2401">
        <v>1800</v>
      </c>
      <c r="N2401">
        <v>-2</v>
      </c>
      <c r="O2401">
        <v>-1800</v>
      </c>
      <c r="Z2401" s="3">
        <f t="shared" si="37"/>
        <v>900</v>
      </c>
    </row>
    <row r="2402" spans="1:26" hidden="1">
      <c r="A2402" t="s">
        <v>706</v>
      </c>
      <c r="B2402" s="6">
        <v>44287</v>
      </c>
      <c r="C2402" s="6">
        <v>44651</v>
      </c>
      <c r="D2402">
        <v>20210401</v>
      </c>
      <c r="E2402">
        <v>20220331</v>
      </c>
      <c r="F2402" t="s">
        <v>5578</v>
      </c>
      <c r="G2402" t="s">
        <v>5579</v>
      </c>
      <c r="H2402" t="s">
        <v>590</v>
      </c>
      <c r="I2402" t="s">
        <v>805</v>
      </c>
      <c r="L2402">
        <v>2</v>
      </c>
      <c r="M2402">
        <v>1280</v>
      </c>
      <c r="N2402">
        <v>-2</v>
      </c>
      <c r="O2402">
        <v>-1280</v>
      </c>
      <c r="Z2402" s="3">
        <f t="shared" si="37"/>
        <v>640</v>
      </c>
    </row>
    <row r="2403" spans="1:26" hidden="1">
      <c r="A2403" t="s">
        <v>706</v>
      </c>
      <c r="B2403" s="6">
        <v>44287</v>
      </c>
      <c r="C2403" s="6">
        <v>44651</v>
      </c>
      <c r="D2403">
        <v>20210401</v>
      </c>
      <c r="E2403">
        <v>20220331</v>
      </c>
      <c r="F2403" t="s">
        <v>5580</v>
      </c>
      <c r="G2403" t="s">
        <v>5581</v>
      </c>
      <c r="H2403" t="s">
        <v>590</v>
      </c>
      <c r="I2403" t="s">
        <v>805</v>
      </c>
      <c r="L2403">
        <v>6</v>
      </c>
      <c r="M2403">
        <v>1200</v>
      </c>
      <c r="N2403">
        <v>-6</v>
      </c>
      <c r="O2403">
        <v>-1200</v>
      </c>
      <c r="Z2403" s="3">
        <f t="shared" si="37"/>
        <v>200</v>
      </c>
    </row>
    <row r="2404" spans="1:26" hidden="1">
      <c r="A2404" t="s">
        <v>706</v>
      </c>
      <c r="B2404" s="6">
        <v>44287</v>
      </c>
      <c r="C2404" s="6">
        <v>44651</v>
      </c>
      <c r="D2404">
        <v>20210401</v>
      </c>
      <c r="E2404">
        <v>20220331</v>
      </c>
      <c r="F2404" t="s">
        <v>5582</v>
      </c>
      <c r="G2404" t="s">
        <v>5583</v>
      </c>
      <c r="H2404" t="s">
        <v>590</v>
      </c>
      <c r="I2404" t="s">
        <v>805</v>
      </c>
      <c r="K2404">
        <v>0.01</v>
      </c>
      <c r="L2404">
        <v>79</v>
      </c>
      <c r="M2404">
        <v>2306.8000000000002</v>
      </c>
      <c r="N2404">
        <v>-79</v>
      </c>
      <c r="O2404">
        <v>-2306.8000000000002</v>
      </c>
      <c r="Y2404">
        <v>0.01</v>
      </c>
      <c r="Z2404" s="3">
        <f t="shared" si="37"/>
        <v>29.200000000000003</v>
      </c>
    </row>
    <row r="2405" spans="1:26" hidden="1">
      <c r="A2405" t="s">
        <v>706</v>
      </c>
      <c r="B2405" s="6">
        <v>44287</v>
      </c>
      <c r="C2405" s="6">
        <v>44651</v>
      </c>
      <c r="D2405">
        <v>20210401</v>
      </c>
      <c r="E2405">
        <v>20220331</v>
      </c>
      <c r="F2405" t="s">
        <v>5584</v>
      </c>
      <c r="G2405" t="s">
        <v>5585</v>
      </c>
      <c r="H2405" t="s">
        <v>590</v>
      </c>
      <c r="I2405" t="s">
        <v>1462</v>
      </c>
      <c r="L2405">
        <v>26</v>
      </c>
      <c r="M2405">
        <v>21238.1</v>
      </c>
      <c r="N2405">
        <v>-26</v>
      </c>
      <c r="O2405">
        <v>-21238.1</v>
      </c>
      <c r="Z2405" s="3">
        <f t="shared" si="37"/>
        <v>816.84999999999991</v>
      </c>
    </row>
    <row r="2406" spans="1:26" hidden="1">
      <c r="A2406" t="s">
        <v>706</v>
      </c>
      <c r="B2406" s="6">
        <v>44287</v>
      </c>
      <c r="C2406" s="6">
        <v>44651</v>
      </c>
      <c r="D2406">
        <v>20210401</v>
      </c>
      <c r="E2406">
        <v>20220331</v>
      </c>
      <c r="F2406" t="s">
        <v>5586</v>
      </c>
      <c r="G2406" t="s">
        <v>5587</v>
      </c>
      <c r="H2406" t="s">
        <v>590</v>
      </c>
      <c r="I2406" t="s">
        <v>805</v>
      </c>
      <c r="L2406">
        <v>2</v>
      </c>
      <c r="M2406">
        <v>1600</v>
      </c>
      <c r="N2406">
        <v>-2</v>
      </c>
      <c r="O2406">
        <v>-1600</v>
      </c>
      <c r="Z2406" s="3">
        <f t="shared" si="37"/>
        <v>800</v>
      </c>
    </row>
    <row r="2407" spans="1:26" hidden="1">
      <c r="A2407" t="s">
        <v>706</v>
      </c>
      <c r="B2407" s="6">
        <v>44287</v>
      </c>
      <c r="C2407" s="6">
        <v>44651</v>
      </c>
      <c r="D2407">
        <v>20210401</v>
      </c>
      <c r="E2407">
        <v>20220331</v>
      </c>
      <c r="F2407" t="s">
        <v>5588</v>
      </c>
      <c r="G2407" t="s">
        <v>5589</v>
      </c>
      <c r="H2407" t="s">
        <v>590</v>
      </c>
      <c r="I2407" t="s">
        <v>805</v>
      </c>
      <c r="L2407">
        <v>39</v>
      </c>
      <c r="M2407">
        <v>98865</v>
      </c>
      <c r="N2407">
        <v>-39</v>
      </c>
      <c r="O2407">
        <v>-98865</v>
      </c>
      <c r="Z2407" s="3">
        <f t="shared" si="37"/>
        <v>2535</v>
      </c>
    </row>
    <row r="2408" spans="1:26" hidden="1">
      <c r="A2408" t="s">
        <v>706</v>
      </c>
      <c r="B2408" s="6">
        <v>44287</v>
      </c>
      <c r="C2408" s="6">
        <v>44651</v>
      </c>
      <c r="D2408">
        <v>20210401</v>
      </c>
      <c r="E2408">
        <v>20220331</v>
      </c>
      <c r="F2408" t="s">
        <v>5590</v>
      </c>
      <c r="G2408" t="s">
        <v>5591</v>
      </c>
      <c r="H2408" t="s">
        <v>590</v>
      </c>
      <c r="I2408" t="s">
        <v>805</v>
      </c>
      <c r="L2408">
        <v>5</v>
      </c>
      <c r="M2408">
        <v>950</v>
      </c>
      <c r="N2408">
        <v>-5</v>
      </c>
      <c r="O2408">
        <v>-950</v>
      </c>
      <c r="Z2408" s="3">
        <f t="shared" si="37"/>
        <v>190</v>
      </c>
    </row>
    <row r="2409" spans="1:26" hidden="1">
      <c r="A2409" t="s">
        <v>706</v>
      </c>
      <c r="B2409" s="6">
        <v>44287</v>
      </c>
      <c r="C2409" s="6">
        <v>44651</v>
      </c>
      <c r="D2409">
        <v>20210401</v>
      </c>
      <c r="E2409">
        <v>20220331</v>
      </c>
      <c r="F2409" t="s">
        <v>5592</v>
      </c>
      <c r="G2409" t="s">
        <v>5593</v>
      </c>
      <c r="H2409" t="s">
        <v>590</v>
      </c>
      <c r="I2409" t="s">
        <v>805</v>
      </c>
      <c r="L2409">
        <v>2</v>
      </c>
      <c r="M2409">
        <v>434</v>
      </c>
      <c r="N2409">
        <v>-2</v>
      </c>
      <c r="O2409">
        <v>-434</v>
      </c>
      <c r="Z2409" s="3">
        <f t="shared" si="37"/>
        <v>217</v>
      </c>
    </row>
    <row r="2410" spans="1:26" hidden="1">
      <c r="A2410" t="s">
        <v>706</v>
      </c>
      <c r="B2410" s="6">
        <v>44287</v>
      </c>
      <c r="C2410" s="6">
        <v>44651</v>
      </c>
      <c r="D2410">
        <v>20210401</v>
      </c>
      <c r="E2410">
        <v>20220331</v>
      </c>
      <c r="F2410" t="s">
        <v>5594</v>
      </c>
      <c r="G2410" t="s">
        <v>5595</v>
      </c>
      <c r="H2410" t="s">
        <v>590</v>
      </c>
      <c r="I2410" t="s">
        <v>1462</v>
      </c>
      <c r="L2410">
        <v>2</v>
      </c>
      <c r="M2410">
        <v>5600</v>
      </c>
      <c r="N2410">
        <v>-2</v>
      </c>
      <c r="O2410">
        <v>-5600</v>
      </c>
      <c r="Z2410" s="3">
        <f t="shared" si="37"/>
        <v>2800</v>
      </c>
    </row>
    <row r="2411" spans="1:26" hidden="1">
      <c r="A2411" t="s">
        <v>706</v>
      </c>
      <c r="B2411" s="6">
        <v>44287</v>
      </c>
      <c r="C2411" s="6">
        <v>44651</v>
      </c>
      <c r="D2411">
        <v>20210401</v>
      </c>
      <c r="E2411">
        <v>20220331</v>
      </c>
      <c r="F2411" t="s">
        <v>5596</v>
      </c>
      <c r="G2411" t="s">
        <v>5597</v>
      </c>
      <c r="H2411" t="s">
        <v>590</v>
      </c>
      <c r="I2411" t="s">
        <v>805</v>
      </c>
      <c r="L2411">
        <v>67</v>
      </c>
      <c r="M2411">
        <v>195050.4</v>
      </c>
      <c r="N2411">
        <v>-67</v>
      </c>
      <c r="O2411">
        <v>-195050.4</v>
      </c>
      <c r="Z2411" s="3">
        <f t="shared" si="37"/>
        <v>2911.2</v>
      </c>
    </row>
    <row r="2412" spans="1:26" hidden="1">
      <c r="A2412" t="s">
        <v>706</v>
      </c>
      <c r="B2412" s="6">
        <v>44287</v>
      </c>
      <c r="C2412" s="6">
        <v>44651</v>
      </c>
      <c r="D2412">
        <v>20210401</v>
      </c>
      <c r="E2412">
        <v>20220331</v>
      </c>
      <c r="F2412" t="s">
        <v>5598</v>
      </c>
      <c r="G2412" t="s">
        <v>5599</v>
      </c>
      <c r="H2412" t="s">
        <v>590</v>
      </c>
      <c r="I2412" t="s">
        <v>805</v>
      </c>
      <c r="L2412">
        <v>2</v>
      </c>
      <c r="M2412">
        <v>2233.6</v>
      </c>
      <c r="N2412">
        <v>-2</v>
      </c>
      <c r="O2412">
        <v>-2233.6</v>
      </c>
      <c r="Z2412" s="3">
        <f t="shared" si="37"/>
        <v>1116.8</v>
      </c>
    </row>
    <row r="2413" spans="1:26" hidden="1">
      <c r="A2413" t="s">
        <v>706</v>
      </c>
      <c r="B2413" s="6">
        <v>44287</v>
      </c>
      <c r="C2413" s="6">
        <v>44651</v>
      </c>
      <c r="D2413">
        <v>20210401</v>
      </c>
      <c r="E2413">
        <v>20220331</v>
      </c>
      <c r="F2413" t="s">
        <v>5600</v>
      </c>
      <c r="G2413" t="s">
        <v>5601</v>
      </c>
      <c r="H2413" t="s">
        <v>1973</v>
      </c>
      <c r="I2413" t="s">
        <v>805</v>
      </c>
      <c r="L2413">
        <v>4</v>
      </c>
      <c r="M2413">
        <v>2600</v>
      </c>
      <c r="N2413">
        <v>-4</v>
      </c>
      <c r="O2413">
        <v>-2600</v>
      </c>
      <c r="Z2413" s="3">
        <f t="shared" si="37"/>
        <v>650</v>
      </c>
    </row>
    <row r="2414" spans="1:26" hidden="1">
      <c r="A2414" t="s">
        <v>706</v>
      </c>
      <c r="B2414" s="6">
        <v>44287</v>
      </c>
      <c r="C2414" s="6">
        <v>44651</v>
      </c>
      <c r="D2414">
        <v>20210401</v>
      </c>
      <c r="E2414">
        <v>20220331</v>
      </c>
      <c r="F2414" t="s">
        <v>5602</v>
      </c>
      <c r="G2414" t="s">
        <v>5603</v>
      </c>
      <c r="H2414" t="s">
        <v>590</v>
      </c>
      <c r="I2414" t="s">
        <v>1462</v>
      </c>
      <c r="L2414">
        <v>7</v>
      </c>
      <c r="M2414">
        <v>16450</v>
      </c>
      <c r="N2414">
        <v>-7</v>
      </c>
      <c r="O2414">
        <v>-16450</v>
      </c>
      <c r="Z2414" s="3">
        <f t="shared" si="37"/>
        <v>2350</v>
      </c>
    </row>
    <row r="2415" spans="1:26" hidden="1">
      <c r="A2415" t="s">
        <v>706</v>
      </c>
      <c r="B2415" s="6">
        <v>44287</v>
      </c>
      <c r="C2415" s="6">
        <v>44651</v>
      </c>
      <c r="D2415">
        <v>20210401</v>
      </c>
      <c r="E2415">
        <v>20220331</v>
      </c>
      <c r="F2415" t="s">
        <v>5604</v>
      </c>
      <c r="G2415" t="s">
        <v>5605</v>
      </c>
      <c r="H2415" t="s">
        <v>590</v>
      </c>
      <c r="I2415" t="s">
        <v>1462</v>
      </c>
      <c r="L2415">
        <v>1</v>
      </c>
      <c r="M2415">
        <v>21717.9</v>
      </c>
      <c r="N2415">
        <v>-1</v>
      </c>
      <c r="O2415">
        <v>-21717.9</v>
      </c>
      <c r="Z2415" s="3">
        <f t="shared" si="37"/>
        <v>21717.9</v>
      </c>
    </row>
    <row r="2416" spans="1:26" hidden="1">
      <c r="A2416" t="s">
        <v>706</v>
      </c>
      <c r="B2416" s="6">
        <v>44287</v>
      </c>
      <c r="C2416" s="6">
        <v>44651</v>
      </c>
      <c r="D2416">
        <v>20210401</v>
      </c>
      <c r="E2416">
        <v>20220331</v>
      </c>
      <c r="F2416" t="s">
        <v>5606</v>
      </c>
      <c r="G2416" t="s">
        <v>5607</v>
      </c>
      <c r="H2416" t="s">
        <v>590</v>
      </c>
      <c r="I2416" t="s">
        <v>1462</v>
      </c>
      <c r="J2416">
        <v>1</v>
      </c>
      <c r="K2416">
        <v>1</v>
      </c>
      <c r="N2416">
        <v>-1</v>
      </c>
      <c r="O2416">
        <v>-1</v>
      </c>
      <c r="Z2416" s="3">
        <f t="shared" si="37"/>
        <v>1</v>
      </c>
    </row>
    <row r="2417" spans="1:26" hidden="1">
      <c r="A2417" t="s">
        <v>706</v>
      </c>
      <c r="B2417" s="6">
        <v>44287</v>
      </c>
      <c r="C2417" s="6">
        <v>44651</v>
      </c>
      <c r="D2417">
        <v>20210401</v>
      </c>
      <c r="E2417">
        <v>20220331</v>
      </c>
      <c r="F2417" t="s">
        <v>5608</v>
      </c>
      <c r="G2417" t="s">
        <v>5609</v>
      </c>
      <c r="H2417" t="s">
        <v>590</v>
      </c>
      <c r="I2417" t="s">
        <v>805</v>
      </c>
      <c r="L2417">
        <v>5</v>
      </c>
      <c r="M2417">
        <v>4199</v>
      </c>
      <c r="N2417">
        <v>-5</v>
      </c>
      <c r="O2417">
        <v>-4199</v>
      </c>
      <c r="Z2417" s="3">
        <f t="shared" si="37"/>
        <v>839.8</v>
      </c>
    </row>
    <row r="2418" spans="1:26" hidden="1">
      <c r="A2418" t="s">
        <v>706</v>
      </c>
      <c r="B2418" s="6">
        <v>44287</v>
      </c>
      <c r="C2418" s="6">
        <v>44651</v>
      </c>
      <c r="D2418">
        <v>20210401</v>
      </c>
      <c r="E2418">
        <v>20220331</v>
      </c>
      <c r="F2418" t="s">
        <v>5610</v>
      </c>
      <c r="G2418" t="s">
        <v>5611</v>
      </c>
      <c r="H2418" t="s">
        <v>590</v>
      </c>
      <c r="I2418" t="s">
        <v>1462</v>
      </c>
      <c r="L2418">
        <v>5</v>
      </c>
      <c r="M2418">
        <v>4199</v>
      </c>
      <c r="N2418">
        <v>-5</v>
      </c>
      <c r="O2418">
        <v>-4199</v>
      </c>
      <c r="Z2418" s="3">
        <f t="shared" si="37"/>
        <v>839.8</v>
      </c>
    </row>
    <row r="2419" spans="1:26" hidden="1">
      <c r="A2419" t="s">
        <v>706</v>
      </c>
      <c r="B2419" s="6">
        <v>44287</v>
      </c>
      <c r="C2419" s="6">
        <v>44651</v>
      </c>
      <c r="D2419">
        <v>20210401</v>
      </c>
      <c r="E2419">
        <v>20220331</v>
      </c>
      <c r="F2419" t="s">
        <v>5612</v>
      </c>
      <c r="G2419" t="s">
        <v>5613</v>
      </c>
      <c r="H2419" t="s">
        <v>590</v>
      </c>
      <c r="I2419" t="s">
        <v>805</v>
      </c>
      <c r="L2419">
        <v>13</v>
      </c>
      <c r="M2419">
        <v>19487.5</v>
      </c>
      <c r="N2419">
        <v>-13</v>
      </c>
      <c r="O2419">
        <v>-19487.5</v>
      </c>
      <c r="Z2419" s="3">
        <f t="shared" si="37"/>
        <v>1499.0384615384614</v>
      </c>
    </row>
    <row r="2420" spans="1:26" hidden="1">
      <c r="A2420" t="s">
        <v>706</v>
      </c>
      <c r="B2420" s="6">
        <v>44287</v>
      </c>
      <c r="C2420" s="6">
        <v>44651</v>
      </c>
      <c r="D2420">
        <v>20210401</v>
      </c>
      <c r="E2420">
        <v>20220331</v>
      </c>
      <c r="F2420" t="s">
        <v>5614</v>
      </c>
      <c r="G2420" t="s">
        <v>5615</v>
      </c>
      <c r="H2420" t="s">
        <v>590</v>
      </c>
      <c r="I2420" t="s">
        <v>805</v>
      </c>
      <c r="L2420">
        <v>2</v>
      </c>
      <c r="M2420">
        <v>4454.3999999999996</v>
      </c>
      <c r="N2420">
        <v>-2</v>
      </c>
      <c r="O2420">
        <v>-4454.3999999999996</v>
      </c>
      <c r="Z2420" s="3">
        <f t="shared" si="37"/>
        <v>2227.1999999999998</v>
      </c>
    </row>
    <row r="2421" spans="1:26" hidden="1">
      <c r="A2421" t="s">
        <v>706</v>
      </c>
      <c r="B2421" s="6">
        <v>44287</v>
      </c>
      <c r="C2421" s="6">
        <v>44651</v>
      </c>
      <c r="D2421">
        <v>20210401</v>
      </c>
      <c r="E2421">
        <v>20220331</v>
      </c>
      <c r="F2421" t="s">
        <v>5616</v>
      </c>
      <c r="G2421" t="s">
        <v>5617</v>
      </c>
      <c r="H2421" t="s">
        <v>590</v>
      </c>
      <c r="I2421" t="s">
        <v>805</v>
      </c>
      <c r="L2421">
        <v>16</v>
      </c>
      <c r="M2421">
        <v>44034</v>
      </c>
      <c r="N2421">
        <v>-16</v>
      </c>
      <c r="O2421">
        <v>-44034</v>
      </c>
      <c r="Z2421" s="3">
        <f t="shared" si="37"/>
        <v>2752.125</v>
      </c>
    </row>
    <row r="2422" spans="1:26" hidden="1">
      <c r="A2422" t="s">
        <v>706</v>
      </c>
      <c r="B2422" s="6">
        <v>44287</v>
      </c>
      <c r="C2422" s="6">
        <v>44651</v>
      </c>
      <c r="D2422">
        <v>20210401</v>
      </c>
      <c r="E2422">
        <v>20220331</v>
      </c>
      <c r="F2422" t="s">
        <v>5618</v>
      </c>
      <c r="G2422" t="s">
        <v>5619</v>
      </c>
      <c r="H2422" t="s">
        <v>590</v>
      </c>
      <c r="I2422" t="s">
        <v>805</v>
      </c>
      <c r="L2422">
        <v>2</v>
      </c>
      <c r="M2422">
        <v>3977</v>
      </c>
      <c r="N2422">
        <v>-2</v>
      </c>
      <c r="O2422">
        <v>-3977</v>
      </c>
      <c r="Z2422" s="3">
        <f t="shared" si="37"/>
        <v>1988.5</v>
      </c>
    </row>
    <row r="2423" spans="1:26" hidden="1">
      <c r="A2423" t="s">
        <v>706</v>
      </c>
      <c r="B2423" s="6">
        <v>44287</v>
      </c>
      <c r="C2423" s="6">
        <v>44651</v>
      </c>
      <c r="D2423">
        <v>20210401</v>
      </c>
      <c r="E2423">
        <v>20220331</v>
      </c>
      <c r="F2423" t="s">
        <v>5620</v>
      </c>
      <c r="G2423" t="s">
        <v>5621</v>
      </c>
      <c r="H2423" t="s">
        <v>590</v>
      </c>
      <c r="I2423" t="s">
        <v>1462</v>
      </c>
      <c r="L2423">
        <v>7</v>
      </c>
      <c r="M2423">
        <v>6029.25</v>
      </c>
      <c r="N2423">
        <v>-7</v>
      </c>
      <c r="O2423">
        <v>-6029.25</v>
      </c>
      <c r="Z2423" s="3">
        <f t="shared" si="37"/>
        <v>861.32142857142856</v>
      </c>
    </row>
    <row r="2424" spans="1:26" hidden="1">
      <c r="A2424" t="s">
        <v>706</v>
      </c>
      <c r="B2424" s="6">
        <v>44287</v>
      </c>
      <c r="C2424" s="6">
        <v>44651</v>
      </c>
      <c r="D2424">
        <v>20210401</v>
      </c>
      <c r="E2424">
        <v>20220331</v>
      </c>
      <c r="F2424" t="s">
        <v>5622</v>
      </c>
      <c r="G2424" t="s">
        <v>5623</v>
      </c>
      <c r="H2424" t="s">
        <v>590</v>
      </c>
      <c r="I2424" t="s">
        <v>805</v>
      </c>
      <c r="K2424">
        <v>7.0000000000000007E-2</v>
      </c>
      <c r="L2424">
        <v>184</v>
      </c>
      <c r="M2424">
        <v>7892</v>
      </c>
      <c r="N2424">
        <v>-170</v>
      </c>
      <c r="O2424">
        <v>-7310</v>
      </c>
      <c r="P2424">
        <v>6</v>
      </c>
      <c r="Q2424">
        <v>258</v>
      </c>
      <c r="X2424">
        <v>20</v>
      </c>
      <c r="Y2424">
        <v>840.07</v>
      </c>
      <c r="Z2424" s="3">
        <f t="shared" si="37"/>
        <v>43</v>
      </c>
    </row>
    <row r="2425" spans="1:26" hidden="1">
      <c r="A2425" t="s">
        <v>706</v>
      </c>
      <c r="B2425" s="6">
        <v>44287</v>
      </c>
      <c r="C2425" s="6">
        <v>44651</v>
      </c>
      <c r="D2425">
        <v>20210401</v>
      </c>
      <c r="E2425">
        <v>20220331</v>
      </c>
      <c r="F2425" t="s">
        <v>5624</v>
      </c>
      <c r="G2425" t="s">
        <v>5625</v>
      </c>
      <c r="H2425" t="s">
        <v>590</v>
      </c>
      <c r="I2425" t="s">
        <v>805</v>
      </c>
      <c r="N2425">
        <v>-2</v>
      </c>
      <c r="O2425">
        <v>-340</v>
      </c>
      <c r="X2425">
        <v>-2</v>
      </c>
      <c r="Y2425">
        <v>-340</v>
      </c>
      <c r="Z2425" s="3">
        <f t="shared" si="37"/>
        <v>170</v>
      </c>
    </row>
    <row r="2426" spans="1:26" hidden="1">
      <c r="A2426" t="s">
        <v>706</v>
      </c>
      <c r="B2426" s="6">
        <v>44287</v>
      </c>
      <c r="C2426" s="6">
        <v>44651</v>
      </c>
      <c r="D2426">
        <v>20210401</v>
      </c>
      <c r="E2426">
        <v>20220331</v>
      </c>
      <c r="F2426" t="s">
        <v>5626</v>
      </c>
      <c r="G2426" t="s">
        <v>5627</v>
      </c>
      <c r="H2426" t="s">
        <v>590</v>
      </c>
      <c r="I2426" t="s">
        <v>805</v>
      </c>
      <c r="K2426">
        <v>0.01</v>
      </c>
      <c r="L2426">
        <v>8</v>
      </c>
      <c r="M2426">
        <v>3520</v>
      </c>
      <c r="N2426">
        <v>-8</v>
      </c>
      <c r="O2426">
        <v>-3520</v>
      </c>
      <c r="Y2426">
        <v>0.01</v>
      </c>
      <c r="Z2426" s="3">
        <f t="shared" si="37"/>
        <v>440</v>
      </c>
    </row>
    <row r="2427" spans="1:26" hidden="1">
      <c r="A2427" t="s">
        <v>706</v>
      </c>
      <c r="B2427" s="6">
        <v>44287</v>
      </c>
      <c r="C2427" s="6">
        <v>44651</v>
      </c>
      <c r="D2427">
        <v>20210401</v>
      </c>
      <c r="E2427">
        <v>20220331</v>
      </c>
      <c r="F2427" t="s">
        <v>5628</v>
      </c>
      <c r="G2427" t="s">
        <v>5629</v>
      </c>
      <c r="H2427" t="s">
        <v>590</v>
      </c>
      <c r="I2427" t="s">
        <v>774</v>
      </c>
      <c r="L2427">
        <v>4</v>
      </c>
      <c r="M2427">
        <v>540</v>
      </c>
      <c r="N2427">
        <v>-4</v>
      </c>
      <c r="O2427">
        <v>-540</v>
      </c>
      <c r="Z2427" s="3">
        <f t="shared" si="37"/>
        <v>135</v>
      </c>
    </row>
    <row r="2428" spans="1:26" hidden="1">
      <c r="A2428" t="s">
        <v>706</v>
      </c>
      <c r="B2428" s="6">
        <v>44287</v>
      </c>
      <c r="C2428" s="6">
        <v>44651</v>
      </c>
      <c r="D2428">
        <v>20210401</v>
      </c>
      <c r="E2428">
        <v>20220331</v>
      </c>
      <c r="F2428" t="s">
        <v>5630</v>
      </c>
      <c r="G2428" t="s">
        <v>5631</v>
      </c>
      <c r="H2428" t="s">
        <v>590</v>
      </c>
      <c r="I2428" t="s">
        <v>774</v>
      </c>
      <c r="L2428">
        <v>4</v>
      </c>
      <c r="M2428">
        <v>480</v>
      </c>
      <c r="N2428">
        <v>-4</v>
      </c>
      <c r="O2428">
        <v>-480</v>
      </c>
      <c r="Z2428" s="3">
        <f t="shared" si="37"/>
        <v>120</v>
      </c>
    </row>
    <row r="2429" spans="1:26" hidden="1">
      <c r="A2429" t="s">
        <v>706</v>
      </c>
      <c r="B2429" s="6">
        <v>44287</v>
      </c>
      <c r="C2429" s="6">
        <v>44651</v>
      </c>
      <c r="D2429">
        <v>20210401</v>
      </c>
      <c r="E2429">
        <v>20220331</v>
      </c>
      <c r="F2429" t="s">
        <v>5632</v>
      </c>
      <c r="G2429" t="s">
        <v>5631</v>
      </c>
      <c r="H2429" t="s">
        <v>590</v>
      </c>
      <c r="I2429" t="s">
        <v>774</v>
      </c>
      <c r="L2429">
        <v>4</v>
      </c>
      <c r="M2429">
        <v>480</v>
      </c>
      <c r="N2429">
        <v>-4</v>
      </c>
      <c r="O2429">
        <v>-480</v>
      </c>
      <c r="Z2429" s="3">
        <f t="shared" si="37"/>
        <v>120</v>
      </c>
    </row>
    <row r="2430" spans="1:26" hidden="1">
      <c r="A2430" t="s">
        <v>706</v>
      </c>
      <c r="B2430" s="6">
        <v>44287</v>
      </c>
      <c r="C2430" s="6">
        <v>44651</v>
      </c>
      <c r="D2430">
        <v>20210401</v>
      </c>
      <c r="E2430">
        <v>20220331</v>
      </c>
      <c r="F2430" t="s">
        <v>5633</v>
      </c>
      <c r="G2430" t="s">
        <v>5634</v>
      </c>
      <c r="H2430" t="s">
        <v>590</v>
      </c>
      <c r="I2430" t="s">
        <v>805</v>
      </c>
      <c r="J2430">
        <v>10</v>
      </c>
      <c r="K2430">
        <v>28999.97</v>
      </c>
      <c r="L2430">
        <v>174</v>
      </c>
      <c r="M2430">
        <v>530154</v>
      </c>
      <c r="N2430">
        <v>-184</v>
      </c>
      <c r="O2430">
        <v>-559154</v>
      </c>
      <c r="Y2430">
        <v>-0.03</v>
      </c>
      <c r="Z2430" s="3">
        <f t="shared" si="37"/>
        <v>3038.8804347826085</v>
      </c>
    </row>
    <row r="2431" spans="1:26" hidden="1">
      <c r="A2431" t="s">
        <v>706</v>
      </c>
      <c r="B2431" s="6">
        <v>44287</v>
      </c>
      <c r="C2431" s="6">
        <v>44651</v>
      </c>
      <c r="D2431">
        <v>20210401</v>
      </c>
      <c r="E2431">
        <v>20220331</v>
      </c>
      <c r="F2431" t="s">
        <v>5635</v>
      </c>
      <c r="G2431" t="s">
        <v>5636</v>
      </c>
      <c r="H2431" t="s">
        <v>590</v>
      </c>
      <c r="I2431" t="s">
        <v>805</v>
      </c>
      <c r="L2431">
        <v>44</v>
      </c>
      <c r="M2431">
        <v>9460</v>
      </c>
      <c r="N2431">
        <v>-44</v>
      </c>
      <c r="O2431">
        <v>-9460</v>
      </c>
      <c r="Z2431" s="3">
        <f t="shared" si="37"/>
        <v>215</v>
      </c>
    </row>
    <row r="2432" spans="1:26" hidden="1">
      <c r="A2432" t="s">
        <v>706</v>
      </c>
      <c r="B2432" s="6">
        <v>44287</v>
      </c>
      <c r="C2432" s="6">
        <v>44651</v>
      </c>
      <c r="D2432">
        <v>20210401</v>
      </c>
      <c r="E2432">
        <v>20220331</v>
      </c>
      <c r="F2432" t="s">
        <v>5637</v>
      </c>
      <c r="G2432" t="s">
        <v>5638</v>
      </c>
      <c r="H2432" t="s">
        <v>590</v>
      </c>
      <c r="I2432" t="s">
        <v>805</v>
      </c>
      <c r="L2432">
        <v>67</v>
      </c>
      <c r="M2432">
        <v>25460</v>
      </c>
      <c r="N2432">
        <v>-67</v>
      </c>
      <c r="O2432">
        <v>-25460</v>
      </c>
      <c r="Z2432" s="3">
        <f t="shared" si="37"/>
        <v>380</v>
      </c>
    </row>
    <row r="2433" spans="1:26" hidden="1">
      <c r="A2433" t="s">
        <v>706</v>
      </c>
      <c r="B2433" s="6">
        <v>44287</v>
      </c>
      <c r="C2433" s="6">
        <v>44651</v>
      </c>
      <c r="D2433">
        <v>20210401</v>
      </c>
      <c r="E2433">
        <v>20220331</v>
      </c>
      <c r="F2433" t="s">
        <v>5639</v>
      </c>
      <c r="G2433" t="s">
        <v>5640</v>
      </c>
      <c r="H2433" t="s">
        <v>590</v>
      </c>
      <c r="I2433" t="s">
        <v>805</v>
      </c>
      <c r="L2433">
        <v>105</v>
      </c>
      <c r="M2433">
        <v>38275</v>
      </c>
      <c r="N2433">
        <v>-105</v>
      </c>
      <c r="O2433">
        <v>-38275</v>
      </c>
      <c r="Z2433" s="3">
        <f t="shared" si="37"/>
        <v>364.52380952380952</v>
      </c>
    </row>
    <row r="2434" spans="1:26" hidden="1">
      <c r="A2434" t="s">
        <v>706</v>
      </c>
      <c r="B2434" s="6">
        <v>44287</v>
      </c>
      <c r="C2434" s="6">
        <v>44651</v>
      </c>
      <c r="D2434">
        <v>20210401</v>
      </c>
      <c r="E2434">
        <v>20220331</v>
      </c>
      <c r="F2434" t="s">
        <v>5641</v>
      </c>
      <c r="G2434" t="s">
        <v>5642</v>
      </c>
      <c r="H2434" t="s">
        <v>590</v>
      </c>
      <c r="I2434" t="s">
        <v>805</v>
      </c>
      <c r="L2434">
        <v>86</v>
      </c>
      <c r="M2434">
        <v>118250</v>
      </c>
      <c r="N2434">
        <v>-80</v>
      </c>
      <c r="O2434">
        <v>-110000.04</v>
      </c>
      <c r="X2434">
        <v>6</v>
      </c>
      <c r="Y2434">
        <v>8249.9599999999991</v>
      </c>
      <c r="Z2434" s="3">
        <f t="shared" si="37"/>
        <v>1375.0004999999999</v>
      </c>
    </row>
    <row r="2435" spans="1:26" hidden="1">
      <c r="A2435" t="s">
        <v>706</v>
      </c>
      <c r="B2435" s="6">
        <v>44287</v>
      </c>
      <c r="C2435" s="6">
        <v>44651</v>
      </c>
      <c r="D2435">
        <v>20210401</v>
      </c>
      <c r="E2435">
        <v>20220331</v>
      </c>
      <c r="F2435" t="s">
        <v>5643</v>
      </c>
      <c r="G2435" t="s">
        <v>5644</v>
      </c>
      <c r="H2435" t="s">
        <v>590</v>
      </c>
      <c r="I2435" t="s">
        <v>805</v>
      </c>
      <c r="L2435">
        <v>10</v>
      </c>
      <c r="M2435">
        <v>2670</v>
      </c>
      <c r="N2435">
        <v>-10</v>
      </c>
      <c r="O2435">
        <v>-2670</v>
      </c>
      <c r="Z2435" s="3">
        <f t="shared" ref="Z2435:Z2498" si="38">IFERROR((O2435+Q2435)/(N2435+P2435),Y2435/X2435)</f>
        <v>267</v>
      </c>
    </row>
    <row r="2436" spans="1:26" hidden="1">
      <c r="A2436" t="s">
        <v>706</v>
      </c>
      <c r="B2436" s="6">
        <v>44287</v>
      </c>
      <c r="C2436" s="6">
        <v>44651</v>
      </c>
      <c r="D2436">
        <v>20210401</v>
      </c>
      <c r="E2436">
        <v>20220331</v>
      </c>
      <c r="F2436" t="s">
        <v>5645</v>
      </c>
      <c r="G2436" t="s">
        <v>5646</v>
      </c>
      <c r="H2436" t="s">
        <v>590</v>
      </c>
      <c r="I2436" t="s">
        <v>1462</v>
      </c>
      <c r="L2436">
        <v>1</v>
      </c>
      <c r="M2436">
        <v>4300</v>
      </c>
      <c r="N2436">
        <v>-1</v>
      </c>
      <c r="O2436">
        <v>-4300</v>
      </c>
      <c r="Z2436" s="3">
        <f t="shared" si="38"/>
        <v>4300</v>
      </c>
    </row>
    <row r="2437" spans="1:26" hidden="1">
      <c r="A2437" t="s">
        <v>706</v>
      </c>
      <c r="B2437" s="6">
        <v>44287</v>
      </c>
      <c r="C2437" s="6">
        <v>44651</v>
      </c>
      <c r="D2437">
        <v>20210401</v>
      </c>
      <c r="E2437">
        <v>20220331</v>
      </c>
      <c r="F2437" t="s">
        <v>5647</v>
      </c>
      <c r="G2437" t="s">
        <v>5648</v>
      </c>
      <c r="H2437" t="s">
        <v>590</v>
      </c>
      <c r="I2437" t="s">
        <v>805</v>
      </c>
      <c r="L2437">
        <v>16</v>
      </c>
      <c r="M2437">
        <v>11619.45</v>
      </c>
      <c r="N2437">
        <v>-16</v>
      </c>
      <c r="O2437">
        <v>-11619.45</v>
      </c>
      <c r="Z2437" s="3">
        <f t="shared" si="38"/>
        <v>726.21562500000005</v>
      </c>
    </row>
    <row r="2438" spans="1:26" hidden="1">
      <c r="A2438" t="s">
        <v>706</v>
      </c>
      <c r="B2438" s="6">
        <v>44287</v>
      </c>
      <c r="C2438" s="6">
        <v>44651</v>
      </c>
      <c r="D2438">
        <v>20210401</v>
      </c>
      <c r="E2438">
        <v>20220331</v>
      </c>
      <c r="F2438" t="s">
        <v>5649</v>
      </c>
      <c r="G2438" t="s">
        <v>5650</v>
      </c>
      <c r="H2438" t="s">
        <v>590</v>
      </c>
      <c r="I2438" t="s">
        <v>1462</v>
      </c>
      <c r="L2438">
        <v>4</v>
      </c>
      <c r="M2438">
        <v>37628</v>
      </c>
      <c r="N2438">
        <v>-4</v>
      </c>
      <c r="O2438">
        <v>-37628</v>
      </c>
      <c r="Z2438" s="3">
        <f t="shared" si="38"/>
        <v>9407</v>
      </c>
    </row>
    <row r="2439" spans="1:26" hidden="1">
      <c r="A2439" t="s">
        <v>706</v>
      </c>
      <c r="B2439" s="6">
        <v>44287</v>
      </c>
      <c r="C2439" s="6">
        <v>44651</v>
      </c>
      <c r="D2439">
        <v>20210401</v>
      </c>
      <c r="E2439">
        <v>20220331</v>
      </c>
      <c r="F2439" t="s">
        <v>5651</v>
      </c>
      <c r="G2439" t="s">
        <v>5652</v>
      </c>
      <c r="H2439" t="s">
        <v>590</v>
      </c>
      <c r="I2439" t="s">
        <v>774</v>
      </c>
      <c r="L2439">
        <v>1</v>
      </c>
      <c r="M2439">
        <v>92000</v>
      </c>
      <c r="N2439">
        <v>-1</v>
      </c>
      <c r="O2439">
        <v>-92000</v>
      </c>
      <c r="P2439">
        <v>1</v>
      </c>
      <c r="Q2439">
        <v>92000</v>
      </c>
      <c r="R2439">
        <v>-1</v>
      </c>
      <c r="S2439">
        <v>-92000</v>
      </c>
      <c r="Z2439" s="3" t="e">
        <f t="shared" si="38"/>
        <v>#DIV/0!</v>
      </c>
    </row>
    <row r="2440" spans="1:26" hidden="1">
      <c r="A2440" t="s">
        <v>706</v>
      </c>
      <c r="B2440" s="6">
        <v>44287</v>
      </c>
      <c r="C2440" s="6">
        <v>44651</v>
      </c>
      <c r="D2440">
        <v>20210401</v>
      </c>
      <c r="E2440">
        <v>20220331</v>
      </c>
      <c r="F2440" t="s">
        <v>5653</v>
      </c>
      <c r="G2440" t="s">
        <v>5654</v>
      </c>
      <c r="H2440" t="s">
        <v>590</v>
      </c>
      <c r="I2440" t="s">
        <v>774</v>
      </c>
      <c r="L2440">
        <v>1</v>
      </c>
      <c r="M2440">
        <v>115000</v>
      </c>
      <c r="N2440">
        <v>-1</v>
      </c>
      <c r="O2440">
        <v>-115000</v>
      </c>
      <c r="P2440">
        <v>1</v>
      </c>
      <c r="Q2440">
        <v>115000</v>
      </c>
      <c r="R2440">
        <v>-1</v>
      </c>
      <c r="S2440">
        <v>-115000</v>
      </c>
      <c r="Z2440" s="3" t="e">
        <f t="shared" si="38"/>
        <v>#DIV/0!</v>
      </c>
    </row>
    <row r="2441" spans="1:26" hidden="1">
      <c r="A2441" t="s">
        <v>706</v>
      </c>
      <c r="B2441" s="6">
        <v>44287</v>
      </c>
      <c r="C2441" s="6">
        <v>44651</v>
      </c>
      <c r="D2441">
        <v>20210401</v>
      </c>
      <c r="E2441">
        <v>20220331</v>
      </c>
      <c r="F2441" t="s">
        <v>5655</v>
      </c>
      <c r="G2441" t="s">
        <v>5656</v>
      </c>
      <c r="H2441" t="s">
        <v>590</v>
      </c>
      <c r="I2441" t="s">
        <v>774</v>
      </c>
      <c r="J2441">
        <v>11</v>
      </c>
      <c r="K2441">
        <v>64805.14</v>
      </c>
      <c r="L2441">
        <v>597</v>
      </c>
      <c r="M2441">
        <v>1335073.6299999999</v>
      </c>
      <c r="N2441">
        <v>-610</v>
      </c>
      <c r="O2441">
        <v>-1405834.15</v>
      </c>
      <c r="P2441">
        <v>34</v>
      </c>
      <c r="Q2441">
        <v>76212.62</v>
      </c>
      <c r="R2441">
        <v>-32</v>
      </c>
      <c r="S2441">
        <v>-70256.94</v>
      </c>
      <c r="Y2441">
        <v>0.3</v>
      </c>
      <c r="Z2441" s="3">
        <f t="shared" si="38"/>
        <v>2308.3707118055554</v>
      </c>
    </row>
    <row r="2442" spans="1:26" hidden="1">
      <c r="A2442" t="s">
        <v>706</v>
      </c>
      <c r="B2442" s="6">
        <v>44287</v>
      </c>
      <c r="C2442" s="6">
        <v>44651</v>
      </c>
      <c r="D2442">
        <v>20210401</v>
      </c>
      <c r="E2442">
        <v>20220331</v>
      </c>
      <c r="F2442" t="s">
        <v>5657</v>
      </c>
      <c r="G2442" t="s">
        <v>5658</v>
      </c>
      <c r="H2442" t="s">
        <v>590</v>
      </c>
      <c r="I2442" t="s">
        <v>774</v>
      </c>
      <c r="K2442">
        <v>7.0000000000000007E-2</v>
      </c>
      <c r="L2442">
        <v>102</v>
      </c>
      <c r="M2442">
        <v>779591</v>
      </c>
      <c r="N2442">
        <v>-102</v>
      </c>
      <c r="O2442">
        <v>-779590.98</v>
      </c>
      <c r="P2442">
        <v>8</v>
      </c>
      <c r="Q2442">
        <v>60428.67</v>
      </c>
      <c r="R2442">
        <v>-8</v>
      </c>
      <c r="S2442">
        <v>-60428.67</v>
      </c>
      <c r="Y2442">
        <v>0.09</v>
      </c>
      <c r="Z2442" s="3">
        <f t="shared" si="38"/>
        <v>7650.6628723404247</v>
      </c>
    </row>
    <row r="2443" spans="1:26" hidden="1">
      <c r="A2443" t="s">
        <v>706</v>
      </c>
      <c r="B2443" s="6">
        <v>44287</v>
      </c>
      <c r="C2443" s="6">
        <v>44651</v>
      </c>
      <c r="D2443">
        <v>20210401</v>
      </c>
      <c r="E2443">
        <v>20220331</v>
      </c>
      <c r="F2443" t="s">
        <v>5659</v>
      </c>
      <c r="G2443" t="s">
        <v>5660</v>
      </c>
      <c r="H2443" t="s">
        <v>590</v>
      </c>
      <c r="I2443" t="s">
        <v>805</v>
      </c>
      <c r="L2443">
        <v>13</v>
      </c>
      <c r="M2443">
        <v>77700</v>
      </c>
      <c r="N2443">
        <v>-13</v>
      </c>
      <c r="O2443">
        <v>-77700.009999999995</v>
      </c>
      <c r="Y2443">
        <v>-0.01</v>
      </c>
      <c r="Z2443" s="3">
        <f t="shared" si="38"/>
        <v>5976.9238461538462</v>
      </c>
    </row>
    <row r="2444" spans="1:26" hidden="1">
      <c r="A2444" t="s">
        <v>706</v>
      </c>
      <c r="B2444" s="6">
        <v>44287</v>
      </c>
      <c r="C2444" s="6">
        <v>44651</v>
      </c>
      <c r="D2444">
        <v>20210401</v>
      </c>
      <c r="E2444">
        <v>20220331</v>
      </c>
      <c r="F2444" t="s">
        <v>5661</v>
      </c>
      <c r="G2444" t="s">
        <v>5662</v>
      </c>
      <c r="H2444" t="s">
        <v>590</v>
      </c>
      <c r="I2444" t="s">
        <v>805</v>
      </c>
      <c r="L2444">
        <v>1</v>
      </c>
      <c r="M2444">
        <v>1000</v>
      </c>
      <c r="N2444">
        <v>-1</v>
      </c>
      <c r="O2444">
        <v>-1000</v>
      </c>
      <c r="Z2444" s="3">
        <f t="shared" si="38"/>
        <v>1000</v>
      </c>
    </row>
    <row r="2445" spans="1:26" hidden="1">
      <c r="A2445" t="s">
        <v>706</v>
      </c>
      <c r="B2445" s="6">
        <v>44287</v>
      </c>
      <c r="C2445" s="6">
        <v>44651</v>
      </c>
      <c r="D2445">
        <v>20210401</v>
      </c>
      <c r="E2445">
        <v>20220331</v>
      </c>
      <c r="F2445" t="s">
        <v>5663</v>
      </c>
      <c r="G2445" t="s">
        <v>5664</v>
      </c>
      <c r="H2445" t="s">
        <v>590</v>
      </c>
      <c r="I2445" t="s">
        <v>805</v>
      </c>
      <c r="L2445">
        <v>1</v>
      </c>
      <c r="M2445">
        <v>1350</v>
      </c>
      <c r="N2445">
        <v>-1</v>
      </c>
      <c r="O2445">
        <v>-1350</v>
      </c>
      <c r="Z2445" s="3">
        <f t="shared" si="38"/>
        <v>1350</v>
      </c>
    </row>
    <row r="2446" spans="1:26" hidden="1">
      <c r="A2446" t="s">
        <v>706</v>
      </c>
      <c r="B2446" s="6">
        <v>44287</v>
      </c>
      <c r="C2446" s="6">
        <v>44651</v>
      </c>
      <c r="D2446">
        <v>20210401</v>
      </c>
      <c r="E2446">
        <v>20220331</v>
      </c>
      <c r="F2446" t="s">
        <v>5665</v>
      </c>
      <c r="G2446" t="s">
        <v>5666</v>
      </c>
      <c r="H2446" t="s">
        <v>590</v>
      </c>
      <c r="I2446" t="s">
        <v>774</v>
      </c>
      <c r="L2446">
        <v>1</v>
      </c>
      <c r="M2446">
        <v>6500</v>
      </c>
      <c r="N2446">
        <v>-1</v>
      </c>
      <c r="O2446">
        <v>-6500</v>
      </c>
      <c r="Z2446" s="3">
        <f t="shared" si="38"/>
        <v>6500</v>
      </c>
    </row>
    <row r="2447" spans="1:26" hidden="1">
      <c r="A2447" t="s">
        <v>706</v>
      </c>
      <c r="B2447" s="6">
        <v>44287</v>
      </c>
      <c r="C2447" s="6">
        <v>44651</v>
      </c>
      <c r="D2447">
        <v>20210401</v>
      </c>
      <c r="E2447">
        <v>20220331</v>
      </c>
      <c r="F2447" t="s">
        <v>5667</v>
      </c>
      <c r="G2447" t="s">
        <v>5668</v>
      </c>
      <c r="H2447" t="s">
        <v>1973</v>
      </c>
      <c r="I2447" t="s">
        <v>774</v>
      </c>
      <c r="L2447">
        <v>1</v>
      </c>
      <c r="M2447">
        <v>27000</v>
      </c>
      <c r="R2447">
        <v>-1</v>
      </c>
      <c r="S2447">
        <v>-27000</v>
      </c>
      <c r="Z2447" s="3" t="e">
        <f t="shared" si="38"/>
        <v>#DIV/0!</v>
      </c>
    </row>
    <row r="2448" spans="1:26" hidden="1">
      <c r="A2448" t="s">
        <v>706</v>
      </c>
      <c r="B2448" s="6">
        <v>44287</v>
      </c>
      <c r="C2448" s="6">
        <v>44651</v>
      </c>
      <c r="D2448">
        <v>20210401</v>
      </c>
      <c r="E2448">
        <v>20220331</v>
      </c>
      <c r="F2448" t="s">
        <v>5669</v>
      </c>
      <c r="G2448" t="s">
        <v>5670</v>
      </c>
      <c r="H2448" t="s">
        <v>590</v>
      </c>
      <c r="I2448" t="s">
        <v>805</v>
      </c>
      <c r="L2448">
        <v>1442</v>
      </c>
      <c r="M2448">
        <v>55253.66</v>
      </c>
      <c r="N2448">
        <v>-1442</v>
      </c>
      <c r="O2448">
        <v>-55253.66</v>
      </c>
      <c r="Z2448" s="3">
        <f t="shared" si="38"/>
        <v>38.317378640776703</v>
      </c>
    </row>
    <row r="2449" spans="1:26" hidden="1">
      <c r="A2449" t="s">
        <v>706</v>
      </c>
      <c r="B2449" s="6">
        <v>44287</v>
      </c>
      <c r="C2449" s="6">
        <v>44651</v>
      </c>
      <c r="D2449">
        <v>20210401</v>
      </c>
      <c r="E2449">
        <v>20220331</v>
      </c>
      <c r="F2449" t="s">
        <v>5671</v>
      </c>
      <c r="G2449" t="s">
        <v>5672</v>
      </c>
      <c r="H2449" t="s">
        <v>590</v>
      </c>
      <c r="I2449" t="s">
        <v>805</v>
      </c>
      <c r="K2449">
        <v>0.03</v>
      </c>
      <c r="L2449">
        <v>1352</v>
      </c>
      <c r="M2449">
        <v>33832.239999999998</v>
      </c>
      <c r="N2449">
        <v>-1352</v>
      </c>
      <c r="O2449">
        <v>-33832.239999999998</v>
      </c>
      <c r="Y2449">
        <v>0.03</v>
      </c>
      <c r="Z2449" s="3">
        <f t="shared" si="38"/>
        <v>25.023846153846151</v>
      </c>
    </row>
    <row r="2450" spans="1:26" hidden="1">
      <c r="A2450" t="s">
        <v>706</v>
      </c>
      <c r="B2450" s="6">
        <v>44287</v>
      </c>
      <c r="C2450" s="6">
        <v>44651</v>
      </c>
      <c r="D2450">
        <v>20210401</v>
      </c>
      <c r="E2450">
        <v>20220331</v>
      </c>
      <c r="F2450" t="s">
        <v>5673</v>
      </c>
      <c r="G2450" t="s">
        <v>5674</v>
      </c>
      <c r="H2450" t="s">
        <v>590</v>
      </c>
      <c r="I2450" t="s">
        <v>774</v>
      </c>
      <c r="L2450">
        <v>1</v>
      </c>
      <c r="M2450">
        <v>9800</v>
      </c>
      <c r="N2450">
        <v>-1</v>
      </c>
      <c r="O2450">
        <v>-9800</v>
      </c>
      <c r="Z2450" s="3">
        <f t="shared" si="38"/>
        <v>9800</v>
      </c>
    </row>
    <row r="2451" spans="1:26" hidden="1">
      <c r="A2451" t="s">
        <v>706</v>
      </c>
      <c r="B2451" s="6">
        <v>44287</v>
      </c>
      <c r="C2451" s="6">
        <v>44651</v>
      </c>
      <c r="D2451">
        <v>20210401</v>
      </c>
      <c r="E2451">
        <v>20220331</v>
      </c>
      <c r="F2451" t="s">
        <v>5675</v>
      </c>
      <c r="G2451" t="s">
        <v>5676</v>
      </c>
      <c r="H2451" t="s">
        <v>590</v>
      </c>
      <c r="I2451" t="s">
        <v>774</v>
      </c>
      <c r="J2451">
        <v>1</v>
      </c>
      <c r="K2451">
        <v>14500</v>
      </c>
      <c r="N2451">
        <v>-1</v>
      </c>
      <c r="O2451">
        <v>-14500</v>
      </c>
      <c r="Z2451" s="3">
        <f t="shared" si="38"/>
        <v>14500</v>
      </c>
    </row>
    <row r="2452" spans="1:26" hidden="1">
      <c r="A2452" t="s">
        <v>706</v>
      </c>
      <c r="B2452" s="6">
        <v>44287</v>
      </c>
      <c r="C2452" s="6">
        <v>44651</v>
      </c>
      <c r="D2452">
        <v>20210401</v>
      </c>
      <c r="E2452">
        <v>20220331</v>
      </c>
      <c r="F2452" t="s">
        <v>5677</v>
      </c>
      <c r="G2452" t="s">
        <v>5678</v>
      </c>
      <c r="H2452" t="s">
        <v>590</v>
      </c>
      <c r="I2452" t="s">
        <v>774</v>
      </c>
      <c r="J2452">
        <v>3</v>
      </c>
      <c r="K2452">
        <v>1650</v>
      </c>
      <c r="L2452">
        <v>9</v>
      </c>
      <c r="M2452">
        <v>6132</v>
      </c>
      <c r="N2452">
        <v>-12</v>
      </c>
      <c r="O2452">
        <v>-7782</v>
      </c>
      <c r="Z2452" s="3">
        <f t="shared" si="38"/>
        <v>648.5</v>
      </c>
    </row>
    <row r="2453" spans="1:26" hidden="1">
      <c r="A2453" t="s">
        <v>706</v>
      </c>
      <c r="B2453" s="6">
        <v>44287</v>
      </c>
      <c r="C2453" s="6">
        <v>44651</v>
      </c>
      <c r="D2453">
        <v>20210401</v>
      </c>
      <c r="E2453">
        <v>20220331</v>
      </c>
      <c r="F2453" t="s">
        <v>5679</v>
      </c>
      <c r="G2453" t="s">
        <v>5680</v>
      </c>
      <c r="H2453" t="s">
        <v>590</v>
      </c>
      <c r="I2453" t="s">
        <v>774</v>
      </c>
      <c r="L2453">
        <v>1</v>
      </c>
      <c r="M2453">
        <v>700</v>
      </c>
      <c r="N2453">
        <v>-1</v>
      </c>
      <c r="O2453">
        <v>-700</v>
      </c>
      <c r="Z2453" s="3">
        <f t="shared" si="38"/>
        <v>700</v>
      </c>
    </row>
    <row r="2454" spans="1:26" hidden="1">
      <c r="A2454" t="s">
        <v>706</v>
      </c>
      <c r="B2454" s="6">
        <v>44287</v>
      </c>
      <c r="C2454" s="6">
        <v>44651</v>
      </c>
      <c r="D2454">
        <v>20210401</v>
      </c>
      <c r="E2454">
        <v>20220331</v>
      </c>
      <c r="F2454" t="s">
        <v>5681</v>
      </c>
      <c r="G2454" t="s">
        <v>5682</v>
      </c>
      <c r="H2454" t="s">
        <v>590</v>
      </c>
      <c r="I2454" t="s">
        <v>774</v>
      </c>
      <c r="L2454">
        <v>1</v>
      </c>
      <c r="M2454">
        <v>6400</v>
      </c>
      <c r="N2454">
        <v>-1</v>
      </c>
      <c r="O2454">
        <v>-6400</v>
      </c>
      <c r="Z2454" s="3">
        <f t="shared" si="38"/>
        <v>6400</v>
      </c>
    </row>
    <row r="2455" spans="1:26" hidden="1">
      <c r="A2455" t="s">
        <v>706</v>
      </c>
      <c r="B2455" s="6">
        <v>44287</v>
      </c>
      <c r="C2455" s="6">
        <v>44651</v>
      </c>
      <c r="D2455">
        <v>20210401</v>
      </c>
      <c r="E2455">
        <v>20220331</v>
      </c>
      <c r="F2455" t="s">
        <v>5683</v>
      </c>
      <c r="G2455" t="s">
        <v>5684</v>
      </c>
      <c r="H2455" t="s">
        <v>590</v>
      </c>
      <c r="I2455" t="s">
        <v>774</v>
      </c>
      <c r="L2455">
        <v>2</v>
      </c>
      <c r="M2455">
        <v>3350</v>
      </c>
      <c r="N2455">
        <v>-2</v>
      </c>
      <c r="O2455">
        <v>-3350</v>
      </c>
      <c r="Z2455" s="3">
        <f t="shared" si="38"/>
        <v>1675</v>
      </c>
    </row>
    <row r="2456" spans="1:26" hidden="1">
      <c r="A2456" t="s">
        <v>706</v>
      </c>
      <c r="B2456" s="6">
        <v>44287</v>
      </c>
      <c r="C2456" s="6">
        <v>44651</v>
      </c>
      <c r="D2456">
        <v>20210401</v>
      </c>
      <c r="E2456">
        <v>20220331</v>
      </c>
      <c r="F2456" t="s">
        <v>5685</v>
      </c>
      <c r="G2456" t="s">
        <v>5686</v>
      </c>
      <c r="H2456" t="s">
        <v>590</v>
      </c>
      <c r="I2456" t="s">
        <v>774</v>
      </c>
      <c r="L2456">
        <v>2</v>
      </c>
      <c r="M2456">
        <v>55584</v>
      </c>
      <c r="N2456">
        <v>-2</v>
      </c>
      <c r="O2456">
        <v>-55584</v>
      </c>
      <c r="Z2456" s="3">
        <f t="shared" si="38"/>
        <v>27792</v>
      </c>
    </row>
    <row r="2457" spans="1:26" hidden="1">
      <c r="A2457" t="s">
        <v>706</v>
      </c>
      <c r="B2457" s="6">
        <v>44287</v>
      </c>
      <c r="C2457" s="6">
        <v>44651</v>
      </c>
      <c r="D2457">
        <v>20210401</v>
      </c>
      <c r="E2457">
        <v>20220331</v>
      </c>
      <c r="F2457" t="s">
        <v>5687</v>
      </c>
      <c r="G2457" t="s">
        <v>5688</v>
      </c>
      <c r="H2457" t="s">
        <v>590</v>
      </c>
      <c r="I2457" t="s">
        <v>774</v>
      </c>
      <c r="L2457">
        <v>2</v>
      </c>
      <c r="M2457">
        <v>16992</v>
      </c>
      <c r="N2457">
        <v>-2</v>
      </c>
      <c r="O2457">
        <v>-16992</v>
      </c>
      <c r="Z2457" s="3">
        <f t="shared" si="38"/>
        <v>8496</v>
      </c>
    </row>
    <row r="2458" spans="1:26" hidden="1">
      <c r="A2458" t="s">
        <v>706</v>
      </c>
      <c r="B2458" s="6">
        <v>44287</v>
      </c>
      <c r="C2458" s="6">
        <v>44651</v>
      </c>
      <c r="D2458">
        <v>20210401</v>
      </c>
      <c r="E2458">
        <v>20220331</v>
      </c>
      <c r="F2458" t="s">
        <v>5689</v>
      </c>
      <c r="G2458" t="s">
        <v>5690</v>
      </c>
      <c r="H2458" t="s">
        <v>590</v>
      </c>
      <c r="I2458" t="s">
        <v>774</v>
      </c>
      <c r="J2458">
        <v>12</v>
      </c>
      <c r="K2458">
        <v>1800</v>
      </c>
      <c r="N2458">
        <v>-12</v>
      </c>
      <c r="O2458">
        <v>-1800</v>
      </c>
      <c r="Z2458" s="3">
        <f t="shared" si="38"/>
        <v>150</v>
      </c>
    </row>
    <row r="2459" spans="1:26" hidden="1">
      <c r="A2459" t="s">
        <v>706</v>
      </c>
      <c r="B2459" s="6">
        <v>44287</v>
      </c>
      <c r="C2459" s="6">
        <v>44651</v>
      </c>
      <c r="D2459">
        <v>20210401</v>
      </c>
      <c r="E2459">
        <v>20220331</v>
      </c>
      <c r="F2459" t="s">
        <v>5691</v>
      </c>
      <c r="G2459" t="s">
        <v>5692</v>
      </c>
      <c r="H2459" t="s">
        <v>590</v>
      </c>
      <c r="I2459" t="s">
        <v>774</v>
      </c>
      <c r="L2459">
        <v>3</v>
      </c>
      <c r="M2459">
        <v>1656</v>
      </c>
      <c r="N2459">
        <v>-3</v>
      </c>
      <c r="O2459">
        <v>-1656</v>
      </c>
      <c r="Z2459" s="3">
        <f t="shared" si="38"/>
        <v>552</v>
      </c>
    </row>
    <row r="2460" spans="1:26" hidden="1">
      <c r="A2460" t="s">
        <v>706</v>
      </c>
      <c r="B2460" s="6">
        <v>44287</v>
      </c>
      <c r="C2460" s="6">
        <v>44651</v>
      </c>
      <c r="D2460">
        <v>20210401</v>
      </c>
      <c r="E2460">
        <v>20220331</v>
      </c>
      <c r="F2460" t="s">
        <v>5693</v>
      </c>
      <c r="G2460" t="s">
        <v>5694</v>
      </c>
      <c r="H2460" t="s">
        <v>590</v>
      </c>
      <c r="I2460" t="s">
        <v>774</v>
      </c>
      <c r="L2460">
        <v>7</v>
      </c>
      <c r="M2460">
        <v>24050</v>
      </c>
      <c r="N2460">
        <v>-6</v>
      </c>
      <c r="O2460">
        <v>-16000</v>
      </c>
      <c r="R2460">
        <v>-1</v>
      </c>
      <c r="S2460">
        <v>-8050</v>
      </c>
      <c r="Z2460" s="3">
        <f t="shared" si="38"/>
        <v>2666.6666666666665</v>
      </c>
    </row>
    <row r="2461" spans="1:26" hidden="1">
      <c r="A2461" t="s">
        <v>706</v>
      </c>
      <c r="B2461" s="6">
        <v>44287</v>
      </c>
      <c r="C2461" s="6">
        <v>44651</v>
      </c>
      <c r="D2461">
        <v>20210401</v>
      </c>
      <c r="E2461">
        <v>20220331</v>
      </c>
      <c r="F2461" t="s">
        <v>5695</v>
      </c>
      <c r="G2461" t="s">
        <v>5696</v>
      </c>
      <c r="H2461" t="s">
        <v>590</v>
      </c>
      <c r="I2461" t="s">
        <v>1462</v>
      </c>
      <c r="L2461">
        <v>4</v>
      </c>
      <c r="M2461">
        <v>20000</v>
      </c>
      <c r="N2461">
        <v>-4</v>
      </c>
      <c r="O2461">
        <v>-20000</v>
      </c>
      <c r="Z2461" s="3">
        <f t="shared" si="38"/>
        <v>5000</v>
      </c>
    </row>
    <row r="2462" spans="1:26" hidden="1">
      <c r="A2462" t="s">
        <v>706</v>
      </c>
      <c r="B2462" s="6">
        <v>44287</v>
      </c>
      <c r="C2462" s="6">
        <v>44651</v>
      </c>
      <c r="D2462">
        <v>20210401</v>
      </c>
      <c r="E2462">
        <v>20220331</v>
      </c>
      <c r="F2462" t="s">
        <v>5697</v>
      </c>
      <c r="G2462" t="s">
        <v>5698</v>
      </c>
      <c r="H2462" t="s">
        <v>590</v>
      </c>
      <c r="I2462" t="s">
        <v>1462</v>
      </c>
      <c r="L2462">
        <v>4</v>
      </c>
      <c r="M2462">
        <v>1800</v>
      </c>
      <c r="N2462">
        <v>-4</v>
      </c>
      <c r="O2462">
        <v>-1800</v>
      </c>
      <c r="Z2462" s="3">
        <f t="shared" si="38"/>
        <v>450</v>
      </c>
    </row>
    <row r="2463" spans="1:26" hidden="1">
      <c r="A2463" t="s">
        <v>706</v>
      </c>
      <c r="B2463" s="6">
        <v>44287</v>
      </c>
      <c r="C2463" s="6">
        <v>44651</v>
      </c>
      <c r="D2463">
        <v>20210401</v>
      </c>
      <c r="E2463">
        <v>20220331</v>
      </c>
      <c r="F2463" t="s">
        <v>5699</v>
      </c>
      <c r="G2463" t="s">
        <v>5700</v>
      </c>
      <c r="H2463" t="s">
        <v>590</v>
      </c>
      <c r="I2463" t="s">
        <v>1462</v>
      </c>
      <c r="L2463">
        <v>2</v>
      </c>
      <c r="M2463">
        <v>21024</v>
      </c>
      <c r="N2463">
        <v>-2</v>
      </c>
      <c r="O2463">
        <v>-21024</v>
      </c>
      <c r="Z2463" s="3">
        <f t="shared" si="38"/>
        <v>10512</v>
      </c>
    </row>
    <row r="2464" spans="1:26" hidden="1">
      <c r="A2464" t="s">
        <v>706</v>
      </c>
      <c r="B2464" s="6">
        <v>44287</v>
      </c>
      <c r="C2464" s="6">
        <v>44651</v>
      </c>
      <c r="D2464">
        <v>20210401</v>
      </c>
      <c r="E2464">
        <v>20220331</v>
      </c>
      <c r="F2464" t="s">
        <v>5701</v>
      </c>
      <c r="G2464" t="s">
        <v>5702</v>
      </c>
      <c r="H2464" t="s">
        <v>590</v>
      </c>
      <c r="I2464" t="s">
        <v>774</v>
      </c>
      <c r="L2464">
        <v>1</v>
      </c>
      <c r="M2464">
        <v>32000</v>
      </c>
      <c r="N2464">
        <v>-1</v>
      </c>
      <c r="O2464">
        <v>-32000</v>
      </c>
      <c r="Z2464" s="3">
        <f t="shared" si="38"/>
        <v>32000</v>
      </c>
    </row>
    <row r="2465" spans="1:26" hidden="1">
      <c r="A2465" t="s">
        <v>706</v>
      </c>
      <c r="B2465" s="6">
        <v>44287</v>
      </c>
      <c r="C2465" s="6">
        <v>44651</v>
      </c>
      <c r="D2465">
        <v>20210401</v>
      </c>
      <c r="E2465">
        <v>20220331</v>
      </c>
      <c r="F2465" t="s">
        <v>5703</v>
      </c>
      <c r="G2465" t="s">
        <v>5704</v>
      </c>
      <c r="H2465" t="s">
        <v>590</v>
      </c>
      <c r="I2465" t="s">
        <v>774</v>
      </c>
      <c r="L2465">
        <v>1</v>
      </c>
      <c r="M2465">
        <v>30500</v>
      </c>
      <c r="N2465">
        <v>-1</v>
      </c>
      <c r="O2465">
        <v>-30500</v>
      </c>
      <c r="Z2465" s="3">
        <f t="shared" si="38"/>
        <v>30500</v>
      </c>
    </row>
    <row r="2466" spans="1:26" hidden="1">
      <c r="A2466" t="s">
        <v>706</v>
      </c>
      <c r="B2466" s="6">
        <v>44287</v>
      </c>
      <c r="C2466" s="6">
        <v>44651</v>
      </c>
      <c r="D2466">
        <v>20210401</v>
      </c>
      <c r="E2466">
        <v>20220331</v>
      </c>
      <c r="F2466" t="s">
        <v>5705</v>
      </c>
      <c r="G2466" t="s">
        <v>5706</v>
      </c>
      <c r="H2466" t="s">
        <v>590</v>
      </c>
      <c r="I2466" t="s">
        <v>774</v>
      </c>
      <c r="L2466">
        <v>1</v>
      </c>
      <c r="M2466">
        <v>21000</v>
      </c>
      <c r="N2466">
        <v>-1</v>
      </c>
      <c r="O2466">
        <v>-21000</v>
      </c>
      <c r="Z2466" s="3">
        <f t="shared" si="38"/>
        <v>21000</v>
      </c>
    </row>
    <row r="2467" spans="1:26" hidden="1">
      <c r="A2467" t="s">
        <v>706</v>
      </c>
      <c r="B2467" s="6">
        <v>44287</v>
      </c>
      <c r="C2467" s="6">
        <v>44651</v>
      </c>
      <c r="D2467">
        <v>20210401</v>
      </c>
      <c r="E2467">
        <v>20220331</v>
      </c>
      <c r="F2467" t="s">
        <v>5707</v>
      </c>
      <c r="G2467" t="s">
        <v>5708</v>
      </c>
      <c r="H2467" t="s">
        <v>590</v>
      </c>
      <c r="I2467" t="s">
        <v>774</v>
      </c>
      <c r="L2467">
        <v>1</v>
      </c>
      <c r="M2467">
        <v>32500</v>
      </c>
      <c r="N2467">
        <v>-1</v>
      </c>
      <c r="O2467">
        <v>-32500</v>
      </c>
      <c r="Z2467" s="3">
        <f t="shared" si="38"/>
        <v>32500</v>
      </c>
    </row>
    <row r="2468" spans="1:26" hidden="1">
      <c r="A2468" t="s">
        <v>706</v>
      </c>
      <c r="B2468" s="6">
        <v>44287</v>
      </c>
      <c r="C2468" s="6">
        <v>44651</v>
      </c>
      <c r="D2468">
        <v>20210401</v>
      </c>
      <c r="E2468">
        <v>20220331</v>
      </c>
      <c r="F2468" t="s">
        <v>5709</v>
      </c>
      <c r="G2468" t="s">
        <v>5710</v>
      </c>
      <c r="H2468" t="s">
        <v>590</v>
      </c>
      <c r="I2468" t="s">
        <v>774</v>
      </c>
      <c r="P2468">
        <v>1</v>
      </c>
      <c r="R2468">
        <v>-1</v>
      </c>
      <c r="Z2468" s="3">
        <f t="shared" si="38"/>
        <v>0</v>
      </c>
    </row>
    <row r="2469" spans="1:26" hidden="1">
      <c r="A2469" t="s">
        <v>706</v>
      </c>
      <c r="B2469" s="6">
        <v>44287</v>
      </c>
      <c r="C2469" s="6">
        <v>44651</v>
      </c>
      <c r="D2469">
        <v>20210401</v>
      </c>
      <c r="E2469">
        <v>20220331</v>
      </c>
      <c r="F2469" t="s">
        <v>5711</v>
      </c>
      <c r="G2469" t="s">
        <v>5712</v>
      </c>
      <c r="H2469" t="s">
        <v>590</v>
      </c>
      <c r="I2469" t="s">
        <v>774</v>
      </c>
      <c r="P2469">
        <v>1</v>
      </c>
      <c r="R2469">
        <v>-1</v>
      </c>
      <c r="Z2469" s="3">
        <f t="shared" si="38"/>
        <v>0</v>
      </c>
    </row>
    <row r="2470" spans="1:26" hidden="1">
      <c r="A2470" t="s">
        <v>706</v>
      </c>
      <c r="B2470" s="6">
        <v>44287</v>
      </c>
      <c r="C2470" s="6">
        <v>44651</v>
      </c>
      <c r="D2470">
        <v>20210401</v>
      </c>
      <c r="E2470">
        <v>20220331</v>
      </c>
      <c r="F2470" t="s">
        <v>5713</v>
      </c>
      <c r="G2470" t="s">
        <v>5714</v>
      </c>
      <c r="H2470" t="s">
        <v>590</v>
      </c>
      <c r="I2470" t="s">
        <v>774</v>
      </c>
      <c r="L2470">
        <v>1</v>
      </c>
      <c r="M2470">
        <v>66500</v>
      </c>
      <c r="N2470">
        <v>-1</v>
      </c>
      <c r="O2470">
        <v>-66500</v>
      </c>
      <c r="P2470">
        <v>1</v>
      </c>
      <c r="Q2470">
        <v>66500</v>
      </c>
      <c r="R2470">
        <v>-1</v>
      </c>
      <c r="S2470">
        <v>-66500</v>
      </c>
      <c r="Z2470" s="3" t="e">
        <f t="shared" si="38"/>
        <v>#DIV/0!</v>
      </c>
    </row>
    <row r="2471" spans="1:26" hidden="1">
      <c r="A2471" t="s">
        <v>706</v>
      </c>
      <c r="B2471" s="6">
        <v>44287</v>
      </c>
      <c r="C2471" s="6">
        <v>44651</v>
      </c>
      <c r="D2471">
        <v>20210401</v>
      </c>
      <c r="E2471">
        <v>20220331</v>
      </c>
      <c r="F2471" t="s">
        <v>5715</v>
      </c>
      <c r="G2471" t="s">
        <v>5716</v>
      </c>
      <c r="H2471" t="s">
        <v>590</v>
      </c>
      <c r="I2471" t="s">
        <v>774</v>
      </c>
      <c r="L2471">
        <v>1</v>
      </c>
      <c r="M2471">
        <v>71300</v>
      </c>
      <c r="N2471">
        <v>-1</v>
      </c>
      <c r="O2471">
        <v>-71300</v>
      </c>
      <c r="P2471">
        <v>1</v>
      </c>
      <c r="Q2471">
        <v>71300</v>
      </c>
      <c r="R2471">
        <v>-1</v>
      </c>
      <c r="S2471">
        <v>-71300</v>
      </c>
      <c r="Z2471" s="3" t="e">
        <f t="shared" si="38"/>
        <v>#DIV/0!</v>
      </c>
    </row>
    <row r="2472" spans="1:26" hidden="1">
      <c r="A2472" t="s">
        <v>706</v>
      </c>
      <c r="B2472" s="6">
        <v>44287</v>
      </c>
      <c r="C2472" s="6">
        <v>44651</v>
      </c>
      <c r="D2472">
        <v>20210401</v>
      </c>
      <c r="E2472">
        <v>20220331</v>
      </c>
      <c r="F2472" t="s">
        <v>5717</v>
      </c>
      <c r="H2472" t="s">
        <v>590</v>
      </c>
      <c r="I2472" t="s">
        <v>805</v>
      </c>
      <c r="J2472">
        <v>90</v>
      </c>
      <c r="K2472">
        <v>1942.2</v>
      </c>
      <c r="X2472">
        <v>90</v>
      </c>
      <c r="Y2472">
        <v>1942.2</v>
      </c>
      <c r="Z2472" s="3">
        <f t="shared" si="38"/>
        <v>21.580000000000002</v>
      </c>
    </row>
    <row r="2473" spans="1:26" hidden="1">
      <c r="A2473" t="s">
        <v>706</v>
      </c>
      <c r="B2473" s="6">
        <v>44287</v>
      </c>
      <c r="C2473" s="6">
        <v>44651</v>
      </c>
      <c r="D2473">
        <v>20210401</v>
      </c>
      <c r="E2473">
        <v>20220331</v>
      </c>
      <c r="F2473" t="s">
        <v>5718</v>
      </c>
      <c r="G2473" t="s">
        <v>5719</v>
      </c>
      <c r="H2473" t="s">
        <v>590</v>
      </c>
      <c r="I2473" t="s">
        <v>774</v>
      </c>
      <c r="L2473">
        <v>1</v>
      </c>
      <c r="M2473">
        <v>73800</v>
      </c>
      <c r="N2473">
        <v>-1</v>
      </c>
      <c r="O2473">
        <v>-73800</v>
      </c>
      <c r="P2473">
        <v>1</v>
      </c>
      <c r="Q2473">
        <v>73800</v>
      </c>
      <c r="R2473">
        <v>-1</v>
      </c>
      <c r="S2473">
        <v>-73800</v>
      </c>
      <c r="Z2473" s="3" t="e">
        <f t="shared" si="38"/>
        <v>#DIV/0!</v>
      </c>
    </row>
    <row r="2474" spans="1:26" hidden="1">
      <c r="A2474" t="s">
        <v>706</v>
      </c>
      <c r="B2474" s="6">
        <v>44287</v>
      </c>
      <c r="C2474" s="6">
        <v>44651</v>
      </c>
      <c r="D2474">
        <v>20210401</v>
      </c>
      <c r="E2474">
        <v>20220331</v>
      </c>
      <c r="F2474" t="s">
        <v>5720</v>
      </c>
      <c r="G2474" t="s">
        <v>5721</v>
      </c>
      <c r="H2474" t="s">
        <v>590</v>
      </c>
      <c r="I2474" t="s">
        <v>774</v>
      </c>
      <c r="L2474">
        <v>1</v>
      </c>
      <c r="M2474">
        <v>70300</v>
      </c>
      <c r="N2474">
        <v>-1</v>
      </c>
      <c r="O2474">
        <v>-70300</v>
      </c>
      <c r="P2474">
        <v>1</v>
      </c>
      <c r="Q2474">
        <v>70300</v>
      </c>
      <c r="R2474">
        <v>-1</v>
      </c>
      <c r="S2474">
        <v>-70300</v>
      </c>
      <c r="Z2474" s="3" t="e">
        <f t="shared" si="38"/>
        <v>#DIV/0!</v>
      </c>
    </row>
    <row r="2475" spans="1:26" hidden="1">
      <c r="A2475" t="s">
        <v>706</v>
      </c>
      <c r="B2475" s="6">
        <v>44287</v>
      </c>
      <c r="C2475" s="6">
        <v>44651</v>
      </c>
      <c r="D2475">
        <v>20210401</v>
      </c>
      <c r="E2475">
        <v>20220331</v>
      </c>
      <c r="F2475" t="s">
        <v>5722</v>
      </c>
      <c r="G2475" t="s">
        <v>5723</v>
      </c>
      <c r="H2475" t="s">
        <v>590</v>
      </c>
      <c r="I2475" t="s">
        <v>774</v>
      </c>
      <c r="L2475">
        <v>1</v>
      </c>
      <c r="M2475">
        <v>80800</v>
      </c>
      <c r="N2475">
        <v>-1</v>
      </c>
      <c r="O2475">
        <v>-80800</v>
      </c>
      <c r="P2475">
        <v>1</v>
      </c>
      <c r="Q2475">
        <v>80800</v>
      </c>
      <c r="R2475">
        <v>-1</v>
      </c>
      <c r="S2475">
        <v>-80800</v>
      </c>
      <c r="Z2475" s="3" t="e">
        <f t="shared" si="38"/>
        <v>#DIV/0!</v>
      </c>
    </row>
    <row r="2476" spans="1:26" hidden="1">
      <c r="A2476" t="s">
        <v>706</v>
      </c>
      <c r="B2476" s="6">
        <v>44287</v>
      </c>
      <c r="C2476" s="6">
        <v>44651</v>
      </c>
      <c r="D2476">
        <v>20210401</v>
      </c>
      <c r="E2476">
        <v>20220331</v>
      </c>
      <c r="F2476" t="s">
        <v>5724</v>
      </c>
      <c r="G2476" t="s">
        <v>5725</v>
      </c>
      <c r="H2476" t="s">
        <v>590</v>
      </c>
      <c r="I2476" t="s">
        <v>774</v>
      </c>
      <c r="L2476">
        <v>1</v>
      </c>
      <c r="M2476">
        <v>54200</v>
      </c>
      <c r="N2476">
        <v>-1</v>
      </c>
      <c r="O2476">
        <v>-54200</v>
      </c>
      <c r="P2476">
        <v>1</v>
      </c>
      <c r="Q2476">
        <v>54200</v>
      </c>
      <c r="R2476">
        <v>-1</v>
      </c>
      <c r="S2476">
        <v>-54200</v>
      </c>
      <c r="Z2476" s="3" t="e">
        <f t="shared" si="38"/>
        <v>#DIV/0!</v>
      </c>
    </row>
    <row r="2477" spans="1:26" hidden="1">
      <c r="A2477" t="s">
        <v>706</v>
      </c>
      <c r="B2477" s="6">
        <v>44287</v>
      </c>
      <c r="C2477" s="6">
        <v>44651</v>
      </c>
      <c r="D2477">
        <v>20210401</v>
      </c>
      <c r="E2477">
        <v>20220331</v>
      </c>
      <c r="F2477" t="s">
        <v>5726</v>
      </c>
      <c r="G2477" t="s">
        <v>5727</v>
      </c>
      <c r="H2477" t="s">
        <v>590</v>
      </c>
      <c r="I2477" t="s">
        <v>774</v>
      </c>
      <c r="L2477">
        <v>1</v>
      </c>
      <c r="M2477">
        <v>32000</v>
      </c>
      <c r="N2477">
        <v>-1</v>
      </c>
      <c r="O2477">
        <v>-32000</v>
      </c>
      <c r="Z2477" s="3">
        <f t="shared" si="38"/>
        <v>32000</v>
      </c>
    </row>
    <row r="2478" spans="1:26" hidden="1">
      <c r="A2478" t="s">
        <v>706</v>
      </c>
      <c r="B2478" s="6">
        <v>44287</v>
      </c>
      <c r="C2478" s="6">
        <v>44651</v>
      </c>
      <c r="D2478">
        <v>20210401</v>
      </c>
      <c r="E2478">
        <v>20220331</v>
      </c>
      <c r="F2478" t="s">
        <v>5728</v>
      </c>
      <c r="G2478" t="s">
        <v>5729</v>
      </c>
      <c r="H2478" t="s">
        <v>590</v>
      </c>
      <c r="I2478" t="s">
        <v>774</v>
      </c>
      <c r="L2478">
        <v>1</v>
      </c>
      <c r="M2478">
        <v>56000</v>
      </c>
      <c r="N2478">
        <v>-1</v>
      </c>
      <c r="O2478">
        <v>-56000</v>
      </c>
      <c r="Z2478" s="3">
        <f t="shared" si="38"/>
        <v>56000</v>
      </c>
    </row>
    <row r="2479" spans="1:26" hidden="1">
      <c r="A2479" t="s">
        <v>706</v>
      </c>
      <c r="B2479" s="6">
        <v>44287</v>
      </c>
      <c r="C2479" s="6">
        <v>44651</v>
      </c>
      <c r="D2479">
        <v>20210401</v>
      </c>
      <c r="E2479">
        <v>20220331</v>
      </c>
      <c r="F2479" t="s">
        <v>5730</v>
      </c>
      <c r="G2479" t="s">
        <v>5731</v>
      </c>
      <c r="H2479" t="s">
        <v>590</v>
      </c>
      <c r="I2479" t="s">
        <v>774</v>
      </c>
      <c r="L2479">
        <v>1</v>
      </c>
      <c r="M2479">
        <v>57000</v>
      </c>
      <c r="N2479">
        <v>-1</v>
      </c>
      <c r="O2479">
        <v>-57000</v>
      </c>
      <c r="Z2479" s="3">
        <f t="shared" si="38"/>
        <v>57000</v>
      </c>
    </row>
    <row r="2480" spans="1:26" hidden="1">
      <c r="A2480" t="s">
        <v>706</v>
      </c>
      <c r="B2480" s="6">
        <v>44287</v>
      </c>
      <c r="C2480" s="6">
        <v>44651</v>
      </c>
      <c r="D2480">
        <v>20210401</v>
      </c>
      <c r="E2480">
        <v>20220331</v>
      </c>
      <c r="F2480" t="s">
        <v>5732</v>
      </c>
      <c r="G2480" t="s">
        <v>5733</v>
      </c>
      <c r="H2480" t="s">
        <v>590</v>
      </c>
      <c r="I2480" t="s">
        <v>774</v>
      </c>
      <c r="L2480">
        <v>1</v>
      </c>
      <c r="M2480">
        <v>81000</v>
      </c>
      <c r="N2480">
        <v>-1</v>
      </c>
      <c r="O2480">
        <v>-81000</v>
      </c>
      <c r="Z2480" s="3">
        <f t="shared" si="38"/>
        <v>81000</v>
      </c>
    </row>
    <row r="2481" spans="1:26" hidden="1">
      <c r="A2481" t="s">
        <v>706</v>
      </c>
      <c r="B2481" s="6">
        <v>44287</v>
      </c>
      <c r="C2481" s="6">
        <v>44651</v>
      </c>
      <c r="D2481">
        <v>20210401</v>
      </c>
      <c r="E2481">
        <v>20220331</v>
      </c>
      <c r="F2481" t="s">
        <v>5734</v>
      </c>
      <c r="G2481" t="s">
        <v>5735</v>
      </c>
      <c r="H2481" t="s">
        <v>590</v>
      </c>
      <c r="I2481" t="s">
        <v>805</v>
      </c>
      <c r="K2481">
        <v>0.02</v>
      </c>
      <c r="N2481">
        <v>-90</v>
      </c>
      <c r="O2481">
        <v>-1942.17</v>
      </c>
      <c r="X2481">
        <v>-90</v>
      </c>
      <c r="Y2481">
        <v>-1942.15</v>
      </c>
      <c r="Z2481" s="3">
        <f t="shared" si="38"/>
        <v>21.579666666666668</v>
      </c>
    </row>
  </sheetData>
  <autoFilter ref="A1:Z2481" xr:uid="{00000000-0009-0000-0000-00000A000000}">
    <filterColumn colId="8">
      <filters>
        <filter val="RMFI"/>
        <filter val="RMFL"/>
        <filter val="RMFR"/>
        <filter val="RMFU"/>
      </filters>
    </filterColumn>
  </autoFilter>
  <hyperlinks>
    <hyperlink ref="A2" location="'Input Files'!I12" display="Branch Plant" xr:uid="{00000000-0004-0000-0A00-000000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filterMode="1"/>
  <dimension ref="A1:Z1365"/>
  <sheetViews>
    <sheetView topLeftCell="F92" workbookViewId="0">
      <selection activeCell="N146" sqref="N146:N1366"/>
    </sheetView>
  </sheetViews>
  <sheetFormatPr defaultRowHeight="15"/>
  <cols>
    <col min="1" max="1" width="12" bestFit="1" customWidth="1"/>
    <col min="2" max="3" width="10.42578125" bestFit="1" customWidth="1"/>
    <col min="4" max="4" width="10.140625" bestFit="1" customWidth="1"/>
    <col min="5" max="5" width="9" bestFit="1" customWidth="1"/>
    <col min="6" max="6" width="13.140625" bestFit="1" customWidth="1"/>
    <col min="7" max="7" width="35.140625" bestFit="1" customWidth="1"/>
    <col min="8" max="8" width="5.42578125" bestFit="1" customWidth="1"/>
    <col min="9" max="9" width="6.7109375" bestFit="1" customWidth="1"/>
    <col min="10" max="11" width="13.85546875" bestFit="1" customWidth="1"/>
    <col min="12" max="12" width="9" bestFit="1" customWidth="1"/>
    <col min="13" max="13" width="12" bestFit="1" customWidth="1"/>
    <col min="14" max="14" width="11.7109375" bestFit="1" customWidth="1"/>
    <col min="15" max="15" width="12.7109375" bestFit="1" customWidth="1"/>
    <col min="16" max="16" width="11" bestFit="1" customWidth="1"/>
    <col min="17" max="17" width="12" bestFit="1" customWidth="1"/>
    <col min="18" max="18" width="7.7109375" bestFit="1" customWidth="1"/>
    <col min="19" max="19" width="11.7109375" bestFit="1" customWidth="1"/>
    <col min="20" max="21" width="10" bestFit="1" customWidth="1"/>
    <col min="22" max="22" width="10.42578125" bestFit="1" customWidth="1"/>
    <col min="23" max="23" width="12" bestFit="1" customWidth="1"/>
    <col min="24" max="25" width="12.5703125" bestFit="1" customWidth="1"/>
    <col min="26" max="26" width="11.5703125" bestFit="1" customWidth="1"/>
  </cols>
  <sheetData>
    <row r="1" spans="1:26">
      <c r="I1" t="s">
        <v>759</v>
      </c>
      <c r="J1" t="s">
        <v>760</v>
      </c>
      <c r="K1" t="s">
        <v>760</v>
      </c>
      <c r="L1" t="s">
        <v>761</v>
      </c>
      <c r="M1" t="s">
        <v>761</v>
      </c>
      <c r="N1" t="s">
        <v>762</v>
      </c>
      <c r="O1" t="s">
        <v>762</v>
      </c>
      <c r="P1" t="s">
        <v>763</v>
      </c>
      <c r="Q1" t="s">
        <v>763</v>
      </c>
      <c r="R1" t="s">
        <v>764</v>
      </c>
      <c r="S1" t="s">
        <v>764</v>
      </c>
      <c r="T1" t="s">
        <v>765</v>
      </c>
      <c r="U1" t="s">
        <v>765</v>
      </c>
      <c r="V1" t="s">
        <v>766</v>
      </c>
      <c r="W1" t="s">
        <v>766</v>
      </c>
      <c r="X1" t="s">
        <v>767</v>
      </c>
      <c r="Y1" t="s">
        <v>767</v>
      </c>
    </row>
    <row r="2" spans="1:26" hidden="1">
      <c r="A2" t="s">
        <v>768</v>
      </c>
      <c r="B2" t="s">
        <v>769</v>
      </c>
      <c r="C2" t="s">
        <v>770</v>
      </c>
      <c r="D2" t="s">
        <v>769</v>
      </c>
      <c r="E2" t="s">
        <v>770</v>
      </c>
      <c r="F2" t="s">
        <v>6</v>
      </c>
      <c r="G2" t="s">
        <v>771</v>
      </c>
      <c r="H2" t="s">
        <v>44</v>
      </c>
      <c r="I2" t="s">
        <v>173</v>
      </c>
      <c r="J2" t="s">
        <v>176</v>
      </c>
      <c r="K2" t="s">
        <v>289</v>
      </c>
      <c r="L2" t="s">
        <v>176</v>
      </c>
      <c r="M2" t="s">
        <v>289</v>
      </c>
      <c r="N2" t="s">
        <v>176</v>
      </c>
      <c r="O2" t="s">
        <v>289</v>
      </c>
      <c r="P2" t="s">
        <v>176</v>
      </c>
      <c r="Q2" t="s">
        <v>289</v>
      </c>
      <c r="R2" t="s">
        <v>176</v>
      </c>
      <c r="S2" t="s">
        <v>289</v>
      </c>
      <c r="T2" t="s">
        <v>176</v>
      </c>
      <c r="U2" t="s">
        <v>289</v>
      </c>
      <c r="V2" t="s">
        <v>176</v>
      </c>
      <c r="W2" t="s">
        <v>289</v>
      </c>
      <c r="X2" t="s">
        <v>176</v>
      </c>
      <c r="Y2" t="s">
        <v>289</v>
      </c>
      <c r="Z2" t="s">
        <v>175</v>
      </c>
    </row>
    <row r="3" spans="1:26" hidden="1">
      <c r="A3" t="s">
        <v>707</v>
      </c>
      <c r="B3" s="6">
        <v>44287</v>
      </c>
      <c r="C3" s="6">
        <v>44651</v>
      </c>
      <c r="D3">
        <v>20210401</v>
      </c>
      <c r="E3">
        <v>20220331</v>
      </c>
      <c r="F3" t="s">
        <v>772</v>
      </c>
      <c r="G3" t="s">
        <v>773</v>
      </c>
      <c r="H3" t="s">
        <v>590</v>
      </c>
      <c r="I3" t="s">
        <v>774</v>
      </c>
      <c r="L3">
        <v>1</v>
      </c>
      <c r="M3">
        <v>70000</v>
      </c>
      <c r="N3">
        <v>-1</v>
      </c>
      <c r="O3">
        <v>-70000</v>
      </c>
      <c r="Z3" s="3">
        <f t="shared" ref="Z3:Z66" si="0">IFERROR((O3+Q3)/(N3+P3),Y3/X3)</f>
        <v>70000</v>
      </c>
    </row>
    <row r="4" spans="1:26" hidden="1">
      <c r="A4" t="s">
        <v>707</v>
      </c>
      <c r="B4" s="6">
        <v>44287</v>
      </c>
      <c r="C4" s="6">
        <v>44651</v>
      </c>
      <c r="D4">
        <v>20210401</v>
      </c>
      <c r="E4">
        <v>20220331</v>
      </c>
      <c r="F4" t="s">
        <v>775</v>
      </c>
      <c r="G4" t="s">
        <v>776</v>
      </c>
      <c r="H4" t="s">
        <v>590</v>
      </c>
      <c r="I4" t="s">
        <v>774</v>
      </c>
      <c r="L4">
        <v>1</v>
      </c>
      <c r="M4">
        <v>110000</v>
      </c>
      <c r="N4">
        <v>-1</v>
      </c>
      <c r="O4">
        <v>-110000</v>
      </c>
      <c r="Z4" s="3">
        <f t="shared" si="0"/>
        <v>110000</v>
      </c>
    </row>
    <row r="5" spans="1:26" hidden="1">
      <c r="A5" t="s">
        <v>707</v>
      </c>
      <c r="B5" s="6">
        <v>44287</v>
      </c>
      <c r="C5" s="6">
        <v>44651</v>
      </c>
      <c r="D5">
        <v>20210401</v>
      </c>
      <c r="E5">
        <v>20220331</v>
      </c>
      <c r="F5" t="s">
        <v>777</v>
      </c>
      <c r="G5" t="s">
        <v>778</v>
      </c>
      <c r="H5" t="s">
        <v>590</v>
      </c>
      <c r="I5" t="s">
        <v>774</v>
      </c>
      <c r="L5">
        <v>1</v>
      </c>
      <c r="M5">
        <v>80000</v>
      </c>
      <c r="N5">
        <v>-1</v>
      </c>
      <c r="O5">
        <v>-80000</v>
      </c>
      <c r="Z5" s="3">
        <f t="shared" si="0"/>
        <v>80000</v>
      </c>
    </row>
    <row r="6" spans="1:26" hidden="1">
      <c r="A6" t="s">
        <v>707</v>
      </c>
      <c r="B6" s="6">
        <v>44287</v>
      </c>
      <c r="C6" s="6">
        <v>44651</v>
      </c>
      <c r="D6">
        <v>20210401</v>
      </c>
      <c r="E6">
        <v>20220331</v>
      </c>
      <c r="F6" t="s">
        <v>779</v>
      </c>
      <c r="G6" t="s">
        <v>780</v>
      </c>
      <c r="H6" t="s">
        <v>590</v>
      </c>
      <c r="I6" t="s">
        <v>774</v>
      </c>
      <c r="L6">
        <v>1</v>
      </c>
      <c r="M6">
        <v>1</v>
      </c>
      <c r="N6">
        <v>-1</v>
      </c>
      <c r="O6">
        <v>-1</v>
      </c>
      <c r="P6">
        <v>1</v>
      </c>
      <c r="Q6">
        <v>110000</v>
      </c>
      <c r="R6">
        <v>-1</v>
      </c>
      <c r="S6">
        <v>-110000</v>
      </c>
      <c r="Z6" s="3" t="e">
        <f t="shared" si="0"/>
        <v>#DIV/0!</v>
      </c>
    </row>
    <row r="7" spans="1:26" hidden="1">
      <c r="A7" t="s">
        <v>707</v>
      </c>
      <c r="B7" s="6">
        <v>44287</v>
      </c>
      <c r="C7" s="6">
        <v>44651</v>
      </c>
      <c r="D7">
        <v>20210401</v>
      </c>
      <c r="E7">
        <v>20220331</v>
      </c>
      <c r="F7" t="s">
        <v>781</v>
      </c>
      <c r="G7" t="s">
        <v>782</v>
      </c>
      <c r="H7" t="s">
        <v>590</v>
      </c>
      <c r="I7" t="s">
        <v>774</v>
      </c>
      <c r="L7">
        <v>1</v>
      </c>
      <c r="M7">
        <v>80000</v>
      </c>
      <c r="N7">
        <v>-1</v>
      </c>
      <c r="O7">
        <v>-80000</v>
      </c>
      <c r="Z7" s="3">
        <f t="shared" si="0"/>
        <v>80000</v>
      </c>
    </row>
    <row r="8" spans="1:26" hidden="1">
      <c r="A8" t="s">
        <v>707</v>
      </c>
      <c r="B8" s="6">
        <v>44287</v>
      </c>
      <c r="C8" s="6">
        <v>44651</v>
      </c>
      <c r="D8">
        <v>20210401</v>
      </c>
      <c r="E8">
        <v>20220331</v>
      </c>
      <c r="F8" t="s">
        <v>785</v>
      </c>
      <c r="G8" t="s">
        <v>786</v>
      </c>
      <c r="H8" t="s">
        <v>590</v>
      </c>
      <c r="I8" t="s">
        <v>774</v>
      </c>
      <c r="L8">
        <v>1</v>
      </c>
      <c r="M8">
        <v>120000</v>
      </c>
      <c r="N8">
        <v>-1</v>
      </c>
      <c r="O8">
        <v>-120000</v>
      </c>
      <c r="Z8" s="3">
        <f t="shared" si="0"/>
        <v>120000</v>
      </c>
    </row>
    <row r="9" spans="1:26" hidden="1">
      <c r="A9" t="s">
        <v>707</v>
      </c>
      <c r="B9" s="6">
        <v>44287</v>
      </c>
      <c r="C9" s="6">
        <v>44651</v>
      </c>
      <c r="D9">
        <v>20210401</v>
      </c>
      <c r="E9">
        <v>20220331</v>
      </c>
      <c r="F9" t="s">
        <v>787</v>
      </c>
      <c r="G9" t="s">
        <v>788</v>
      </c>
      <c r="H9" t="s">
        <v>590</v>
      </c>
      <c r="I9" t="s">
        <v>774</v>
      </c>
      <c r="L9">
        <v>1</v>
      </c>
      <c r="M9">
        <v>120000</v>
      </c>
      <c r="N9">
        <v>-1</v>
      </c>
      <c r="O9">
        <v>-120000</v>
      </c>
      <c r="Z9" s="3">
        <f t="shared" si="0"/>
        <v>120000</v>
      </c>
    </row>
    <row r="10" spans="1:26" hidden="1">
      <c r="A10" t="s">
        <v>707</v>
      </c>
      <c r="B10" s="6">
        <v>44287</v>
      </c>
      <c r="C10" s="6">
        <v>44651</v>
      </c>
      <c r="D10">
        <v>20210401</v>
      </c>
      <c r="E10">
        <v>20220331</v>
      </c>
      <c r="F10" t="s">
        <v>789</v>
      </c>
      <c r="G10" t="s">
        <v>790</v>
      </c>
      <c r="H10" t="s">
        <v>590</v>
      </c>
      <c r="I10" t="s">
        <v>774</v>
      </c>
      <c r="L10">
        <v>1</v>
      </c>
      <c r="M10">
        <v>1</v>
      </c>
      <c r="N10">
        <v>-1</v>
      </c>
      <c r="O10">
        <v>-1</v>
      </c>
      <c r="Z10" s="3">
        <f t="shared" si="0"/>
        <v>1</v>
      </c>
    </row>
    <row r="11" spans="1:26" hidden="1">
      <c r="A11" t="s">
        <v>707</v>
      </c>
      <c r="B11" s="6">
        <v>44287</v>
      </c>
      <c r="C11" s="6">
        <v>44651</v>
      </c>
      <c r="D11">
        <v>20210401</v>
      </c>
      <c r="E11">
        <v>20220331</v>
      </c>
      <c r="F11" t="s">
        <v>791</v>
      </c>
      <c r="G11" t="s">
        <v>792</v>
      </c>
      <c r="H11" t="s">
        <v>590</v>
      </c>
      <c r="I11" t="s">
        <v>774</v>
      </c>
      <c r="L11">
        <v>1</v>
      </c>
      <c r="M11">
        <v>1</v>
      </c>
      <c r="N11">
        <v>-1</v>
      </c>
      <c r="O11">
        <v>-1</v>
      </c>
      <c r="Z11" s="3">
        <f t="shared" si="0"/>
        <v>1</v>
      </c>
    </row>
    <row r="12" spans="1:26" hidden="1">
      <c r="A12" t="s">
        <v>707</v>
      </c>
      <c r="B12" s="6">
        <v>44287</v>
      </c>
      <c r="C12" s="6">
        <v>44651</v>
      </c>
      <c r="D12">
        <v>20210401</v>
      </c>
      <c r="E12">
        <v>20220331</v>
      </c>
      <c r="F12" t="s">
        <v>793</v>
      </c>
      <c r="G12" t="s">
        <v>794</v>
      </c>
      <c r="H12" t="s">
        <v>590</v>
      </c>
      <c r="I12" t="s">
        <v>774</v>
      </c>
      <c r="L12">
        <v>1</v>
      </c>
      <c r="M12">
        <v>1</v>
      </c>
      <c r="N12">
        <v>-1</v>
      </c>
      <c r="O12">
        <v>-1</v>
      </c>
      <c r="Z12" s="3">
        <f t="shared" si="0"/>
        <v>1</v>
      </c>
    </row>
    <row r="13" spans="1:26" hidden="1">
      <c r="A13" t="s">
        <v>707</v>
      </c>
      <c r="B13" s="6">
        <v>44287</v>
      </c>
      <c r="C13" s="6">
        <v>44651</v>
      </c>
      <c r="D13">
        <v>20210401</v>
      </c>
      <c r="E13">
        <v>20220331</v>
      </c>
      <c r="F13" t="s">
        <v>795</v>
      </c>
      <c r="G13" t="s">
        <v>796</v>
      </c>
      <c r="H13" t="s">
        <v>590</v>
      </c>
      <c r="I13" t="s">
        <v>774</v>
      </c>
      <c r="L13">
        <v>1</v>
      </c>
      <c r="M13">
        <v>140000</v>
      </c>
      <c r="N13">
        <v>-1</v>
      </c>
      <c r="O13">
        <v>-140000</v>
      </c>
      <c r="Z13" s="3">
        <f t="shared" si="0"/>
        <v>140000</v>
      </c>
    </row>
    <row r="14" spans="1:26" hidden="1">
      <c r="A14" t="s">
        <v>707</v>
      </c>
      <c r="B14" s="6">
        <v>44287</v>
      </c>
      <c r="C14" s="6">
        <v>44651</v>
      </c>
      <c r="D14">
        <v>20210401</v>
      </c>
      <c r="E14">
        <v>20220331</v>
      </c>
      <c r="F14" t="s">
        <v>797</v>
      </c>
      <c r="G14" t="s">
        <v>798</v>
      </c>
      <c r="H14" t="s">
        <v>590</v>
      </c>
      <c r="I14" t="s">
        <v>774</v>
      </c>
      <c r="L14">
        <v>1</v>
      </c>
      <c r="M14">
        <v>50000</v>
      </c>
      <c r="N14">
        <v>-1</v>
      </c>
      <c r="O14">
        <v>-50000</v>
      </c>
      <c r="Z14" s="3">
        <f t="shared" si="0"/>
        <v>50000</v>
      </c>
    </row>
    <row r="15" spans="1:26" hidden="1">
      <c r="A15" t="s">
        <v>707</v>
      </c>
      <c r="B15" s="6">
        <v>44287</v>
      </c>
      <c r="C15" s="6">
        <v>44651</v>
      </c>
      <c r="D15">
        <v>20210401</v>
      </c>
      <c r="E15">
        <v>20220331</v>
      </c>
      <c r="F15" t="s">
        <v>799</v>
      </c>
      <c r="G15" t="s">
        <v>800</v>
      </c>
      <c r="H15" t="s">
        <v>590</v>
      </c>
      <c r="I15" t="s">
        <v>774</v>
      </c>
      <c r="L15">
        <v>1</v>
      </c>
      <c r="M15">
        <v>1</v>
      </c>
      <c r="N15">
        <v>-1</v>
      </c>
      <c r="O15">
        <v>-1</v>
      </c>
      <c r="Z15" s="3">
        <f t="shared" si="0"/>
        <v>1</v>
      </c>
    </row>
    <row r="16" spans="1:26" hidden="1">
      <c r="A16" t="s">
        <v>707</v>
      </c>
      <c r="B16" s="6">
        <v>44287</v>
      </c>
      <c r="C16" s="6">
        <v>44651</v>
      </c>
      <c r="D16">
        <v>20210401</v>
      </c>
      <c r="E16">
        <v>20220331</v>
      </c>
      <c r="F16" t="s">
        <v>801</v>
      </c>
      <c r="G16" t="s">
        <v>802</v>
      </c>
      <c r="H16" t="s">
        <v>590</v>
      </c>
      <c r="I16" t="s">
        <v>774</v>
      </c>
      <c r="L16">
        <v>1</v>
      </c>
      <c r="M16">
        <v>90000</v>
      </c>
      <c r="N16">
        <v>-1</v>
      </c>
      <c r="O16">
        <v>-90000</v>
      </c>
      <c r="Z16" s="3">
        <f t="shared" si="0"/>
        <v>90000</v>
      </c>
    </row>
    <row r="17" spans="1:26" hidden="1">
      <c r="A17" t="s">
        <v>707</v>
      </c>
      <c r="B17" s="6">
        <v>44287</v>
      </c>
      <c r="C17" s="6">
        <v>44651</v>
      </c>
      <c r="D17">
        <v>20210401</v>
      </c>
      <c r="E17">
        <v>20220331</v>
      </c>
      <c r="F17" t="s">
        <v>806</v>
      </c>
      <c r="G17" t="s">
        <v>807</v>
      </c>
      <c r="H17" t="s">
        <v>590</v>
      </c>
      <c r="I17" t="s">
        <v>774</v>
      </c>
      <c r="L17">
        <v>1</v>
      </c>
      <c r="M17">
        <v>80000</v>
      </c>
      <c r="N17">
        <v>-1</v>
      </c>
      <c r="O17">
        <v>-80000</v>
      </c>
      <c r="Z17" s="3">
        <f t="shared" si="0"/>
        <v>80000</v>
      </c>
    </row>
    <row r="18" spans="1:26" hidden="1">
      <c r="A18" t="s">
        <v>707</v>
      </c>
      <c r="B18" s="6">
        <v>44287</v>
      </c>
      <c r="C18" s="6">
        <v>44651</v>
      </c>
      <c r="D18">
        <v>20210401</v>
      </c>
      <c r="E18">
        <v>20220331</v>
      </c>
      <c r="F18" t="s">
        <v>808</v>
      </c>
      <c r="G18" t="s">
        <v>809</v>
      </c>
      <c r="H18" t="s">
        <v>590</v>
      </c>
      <c r="I18" t="s">
        <v>774</v>
      </c>
      <c r="L18">
        <v>1</v>
      </c>
      <c r="M18">
        <v>70000</v>
      </c>
      <c r="N18">
        <v>-1</v>
      </c>
      <c r="O18">
        <v>-70000</v>
      </c>
      <c r="Z18" s="3">
        <f t="shared" si="0"/>
        <v>70000</v>
      </c>
    </row>
    <row r="19" spans="1:26" hidden="1">
      <c r="A19" t="s">
        <v>707</v>
      </c>
      <c r="B19" s="6">
        <v>44287</v>
      </c>
      <c r="C19" s="6">
        <v>44651</v>
      </c>
      <c r="D19">
        <v>20210401</v>
      </c>
      <c r="E19">
        <v>20220331</v>
      </c>
      <c r="F19" t="s">
        <v>810</v>
      </c>
      <c r="G19" t="s">
        <v>811</v>
      </c>
      <c r="H19" t="s">
        <v>590</v>
      </c>
      <c r="I19" t="s">
        <v>774</v>
      </c>
      <c r="L19">
        <v>1</v>
      </c>
      <c r="M19">
        <v>90000</v>
      </c>
      <c r="N19">
        <v>-1</v>
      </c>
      <c r="O19">
        <v>-90000</v>
      </c>
      <c r="Z19" s="3">
        <f t="shared" si="0"/>
        <v>90000</v>
      </c>
    </row>
    <row r="20" spans="1:26" hidden="1">
      <c r="A20" t="s">
        <v>707</v>
      </c>
      <c r="B20" s="6">
        <v>44287</v>
      </c>
      <c r="C20" s="6">
        <v>44651</v>
      </c>
      <c r="D20">
        <v>20210401</v>
      </c>
      <c r="E20">
        <v>20220331</v>
      </c>
      <c r="F20" t="s">
        <v>812</v>
      </c>
      <c r="G20" t="s">
        <v>813</v>
      </c>
      <c r="H20" t="s">
        <v>590</v>
      </c>
      <c r="I20" t="s">
        <v>774</v>
      </c>
      <c r="L20">
        <v>1</v>
      </c>
      <c r="M20">
        <v>80000</v>
      </c>
      <c r="N20">
        <v>-1</v>
      </c>
      <c r="O20">
        <v>-80000</v>
      </c>
      <c r="Z20" s="3">
        <f t="shared" si="0"/>
        <v>80000</v>
      </c>
    </row>
    <row r="21" spans="1:26" hidden="1">
      <c r="A21" t="s">
        <v>707</v>
      </c>
      <c r="B21" s="6">
        <v>44287</v>
      </c>
      <c r="C21" s="6">
        <v>44651</v>
      </c>
      <c r="D21">
        <v>20210401</v>
      </c>
      <c r="E21">
        <v>20220331</v>
      </c>
      <c r="F21" t="s">
        <v>814</v>
      </c>
      <c r="G21" t="s">
        <v>815</v>
      </c>
      <c r="H21" t="s">
        <v>590</v>
      </c>
      <c r="I21" t="s">
        <v>774</v>
      </c>
      <c r="L21">
        <v>1</v>
      </c>
      <c r="M21">
        <v>80000</v>
      </c>
      <c r="N21">
        <v>-1</v>
      </c>
      <c r="O21">
        <v>-80000</v>
      </c>
      <c r="Z21" s="3">
        <f t="shared" si="0"/>
        <v>80000</v>
      </c>
    </row>
    <row r="22" spans="1:26" hidden="1">
      <c r="A22" t="s">
        <v>707</v>
      </c>
      <c r="B22" s="6">
        <v>44287</v>
      </c>
      <c r="C22" s="6">
        <v>44651</v>
      </c>
      <c r="D22">
        <v>20210401</v>
      </c>
      <c r="E22">
        <v>20220331</v>
      </c>
      <c r="F22" t="s">
        <v>816</v>
      </c>
      <c r="G22" t="s">
        <v>817</v>
      </c>
      <c r="H22" t="s">
        <v>590</v>
      </c>
      <c r="I22" t="s">
        <v>774</v>
      </c>
      <c r="L22">
        <v>1</v>
      </c>
      <c r="M22">
        <v>90000</v>
      </c>
      <c r="N22">
        <v>-1</v>
      </c>
      <c r="O22">
        <v>-90000</v>
      </c>
      <c r="Z22" s="3">
        <f t="shared" si="0"/>
        <v>90000</v>
      </c>
    </row>
    <row r="23" spans="1:26" hidden="1">
      <c r="A23" t="s">
        <v>707</v>
      </c>
      <c r="B23" s="6">
        <v>44287</v>
      </c>
      <c r="C23" s="6">
        <v>44651</v>
      </c>
      <c r="D23">
        <v>20210401</v>
      </c>
      <c r="E23">
        <v>20220331</v>
      </c>
      <c r="F23" t="s">
        <v>818</v>
      </c>
      <c r="G23" t="s">
        <v>819</v>
      </c>
      <c r="H23" t="s">
        <v>590</v>
      </c>
      <c r="I23" t="s">
        <v>774</v>
      </c>
      <c r="L23">
        <v>1</v>
      </c>
      <c r="M23">
        <v>90000</v>
      </c>
      <c r="N23">
        <v>-1</v>
      </c>
      <c r="O23">
        <v>-90000</v>
      </c>
      <c r="Z23" s="3">
        <f t="shared" si="0"/>
        <v>90000</v>
      </c>
    </row>
    <row r="24" spans="1:26" hidden="1">
      <c r="A24" t="s">
        <v>707</v>
      </c>
      <c r="B24" s="6">
        <v>44287</v>
      </c>
      <c r="C24" s="6">
        <v>44651</v>
      </c>
      <c r="D24">
        <v>20210401</v>
      </c>
      <c r="E24">
        <v>20220331</v>
      </c>
      <c r="F24" t="s">
        <v>820</v>
      </c>
      <c r="G24" t="s">
        <v>821</v>
      </c>
      <c r="H24" t="s">
        <v>590</v>
      </c>
      <c r="I24" t="s">
        <v>774</v>
      </c>
      <c r="L24">
        <v>1</v>
      </c>
      <c r="M24">
        <v>70000</v>
      </c>
      <c r="N24">
        <v>-1</v>
      </c>
      <c r="O24">
        <v>-70000</v>
      </c>
      <c r="Z24" s="3">
        <f t="shared" si="0"/>
        <v>70000</v>
      </c>
    </row>
    <row r="25" spans="1:26" hidden="1">
      <c r="A25" t="s">
        <v>707</v>
      </c>
      <c r="B25" s="6">
        <v>44287</v>
      </c>
      <c r="C25" s="6">
        <v>44651</v>
      </c>
      <c r="D25">
        <v>20210401</v>
      </c>
      <c r="E25">
        <v>20220331</v>
      </c>
      <c r="F25" t="s">
        <v>822</v>
      </c>
      <c r="G25" t="s">
        <v>823</v>
      </c>
      <c r="H25" t="s">
        <v>590</v>
      </c>
      <c r="I25" t="s">
        <v>774</v>
      </c>
      <c r="L25">
        <v>1</v>
      </c>
      <c r="M25">
        <v>90000</v>
      </c>
      <c r="N25">
        <v>-1</v>
      </c>
      <c r="O25">
        <v>-90000</v>
      </c>
      <c r="Z25" s="3">
        <f t="shared" si="0"/>
        <v>90000</v>
      </c>
    </row>
    <row r="26" spans="1:26" hidden="1">
      <c r="A26" t="s">
        <v>707</v>
      </c>
      <c r="B26" s="6">
        <v>44287</v>
      </c>
      <c r="C26" s="6">
        <v>44651</v>
      </c>
      <c r="D26">
        <v>20210401</v>
      </c>
      <c r="E26">
        <v>20220331</v>
      </c>
      <c r="F26" t="s">
        <v>831</v>
      </c>
      <c r="G26" t="s">
        <v>832</v>
      </c>
      <c r="H26" t="s">
        <v>590</v>
      </c>
      <c r="I26" t="s">
        <v>774</v>
      </c>
      <c r="L26">
        <v>1</v>
      </c>
      <c r="M26">
        <v>1</v>
      </c>
      <c r="N26">
        <v>-1</v>
      </c>
      <c r="O26">
        <v>-1</v>
      </c>
      <c r="Z26" s="3">
        <f t="shared" si="0"/>
        <v>1</v>
      </c>
    </row>
    <row r="27" spans="1:26" hidden="1">
      <c r="A27" t="s">
        <v>707</v>
      </c>
      <c r="B27" s="6">
        <v>44287</v>
      </c>
      <c r="C27" s="6">
        <v>44651</v>
      </c>
      <c r="D27">
        <v>20210401</v>
      </c>
      <c r="E27">
        <v>20220331</v>
      </c>
      <c r="F27" t="s">
        <v>833</v>
      </c>
      <c r="G27" t="s">
        <v>834</v>
      </c>
      <c r="H27" t="s">
        <v>590</v>
      </c>
      <c r="I27" t="s">
        <v>774</v>
      </c>
      <c r="L27">
        <v>1</v>
      </c>
      <c r="M27">
        <v>1</v>
      </c>
      <c r="N27">
        <v>-1</v>
      </c>
      <c r="O27">
        <v>-1</v>
      </c>
      <c r="Z27" s="3">
        <f t="shared" si="0"/>
        <v>1</v>
      </c>
    </row>
    <row r="28" spans="1:26" hidden="1">
      <c r="A28" t="s">
        <v>707</v>
      </c>
      <c r="B28" s="6">
        <v>44287</v>
      </c>
      <c r="C28" s="6">
        <v>44651</v>
      </c>
      <c r="D28">
        <v>20210401</v>
      </c>
      <c r="E28">
        <v>20220331</v>
      </c>
      <c r="F28" t="s">
        <v>5736</v>
      </c>
      <c r="G28" t="s">
        <v>5737</v>
      </c>
      <c r="H28" t="s">
        <v>613</v>
      </c>
      <c r="I28" t="s">
        <v>875</v>
      </c>
      <c r="J28">
        <v>11.5</v>
      </c>
      <c r="K28">
        <v>3449.64</v>
      </c>
      <c r="P28">
        <v>0.39</v>
      </c>
      <c r="Q28">
        <v>116.99</v>
      </c>
      <c r="X28">
        <v>11.89</v>
      </c>
      <c r="Y28">
        <v>3566.63</v>
      </c>
      <c r="Z28" s="3">
        <f t="shared" si="0"/>
        <v>299.97435897435895</v>
      </c>
    </row>
    <row r="29" spans="1:26" hidden="1">
      <c r="A29" t="s">
        <v>707</v>
      </c>
      <c r="B29" s="6">
        <v>44287</v>
      </c>
      <c r="C29" s="6">
        <v>44651</v>
      </c>
      <c r="D29">
        <v>20210401</v>
      </c>
      <c r="E29">
        <v>20220331</v>
      </c>
      <c r="F29" t="s">
        <v>835</v>
      </c>
      <c r="G29" t="s">
        <v>836</v>
      </c>
      <c r="H29" t="s">
        <v>613</v>
      </c>
      <c r="I29" t="s">
        <v>837</v>
      </c>
      <c r="J29">
        <v>76.3</v>
      </c>
      <c r="K29">
        <v>12566.59</v>
      </c>
      <c r="L29">
        <v>1105</v>
      </c>
      <c r="M29">
        <v>236494.75</v>
      </c>
      <c r="N29">
        <v>-1391.07</v>
      </c>
      <c r="O29">
        <v>-296951.27</v>
      </c>
      <c r="P29">
        <v>211.85499999999999</v>
      </c>
      <c r="Q29">
        <v>48449.599999999999</v>
      </c>
      <c r="X29">
        <v>2.085</v>
      </c>
      <c r="Y29">
        <v>559.66999999999996</v>
      </c>
      <c r="Z29" s="3">
        <f t="shared" si="0"/>
        <v>210.73482783037872</v>
      </c>
    </row>
    <row r="30" spans="1:26" hidden="1">
      <c r="A30" t="s">
        <v>707</v>
      </c>
      <c r="B30" s="6">
        <v>44287</v>
      </c>
      <c r="C30" s="6">
        <v>44651</v>
      </c>
      <c r="D30">
        <v>20210401</v>
      </c>
      <c r="E30">
        <v>20220331</v>
      </c>
      <c r="F30" t="s">
        <v>840</v>
      </c>
      <c r="G30" t="s">
        <v>841</v>
      </c>
      <c r="H30" t="s">
        <v>613</v>
      </c>
      <c r="I30" t="s">
        <v>837</v>
      </c>
      <c r="J30">
        <v>4.6500000000000004</v>
      </c>
      <c r="K30">
        <v>4464</v>
      </c>
      <c r="X30">
        <v>4.6500000000000004</v>
      </c>
      <c r="Y30">
        <v>4464</v>
      </c>
      <c r="Z30" s="3">
        <f t="shared" si="0"/>
        <v>959.99999999999989</v>
      </c>
    </row>
    <row r="31" spans="1:26">
      <c r="A31" t="s">
        <v>707</v>
      </c>
      <c r="B31" s="6">
        <v>44287</v>
      </c>
      <c r="C31" s="6">
        <v>44651</v>
      </c>
      <c r="D31">
        <v>20210401</v>
      </c>
      <c r="E31">
        <v>20220331</v>
      </c>
      <c r="F31" t="s">
        <v>844</v>
      </c>
      <c r="G31" t="s">
        <v>845</v>
      </c>
      <c r="H31" t="s">
        <v>613</v>
      </c>
      <c r="I31" t="s">
        <v>846</v>
      </c>
      <c r="J31">
        <v>930</v>
      </c>
      <c r="K31">
        <v>121727.71</v>
      </c>
      <c r="P31">
        <v>19.440000000000001</v>
      </c>
      <c r="Q31">
        <v>2544.5</v>
      </c>
      <c r="R31">
        <v>-934</v>
      </c>
      <c r="S31">
        <v>-122251.26</v>
      </c>
      <c r="X31">
        <v>15.44</v>
      </c>
      <c r="Y31">
        <v>2020.95</v>
      </c>
      <c r="Z31" s="3">
        <f t="shared" si="0"/>
        <v>130.88991769547323</v>
      </c>
    </row>
    <row r="32" spans="1:26" hidden="1">
      <c r="A32" t="s">
        <v>707</v>
      </c>
      <c r="B32" s="6">
        <v>44287</v>
      </c>
      <c r="C32" s="6">
        <v>44651</v>
      </c>
      <c r="D32">
        <v>20210401</v>
      </c>
      <c r="E32">
        <v>20220331</v>
      </c>
      <c r="F32" t="s">
        <v>5738</v>
      </c>
      <c r="G32" t="s">
        <v>5739</v>
      </c>
      <c r="H32" t="s">
        <v>613</v>
      </c>
      <c r="I32" t="s">
        <v>837</v>
      </c>
      <c r="J32">
        <v>28.4</v>
      </c>
      <c r="K32">
        <v>2942.8</v>
      </c>
      <c r="X32">
        <v>28.4</v>
      </c>
      <c r="Y32">
        <v>2942.8</v>
      </c>
      <c r="Z32" s="3">
        <f t="shared" si="0"/>
        <v>103.61971830985917</v>
      </c>
    </row>
    <row r="33" spans="1:26" hidden="1">
      <c r="A33" t="s">
        <v>707</v>
      </c>
      <c r="B33" s="6">
        <v>44287</v>
      </c>
      <c r="C33" s="6">
        <v>44651</v>
      </c>
      <c r="D33">
        <v>20210401</v>
      </c>
      <c r="E33">
        <v>20220331</v>
      </c>
      <c r="F33" t="s">
        <v>849</v>
      </c>
      <c r="G33" t="s">
        <v>850</v>
      </c>
      <c r="H33" t="s">
        <v>613</v>
      </c>
      <c r="I33" t="s">
        <v>837</v>
      </c>
      <c r="J33">
        <v>144</v>
      </c>
      <c r="K33">
        <v>19185.759999999998</v>
      </c>
      <c r="L33">
        <v>3794</v>
      </c>
      <c r="M33">
        <v>1004339.83</v>
      </c>
      <c r="N33">
        <v>-3976.56</v>
      </c>
      <c r="O33">
        <v>-1019941.68</v>
      </c>
      <c r="P33">
        <v>116.06</v>
      </c>
      <c r="Q33">
        <v>21959.439999999999</v>
      </c>
      <c r="X33">
        <v>77.5</v>
      </c>
      <c r="Y33">
        <v>25543.35</v>
      </c>
      <c r="Z33" s="3">
        <f t="shared" si="0"/>
        <v>258.51113586323015</v>
      </c>
    </row>
    <row r="34" spans="1:26" hidden="1">
      <c r="A34" t="s">
        <v>707</v>
      </c>
      <c r="B34" s="6">
        <v>44287</v>
      </c>
      <c r="C34" s="6">
        <v>44651</v>
      </c>
      <c r="D34">
        <v>20210401</v>
      </c>
      <c r="E34">
        <v>20220331</v>
      </c>
      <c r="F34" t="s">
        <v>855</v>
      </c>
      <c r="G34" t="s">
        <v>856</v>
      </c>
      <c r="H34" t="s">
        <v>613</v>
      </c>
      <c r="I34" t="s">
        <v>837</v>
      </c>
      <c r="J34">
        <v>672.14499999999998</v>
      </c>
      <c r="K34">
        <v>881156.44</v>
      </c>
      <c r="L34">
        <v>2330</v>
      </c>
      <c r="M34">
        <v>3450714.65</v>
      </c>
      <c r="N34">
        <v>-3059.21</v>
      </c>
      <c r="O34">
        <v>-4413069.38</v>
      </c>
      <c r="P34">
        <v>55.454999999999998</v>
      </c>
      <c r="Q34">
        <v>83241.37</v>
      </c>
      <c r="V34">
        <v>40</v>
      </c>
      <c r="W34">
        <v>68146.210000000006</v>
      </c>
      <c r="X34">
        <v>38.39</v>
      </c>
      <c r="Y34">
        <v>70189.289999999994</v>
      </c>
      <c r="Z34" s="3">
        <f t="shared" si="0"/>
        <v>1441.4717611789242</v>
      </c>
    </row>
    <row r="35" spans="1:26" hidden="1">
      <c r="A35" t="s">
        <v>707</v>
      </c>
      <c r="B35" s="6">
        <v>44287</v>
      </c>
      <c r="C35" s="6">
        <v>44651</v>
      </c>
      <c r="D35">
        <v>20210401</v>
      </c>
      <c r="E35">
        <v>20220331</v>
      </c>
      <c r="F35" t="s">
        <v>857</v>
      </c>
      <c r="G35" t="s">
        <v>858</v>
      </c>
      <c r="H35" t="s">
        <v>613</v>
      </c>
      <c r="I35" t="s">
        <v>837</v>
      </c>
      <c r="L35">
        <v>100</v>
      </c>
      <c r="M35">
        <v>167500</v>
      </c>
      <c r="N35">
        <v>-100</v>
      </c>
      <c r="O35">
        <v>-167500.01</v>
      </c>
      <c r="Y35">
        <v>-0.01</v>
      </c>
      <c r="Z35" s="3">
        <f t="shared" si="0"/>
        <v>1675.0001000000002</v>
      </c>
    </row>
    <row r="36" spans="1:26" hidden="1">
      <c r="A36" t="s">
        <v>707</v>
      </c>
      <c r="B36" s="6">
        <v>44287</v>
      </c>
      <c r="C36" s="6">
        <v>44651</v>
      </c>
      <c r="D36">
        <v>20210401</v>
      </c>
      <c r="E36">
        <v>20220331</v>
      </c>
      <c r="F36" t="s">
        <v>859</v>
      </c>
      <c r="G36" t="s">
        <v>860</v>
      </c>
      <c r="H36" t="s">
        <v>613</v>
      </c>
      <c r="I36" t="s">
        <v>837</v>
      </c>
      <c r="L36">
        <v>740</v>
      </c>
      <c r="M36">
        <v>1230101.3</v>
      </c>
      <c r="N36">
        <v>-700.81</v>
      </c>
      <c r="O36">
        <v>-1169849.52</v>
      </c>
      <c r="P36">
        <v>0.81</v>
      </c>
      <c r="Q36">
        <v>1346.1</v>
      </c>
      <c r="V36">
        <v>-40</v>
      </c>
      <c r="W36">
        <v>-61597.919999999998</v>
      </c>
      <c r="Y36">
        <v>-0.04</v>
      </c>
      <c r="Z36" s="3">
        <f t="shared" si="0"/>
        <v>1669.2905999999998</v>
      </c>
    </row>
    <row r="37" spans="1:26" hidden="1">
      <c r="A37" t="s">
        <v>707</v>
      </c>
      <c r="B37" s="6">
        <v>44287</v>
      </c>
      <c r="C37" s="6">
        <v>44651</v>
      </c>
      <c r="D37">
        <v>20210401</v>
      </c>
      <c r="E37">
        <v>20220331</v>
      </c>
      <c r="F37" t="s">
        <v>865</v>
      </c>
      <c r="G37" t="s">
        <v>866</v>
      </c>
      <c r="H37" t="s">
        <v>613</v>
      </c>
      <c r="I37" t="s">
        <v>837</v>
      </c>
      <c r="J37">
        <v>4.3099999999999996</v>
      </c>
      <c r="K37">
        <v>9427.7000000000007</v>
      </c>
      <c r="X37">
        <v>4.3099999999999996</v>
      </c>
      <c r="Y37">
        <v>9427.7000000000007</v>
      </c>
      <c r="Z37" s="3">
        <f t="shared" si="0"/>
        <v>2187.4013921113692</v>
      </c>
    </row>
    <row r="38" spans="1:26" hidden="1">
      <c r="A38" t="s">
        <v>707</v>
      </c>
      <c r="B38" s="6">
        <v>44287</v>
      </c>
      <c r="C38" s="6">
        <v>44651</v>
      </c>
      <c r="D38">
        <v>20210401</v>
      </c>
      <c r="E38">
        <v>20220331</v>
      </c>
      <c r="F38" t="s">
        <v>5740</v>
      </c>
      <c r="G38" t="s">
        <v>5741</v>
      </c>
      <c r="H38" t="s">
        <v>613</v>
      </c>
      <c r="I38" t="s">
        <v>837</v>
      </c>
      <c r="J38">
        <v>91</v>
      </c>
      <c r="K38">
        <v>10373.94</v>
      </c>
      <c r="X38">
        <v>91</v>
      </c>
      <c r="Y38">
        <v>10373.94</v>
      </c>
      <c r="Z38" s="3">
        <f t="shared" si="0"/>
        <v>113.99934065934066</v>
      </c>
    </row>
    <row r="39" spans="1:26" hidden="1">
      <c r="A39" t="s">
        <v>707</v>
      </c>
      <c r="B39" s="6">
        <v>44287</v>
      </c>
      <c r="C39" s="6">
        <v>44651</v>
      </c>
      <c r="D39">
        <v>20210401</v>
      </c>
      <c r="E39">
        <v>20220331</v>
      </c>
      <c r="F39" t="s">
        <v>5742</v>
      </c>
      <c r="G39" t="s">
        <v>5743</v>
      </c>
      <c r="H39" t="s">
        <v>613</v>
      </c>
      <c r="I39" t="s">
        <v>1462</v>
      </c>
      <c r="L39">
        <v>27</v>
      </c>
      <c r="M39">
        <v>9450</v>
      </c>
      <c r="N39">
        <v>-27</v>
      </c>
      <c r="O39">
        <v>-9450</v>
      </c>
      <c r="Z39" s="3">
        <f t="shared" si="0"/>
        <v>350</v>
      </c>
    </row>
    <row r="40" spans="1:26" hidden="1">
      <c r="A40" t="s">
        <v>707</v>
      </c>
      <c r="B40" s="6">
        <v>44287</v>
      </c>
      <c r="C40" s="6">
        <v>44651</v>
      </c>
      <c r="D40">
        <v>20210401</v>
      </c>
      <c r="E40">
        <v>20220331</v>
      </c>
      <c r="F40" t="s">
        <v>888</v>
      </c>
      <c r="G40" t="s">
        <v>889</v>
      </c>
      <c r="H40" t="s">
        <v>613</v>
      </c>
      <c r="I40" t="s">
        <v>837</v>
      </c>
      <c r="J40">
        <v>1538.18</v>
      </c>
      <c r="K40">
        <v>256001.9</v>
      </c>
      <c r="L40">
        <v>10537</v>
      </c>
      <c r="M40">
        <v>2475382.5</v>
      </c>
      <c r="N40">
        <v>-11594.31</v>
      </c>
      <c r="O40">
        <v>-2580553.54</v>
      </c>
      <c r="P40">
        <v>132.95500000000001</v>
      </c>
      <c r="Q40">
        <v>25167.32</v>
      </c>
      <c r="R40">
        <v>-1</v>
      </c>
      <c r="S40">
        <v>-172.54</v>
      </c>
      <c r="X40">
        <v>612.82500000000005</v>
      </c>
      <c r="Y40">
        <v>175825.64</v>
      </c>
      <c r="Z40" s="3">
        <f t="shared" si="0"/>
        <v>222.95672893824511</v>
      </c>
    </row>
    <row r="41" spans="1:26" hidden="1">
      <c r="A41" t="s">
        <v>707</v>
      </c>
      <c r="B41" s="6">
        <v>44287</v>
      </c>
      <c r="C41" s="6">
        <v>44651</v>
      </c>
      <c r="D41">
        <v>20210401</v>
      </c>
      <c r="E41">
        <v>20220331</v>
      </c>
      <c r="F41" t="s">
        <v>890</v>
      </c>
      <c r="G41" t="s">
        <v>891</v>
      </c>
      <c r="H41" t="s">
        <v>613</v>
      </c>
      <c r="I41" t="s">
        <v>837</v>
      </c>
      <c r="J41">
        <v>46.6</v>
      </c>
      <c r="K41">
        <v>1431.82</v>
      </c>
      <c r="L41">
        <v>133</v>
      </c>
      <c r="M41">
        <v>4209.04</v>
      </c>
      <c r="N41">
        <v>-155.4</v>
      </c>
      <c r="O41">
        <v>-4920.92</v>
      </c>
      <c r="P41">
        <v>0.72</v>
      </c>
      <c r="Q41">
        <v>22.48</v>
      </c>
      <c r="R41">
        <v>-1</v>
      </c>
      <c r="S41">
        <v>-34.81</v>
      </c>
      <c r="X41">
        <v>23.92</v>
      </c>
      <c r="Y41">
        <v>707.61</v>
      </c>
      <c r="Z41" s="3">
        <f t="shared" si="0"/>
        <v>31.668218257046806</v>
      </c>
    </row>
    <row r="42" spans="1:26" hidden="1">
      <c r="A42" t="s">
        <v>707</v>
      </c>
      <c r="B42" s="6">
        <v>44287</v>
      </c>
      <c r="C42" s="6">
        <v>44651</v>
      </c>
      <c r="D42">
        <v>20210401</v>
      </c>
      <c r="E42">
        <v>20220331</v>
      </c>
      <c r="F42" t="s">
        <v>5744</v>
      </c>
      <c r="G42" t="s">
        <v>5745</v>
      </c>
      <c r="H42" t="s">
        <v>613</v>
      </c>
      <c r="I42" t="s">
        <v>837</v>
      </c>
      <c r="J42">
        <v>92.99</v>
      </c>
      <c r="K42">
        <v>5872.22</v>
      </c>
      <c r="L42">
        <v>3850</v>
      </c>
      <c r="M42">
        <v>368450</v>
      </c>
      <c r="N42">
        <v>-3960.0659999999998</v>
      </c>
      <c r="O42">
        <v>-375767.5</v>
      </c>
      <c r="P42">
        <v>41.85</v>
      </c>
      <c r="Q42">
        <v>3685.79</v>
      </c>
      <c r="X42">
        <v>24.774000000000001</v>
      </c>
      <c r="Y42">
        <v>2240.5100000000002</v>
      </c>
      <c r="Z42" s="3">
        <f t="shared" si="0"/>
        <v>94.962020980977059</v>
      </c>
    </row>
    <row r="43" spans="1:26" hidden="1">
      <c r="A43" t="s">
        <v>707</v>
      </c>
      <c r="B43" s="6">
        <v>44287</v>
      </c>
      <c r="C43" s="6">
        <v>44651</v>
      </c>
      <c r="D43">
        <v>20210401</v>
      </c>
      <c r="E43">
        <v>20220331</v>
      </c>
      <c r="F43" t="s">
        <v>894</v>
      </c>
      <c r="G43" t="s">
        <v>895</v>
      </c>
      <c r="H43" t="s">
        <v>613</v>
      </c>
      <c r="I43" t="s">
        <v>837</v>
      </c>
      <c r="J43">
        <v>183.21799999999999</v>
      </c>
      <c r="K43">
        <v>249411.84</v>
      </c>
      <c r="L43">
        <v>745</v>
      </c>
      <c r="M43">
        <v>1450946.2</v>
      </c>
      <c r="N43">
        <v>-918.77300000000002</v>
      </c>
      <c r="O43">
        <v>-1665109.88</v>
      </c>
      <c r="P43">
        <v>9.9369999999999994</v>
      </c>
      <c r="Q43">
        <v>16850.27</v>
      </c>
      <c r="X43">
        <v>19.382000000000001</v>
      </c>
      <c r="Y43">
        <v>52098.43</v>
      </c>
      <c r="Z43" s="3">
        <f t="shared" si="0"/>
        <v>1813.5941027864212</v>
      </c>
    </row>
    <row r="44" spans="1:26" hidden="1">
      <c r="A44" t="s">
        <v>707</v>
      </c>
      <c r="B44" s="6">
        <v>44287</v>
      </c>
      <c r="C44" s="6">
        <v>44651</v>
      </c>
      <c r="D44">
        <v>20210401</v>
      </c>
      <c r="E44">
        <v>20220331</v>
      </c>
      <c r="F44" t="s">
        <v>896</v>
      </c>
      <c r="G44" t="s">
        <v>897</v>
      </c>
      <c r="H44" t="s">
        <v>613</v>
      </c>
      <c r="I44" t="s">
        <v>837</v>
      </c>
      <c r="J44">
        <v>300.52600000000001</v>
      </c>
      <c r="K44">
        <v>18922.12</v>
      </c>
      <c r="L44">
        <v>6050</v>
      </c>
      <c r="M44">
        <v>603400</v>
      </c>
      <c r="N44">
        <v>-6047.8059999999996</v>
      </c>
      <c r="O44">
        <v>-592072.39</v>
      </c>
      <c r="P44">
        <v>105.85</v>
      </c>
      <c r="Q44">
        <v>11485.62</v>
      </c>
      <c r="R44">
        <v>-150</v>
      </c>
      <c r="S44">
        <v>-15252.64</v>
      </c>
      <c r="X44">
        <v>258.57</v>
      </c>
      <c r="Y44">
        <v>26482.71</v>
      </c>
      <c r="Z44" s="3">
        <f t="shared" si="0"/>
        <v>97.709705356283365</v>
      </c>
    </row>
    <row r="45" spans="1:26" hidden="1">
      <c r="A45" t="s">
        <v>707</v>
      </c>
      <c r="B45" s="6">
        <v>44287</v>
      </c>
      <c r="C45" s="6">
        <v>44651</v>
      </c>
      <c r="D45">
        <v>20210401</v>
      </c>
      <c r="E45">
        <v>20220331</v>
      </c>
      <c r="F45" t="s">
        <v>902</v>
      </c>
      <c r="G45" t="s">
        <v>903</v>
      </c>
      <c r="H45" t="s">
        <v>613</v>
      </c>
      <c r="I45" t="s">
        <v>837</v>
      </c>
      <c r="J45">
        <v>468.70499999999998</v>
      </c>
      <c r="K45">
        <v>51936.72</v>
      </c>
      <c r="L45">
        <v>5117</v>
      </c>
      <c r="M45">
        <v>868840.99</v>
      </c>
      <c r="N45">
        <v>-5603.43</v>
      </c>
      <c r="O45">
        <v>-923038.63</v>
      </c>
      <c r="P45">
        <v>104.22499999999999</v>
      </c>
      <c r="Q45">
        <v>21148.07</v>
      </c>
      <c r="X45">
        <v>86.5</v>
      </c>
      <c r="Y45">
        <v>18887.150000000001</v>
      </c>
      <c r="Z45" s="3">
        <f t="shared" si="0"/>
        <v>164.00380782313081</v>
      </c>
    </row>
    <row r="46" spans="1:26" hidden="1">
      <c r="A46" t="s">
        <v>707</v>
      </c>
      <c r="B46" s="6">
        <v>44287</v>
      </c>
      <c r="C46" s="6">
        <v>44651</v>
      </c>
      <c r="D46">
        <v>20210401</v>
      </c>
      <c r="E46">
        <v>20220331</v>
      </c>
      <c r="F46" t="s">
        <v>908</v>
      </c>
      <c r="G46" t="s">
        <v>909</v>
      </c>
      <c r="H46" t="s">
        <v>613</v>
      </c>
      <c r="I46" t="s">
        <v>837</v>
      </c>
      <c r="J46">
        <v>24.8</v>
      </c>
      <c r="K46">
        <v>1543.3</v>
      </c>
      <c r="X46">
        <v>24.8</v>
      </c>
      <c r="Y46">
        <v>1543.3</v>
      </c>
      <c r="Z46" s="3">
        <f t="shared" si="0"/>
        <v>62.229838709677416</v>
      </c>
    </row>
    <row r="47" spans="1:26" hidden="1">
      <c r="A47" t="s">
        <v>707</v>
      </c>
      <c r="B47" s="6">
        <v>44287</v>
      </c>
      <c r="C47" s="6">
        <v>44651</v>
      </c>
      <c r="D47">
        <v>20210401</v>
      </c>
      <c r="E47">
        <v>20220331</v>
      </c>
      <c r="F47" t="s">
        <v>5746</v>
      </c>
      <c r="G47" t="s">
        <v>5747</v>
      </c>
      <c r="H47" t="s">
        <v>613</v>
      </c>
      <c r="I47" t="s">
        <v>837</v>
      </c>
      <c r="J47">
        <v>68.5</v>
      </c>
      <c r="K47">
        <v>115418.39</v>
      </c>
      <c r="N47">
        <v>-61.6</v>
      </c>
      <c r="O47">
        <v>-104839.36</v>
      </c>
      <c r="X47">
        <v>6.9</v>
      </c>
      <c r="Y47">
        <v>10579.03</v>
      </c>
      <c r="Z47" s="3">
        <f t="shared" si="0"/>
        <v>1701.9376623376622</v>
      </c>
    </row>
    <row r="48" spans="1:26" hidden="1">
      <c r="A48" t="s">
        <v>707</v>
      </c>
      <c r="B48" s="6">
        <v>44287</v>
      </c>
      <c r="C48" s="6">
        <v>44651</v>
      </c>
      <c r="D48">
        <v>20210401</v>
      </c>
      <c r="E48">
        <v>20220331</v>
      </c>
      <c r="F48" t="s">
        <v>910</v>
      </c>
      <c r="G48" t="s">
        <v>911</v>
      </c>
      <c r="H48" t="s">
        <v>613</v>
      </c>
      <c r="I48" t="s">
        <v>837</v>
      </c>
      <c r="J48">
        <v>0.17</v>
      </c>
      <c r="K48">
        <v>330.98</v>
      </c>
      <c r="X48">
        <v>0.17</v>
      </c>
      <c r="Y48">
        <v>330.98</v>
      </c>
      <c r="Z48" s="3">
        <f t="shared" si="0"/>
        <v>1946.9411764705883</v>
      </c>
    </row>
    <row r="49" spans="1:26" hidden="1">
      <c r="A49" t="s">
        <v>707</v>
      </c>
      <c r="B49" s="6">
        <v>44287</v>
      </c>
      <c r="C49" s="6">
        <v>44651</v>
      </c>
      <c r="D49">
        <v>20210401</v>
      </c>
      <c r="E49">
        <v>20220331</v>
      </c>
      <c r="F49" t="s">
        <v>5748</v>
      </c>
      <c r="G49" t="s">
        <v>5749</v>
      </c>
      <c r="H49" t="s">
        <v>613</v>
      </c>
      <c r="I49" t="s">
        <v>837</v>
      </c>
      <c r="J49">
        <v>2.5</v>
      </c>
      <c r="K49">
        <v>516.35</v>
      </c>
      <c r="X49">
        <v>2.5</v>
      </c>
      <c r="Y49">
        <v>516.35</v>
      </c>
      <c r="Z49" s="3">
        <f t="shared" si="0"/>
        <v>206.54000000000002</v>
      </c>
    </row>
    <row r="50" spans="1:26" hidden="1">
      <c r="A50" t="s">
        <v>707</v>
      </c>
      <c r="B50" s="6">
        <v>44287</v>
      </c>
      <c r="C50" s="6">
        <v>44651</v>
      </c>
      <c r="D50">
        <v>20210401</v>
      </c>
      <c r="E50">
        <v>20220331</v>
      </c>
      <c r="F50" t="s">
        <v>5750</v>
      </c>
      <c r="G50" t="s">
        <v>5751</v>
      </c>
      <c r="H50" t="s">
        <v>613</v>
      </c>
      <c r="I50" t="s">
        <v>837</v>
      </c>
      <c r="J50">
        <v>194</v>
      </c>
      <c r="K50">
        <v>138172.62</v>
      </c>
      <c r="R50">
        <v>-193</v>
      </c>
      <c r="S50">
        <v>-137460.39000000001</v>
      </c>
      <c r="X50">
        <v>1</v>
      </c>
      <c r="Y50">
        <v>712.23</v>
      </c>
      <c r="Z50" s="3">
        <f t="shared" si="0"/>
        <v>712.23</v>
      </c>
    </row>
    <row r="51" spans="1:26">
      <c r="A51" t="s">
        <v>707</v>
      </c>
      <c r="B51" s="6">
        <v>44287</v>
      </c>
      <c r="C51" s="6">
        <v>44651</v>
      </c>
      <c r="D51">
        <v>20210401</v>
      </c>
      <c r="E51">
        <v>20220331</v>
      </c>
      <c r="F51" t="s">
        <v>5752</v>
      </c>
      <c r="G51" t="s">
        <v>5753</v>
      </c>
      <c r="H51" t="s">
        <v>613</v>
      </c>
      <c r="I51" t="s">
        <v>846</v>
      </c>
      <c r="J51">
        <v>9.57</v>
      </c>
      <c r="K51">
        <v>2654.57</v>
      </c>
      <c r="N51">
        <v>-3334.0729999999999</v>
      </c>
      <c r="O51">
        <v>-924805.19</v>
      </c>
      <c r="P51">
        <v>3504.0219999999999</v>
      </c>
      <c r="Q51">
        <v>971945.62</v>
      </c>
      <c r="X51">
        <v>179.51900000000001</v>
      </c>
      <c r="Y51">
        <v>49795</v>
      </c>
      <c r="Z51" s="3">
        <f t="shared" si="0"/>
        <v>277.37986101712886</v>
      </c>
    </row>
    <row r="52" spans="1:26" hidden="1">
      <c r="A52" t="s">
        <v>707</v>
      </c>
      <c r="B52" s="6">
        <v>44287</v>
      </c>
      <c r="C52" s="6">
        <v>44651</v>
      </c>
      <c r="D52">
        <v>20210401</v>
      </c>
      <c r="E52">
        <v>20220331</v>
      </c>
      <c r="F52" t="s">
        <v>5754</v>
      </c>
      <c r="G52" t="s">
        <v>5755</v>
      </c>
      <c r="H52" t="s">
        <v>613</v>
      </c>
      <c r="I52" t="s">
        <v>837</v>
      </c>
      <c r="J52">
        <v>200</v>
      </c>
      <c r="K52">
        <v>102000</v>
      </c>
      <c r="L52">
        <v>2440</v>
      </c>
      <c r="M52">
        <v>1328259.8</v>
      </c>
      <c r="N52">
        <v>-2344.13</v>
      </c>
      <c r="O52">
        <v>-1263206.3700000001</v>
      </c>
      <c r="P52">
        <v>22</v>
      </c>
      <c r="Q52">
        <v>11770</v>
      </c>
      <c r="X52">
        <v>317.87</v>
      </c>
      <c r="Y52">
        <v>178823.43</v>
      </c>
      <c r="Z52" s="3">
        <f t="shared" si="0"/>
        <v>538.91744648232441</v>
      </c>
    </row>
    <row r="53" spans="1:26" hidden="1">
      <c r="A53" t="s">
        <v>707</v>
      </c>
      <c r="B53" s="6">
        <v>44287</v>
      </c>
      <c r="C53" s="6">
        <v>44651</v>
      </c>
      <c r="D53">
        <v>20210401</v>
      </c>
      <c r="E53">
        <v>20220331</v>
      </c>
      <c r="F53" t="s">
        <v>5756</v>
      </c>
      <c r="G53" t="s">
        <v>5757</v>
      </c>
      <c r="H53" t="s">
        <v>613</v>
      </c>
      <c r="I53" t="s">
        <v>837</v>
      </c>
      <c r="J53">
        <v>169</v>
      </c>
      <c r="K53">
        <v>57460</v>
      </c>
      <c r="X53">
        <v>169</v>
      </c>
      <c r="Y53">
        <v>57460</v>
      </c>
      <c r="Z53" s="3">
        <f t="shared" si="0"/>
        <v>340</v>
      </c>
    </row>
    <row r="54" spans="1:26">
      <c r="A54" t="s">
        <v>707</v>
      </c>
      <c r="B54" s="6">
        <v>44287</v>
      </c>
      <c r="C54" s="6">
        <v>44651</v>
      </c>
      <c r="D54">
        <v>20210401</v>
      </c>
      <c r="E54">
        <v>20220331</v>
      </c>
      <c r="F54" t="s">
        <v>5758</v>
      </c>
      <c r="G54" t="s">
        <v>5759</v>
      </c>
      <c r="H54" t="s">
        <v>613</v>
      </c>
      <c r="I54" t="s">
        <v>846</v>
      </c>
      <c r="J54">
        <v>571</v>
      </c>
      <c r="K54">
        <v>165019</v>
      </c>
      <c r="X54">
        <v>571</v>
      </c>
      <c r="Y54">
        <v>165019</v>
      </c>
      <c r="Z54" s="3">
        <f t="shared" si="0"/>
        <v>289</v>
      </c>
    </row>
    <row r="55" spans="1:26">
      <c r="A55" t="s">
        <v>707</v>
      </c>
      <c r="B55" s="6">
        <v>44287</v>
      </c>
      <c r="C55" s="6">
        <v>44651</v>
      </c>
      <c r="D55">
        <v>20210401</v>
      </c>
      <c r="E55">
        <v>20220331</v>
      </c>
      <c r="F55" t="s">
        <v>5760</v>
      </c>
      <c r="G55" t="s">
        <v>5761</v>
      </c>
      <c r="H55" t="s">
        <v>613</v>
      </c>
      <c r="I55" t="s">
        <v>846</v>
      </c>
      <c r="J55">
        <v>96</v>
      </c>
      <c r="K55">
        <v>5764.19</v>
      </c>
      <c r="P55">
        <v>10</v>
      </c>
      <c r="Q55">
        <v>600.44000000000005</v>
      </c>
      <c r="X55">
        <v>106</v>
      </c>
      <c r="Y55">
        <v>6364.63</v>
      </c>
      <c r="Z55" s="3">
        <f t="shared" si="0"/>
        <v>60.044000000000004</v>
      </c>
    </row>
    <row r="56" spans="1:26">
      <c r="A56" t="s">
        <v>707</v>
      </c>
      <c r="B56" s="6">
        <v>44287</v>
      </c>
      <c r="C56" s="6">
        <v>44651</v>
      </c>
      <c r="D56">
        <v>20210401</v>
      </c>
      <c r="E56">
        <v>20220331</v>
      </c>
      <c r="F56" t="s">
        <v>918</v>
      </c>
      <c r="G56" t="s">
        <v>919</v>
      </c>
      <c r="H56" t="s">
        <v>613</v>
      </c>
      <c r="I56" t="s">
        <v>846</v>
      </c>
      <c r="N56">
        <v>-1556</v>
      </c>
      <c r="O56">
        <v>-517116.09</v>
      </c>
      <c r="P56">
        <v>1879</v>
      </c>
      <c r="Q56">
        <v>676652.2</v>
      </c>
      <c r="X56">
        <v>323</v>
      </c>
      <c r="Y56">
        <v>159536.10999999999</v>
      </c>
      <c r="Z56" s="3">
        <f t="shared" si="0"/>
        <v>493.91984520123816</v>
      </c>
    </row>
    <row r="57" spans="1:26" hidden="1">
      <c r="A57" t="s">
        <v>707</v>
      </c>
      <c r="B57" s="6">
        <v>44287</v>
      </c>
      <c r="C57" s="6">
        <v>44651</v>
      </c>
      <c r="D57">
        <v>20210401</v>
      </c>
      <c r="E57">
        <v>20220331</v>
      </c>
      <c r="F57" t="s">
        <v>920</v>
      </c>
      <c r="G57" t="s">
        <v>921</v>
      </c>
      <c r="H57" t="s">
        <v>613</v>
      </c>
      <c r="I57" t="s">
        <v>837</v>
      </c>
      <c r="L57">
        <v>236</v>
      </c>
      <c r="M57">
        <v>51442.080000000002</v>
      </c>
      <c r="N57">
        <v>-236</v>
      </c>
      <c r="O57">
        <v>-51442.09</v>
      </c>
      <c r="Y57">
        <v>-0.01</v>
      </c>
      <c r="Z57" s="3">
        <f t="shared" si="0"/>
        <v>217.97495762711864</v>
      </c>
    </row>
    <row r="58" spans="1:26">
      <c r="A58" t="s">
        <v>707</v>
      </c>
      <c r="B58" s="6">
        <v>44287</v>
      </c>
      <c r="C58" s="6">
        <v>44651</v>
      </c>
      <c r="D58">
        <v>20210401</v>
      </c>
      <c r="E58">
        <v>20220331</v>
      </c>
      <c r="F58" t="s">
        <v>922</v>
      </c>
      <c r="G58" t="s">
        <v>923</v>
      </c>
      <c r="H58" t="s">
        <v>613</v>
      </c>
      <c r="I58" t="s">
        <v>846</v>
      </c>
      <c r="J58">
        <v>2540</v>
      </c>
      <c r="K58">
        <v>35887.83</v>
      </c>
      <c r="N58">
        <v>-4904.2250000000004</v>
      </c>
      <c r="O58">
        <v>-245911.7</v>
      </c>
      <c r="P58">
        <v>3913.45</v>
      </c>
      <c r="Q58">
        <v>407087.82</v>
      </c>
      <c r="X58">
        <v>1549.2249999999999</v>
      </c>
      <c r="Y58">
        <v>197063.95</v>
      </c>
      <c r="Z58" s="3">
        <f t="shared" si="0"/>
        <v>-162.67681360551074</v>
      </c>
    </row>
    <row r="59" spans="1:26">
      <c r="A59" t="s">
        <v>707</v>
      </c>
      <c r="B59" s="6">
        <v>44287</v>
      </c>
      <c r="C59" s="6">
        <v>44651</v>
      </c>
      <c r="D59">
        <v>20210401</v>
      </c>
      <c r="E59">
        <v>20220331</v>
      </c>
      <c r="F59" t="s">
        <v>924</v>
      </c>
      <c r="G59" t="s">
        <v>925</v>
      </c>
      <c r="H59" t="s">
        <v>613</v>
      </c>
      <c r="I59" t="s">
        <v>846</v>
      </c>
      <c r="J59">
        <v>3472.3</v>
      </c>
      <c r="K59">
        <v>73166.350000000006</v>
      </c>
      <c r="N59">
        <v>-36215.582000000002</v>
      </c>
      <c r="O59">
        <v>-809471.67</v>
      </c>
      <c r="P59">
        <v>39561.264000000003</v>
      </c>
      <c r="Q59">
        <v>943544.58</v>
      </c>
      <c r="X59">
        <v>6817.982</v>
      </c>
      <c r="Y59">
        <v>207239.26</v>
      </c>
      <c r="Z59" s="3">
        <f t="shared" si="0"/>
        <v>40.073417019310227</v>
      </c>
    </row>
    <row r="60" spans="1:26">
      <c r="A60" t="s">
        <v>707</v>
      </c>
      <c r="B60" s="6">
        <v>44287</v>
      </c>
      <c r="C60" s="6">
        <v>44651</v>
      </c>
      <c r="D60">
        <v>20210401</v>
      </c>
      <c r="E60">
        <v>20220331</v>
      </c>
      <c r="F60" t="s">
        <v>926</v>
      </c>
      <c r="G60" t="s">
        <v>927</v>
      </c>
      <c r="H60" t="s">
        <v>613</v>
      </c>
      <c r="I60" t="s">
        <v>846</v>
      </c>
      <c r="J60">
        <v>17.2</v>
      </c>
      <c r="K60">
        <v>927.47</v>
      </c>
      <c r="L60">
        <v>5980</v>
      </c>
      <c r="M60">
        <v>21822.81</v>
      </c>
      <c r="N60">
        <v>-195535.1</v>
      </c>
      <c r="O60">
        <v>-7846669.4100000001</v>
      </c>
      <c r="P60">
        <v>201871.26</v>
      </c>
      <c r="Q60">
        <v>8629945.1300000008</v>
      </c>
      <c r="X60">
        <v>12333.36</v>
      </c>
      <c r="Y60">
        <v>806026</v>
      </c>
      <c r="Z60" s="3">
        <f t="shared" si="0"/>
        <v>123.61994015302648</v>
      </c>
    </row>
    <row r="61" spans="1:26" hidden="1">
      <c r="A61" t="s">
        <v>707</v>
      </c>
      <c r="B61" s="6">
        <v>44287</v>
      </c>
      <c r="C61" s="6">
        <v>44651</v>
      </c>
      <c r="D61">
        <v>20210401</v>
      </c>
      <c r="E61">
        <v>20220331</v>
      </c>
      <c r="F61" t="s">
        <v>930</v>
      </c>
      <c r="G61" t="s">
        <v>931</v>
      </c>
      <c r="H61" t="s">
        <v>613</v>
      </c>
      <c r="I61" t="s">
        <v>837</v>
      </c>
      <c r="J61">
        <v>115.22199999999999</v>
      </c>
      <c r="K61">
        <v>19718.04</v>
      </c>
      <c r="L61">
        <v>1135</v>
      </c>
      <c r="M61">
        <v>248833.91</v>
      </c>
      <c r="N61">
        <v>-1072.28</v>
      </c>
      <c r="O61">
        <v>-226896.07</v>
      </c>
      <c r="P61">
        <v>34.5</v>
      </c>
      <c r="Q61">
        <v>5901.54</v>
      </c>
      <c r="X61">
        <v>212.44200000000001</v>
      </c>
      <c r="Y61">
        <v>47557.42</v>
      </c>
      <c r="Z61" s="3">
        <f t="shared" si="0"/>
        <v>212.94930524774037</v>
      </c>
    </row>
    <row r="62" spans="1:26">
      <c r="A62" t="s">
        <v>707</v>
      </c>
      <c r="B62" s="6">
        <v>44287</v>
      </c>
      <c r="C62" s="6">
        <v>44651</v>
      </c>
      <c r="D62">
        <v>20210401</v>
      </c>
      <c r="E62">
        <v>20220331</v>
      </c>
      <c r="F62" t="s">
        <v>932</v>
      </c>
      <c r="G62" t="s">
        <v>933</v>
      </c>
      <c r="H62" t="s">
        <v>613</v>
      </c>
      <c r="I62" t="s">
        <v>846</v>
      </c>
      <c r="J62">
        <v>15828.3</v>
      </c>
      <c r="K62">
        <v>705589.84</v>
      </c>
      <c r="N62">
        <v>-204924.82</v>
      </c>
      <c r="O62">
        <v>-9179839.4700000007</v>
      </c>
      <c r="P62">
        <v>217296.84</v>
      </c>
      <c r="Q62">
        <v>9763383</v>
      </c>
      <c r="X62">
        <v>28200.32</v>
      </c>
      <c r="Y62">
        <v>1289133.3700000001</v>
      </c>
      <c r="Z62" s="3">
        <f t="shared" si="0"/>
        <v>47.166390775313957</v>
      </c>
    </row>
    <row r="63" spans="1:26">
      <c r="A63" t="s">
        <v>707</v>
      </c>
      <c r="B63" s="6">
        <v>44287</v>
      </c>
      <c r="C63" s="6">
        <v>44651</v>
      </c>
      <c r="D63">
        <v>20210401</v>
      </c>
      <c r="E63">
        <v>20220331</v>
      </c>
      <c r="F63" t="s">
        <v>5762</v>
      </c>
      <c r="G63" t="s">
        <v>5763</v>
      </c>
      <c r="H63" t="s">
        <v>613</v>
      </c>
      <c r="I63" t="s">
        <v>846</v>
      </c>
      <c r="J63">
        <v>311</v>
      </c>
      <c r="K63">
        <v>65839.34</v>
      </c>
      <c r="N63">
        <v>-24</v>
      </c>
      <c r="O63">
        <v>-5080.8500000000004</v>
      </c>
      <c r="P63">
        <v>39</v>
      </c>
      <c r="Q63">
        <v>8256.3799999999992</v>
      </c>
      <c r="X63">
        <v>326</v>
      </c>
      <c r="Y63">
        <v>69014.87</v>
      </c>
      <c r="Z63" s="3">
        <f t="shared" si="0"/>
        <v>211.70199999999991</v>
      </c>
    </row>
    <row r="64" spans="1:26">
      <c r="A64" t="s">
        <v>707</v>
      </c>
      <c r="B64" s="6">
        <v>44287</v>
      </c>
      <c r="C64" s="6">
        <v>44651</v>
      </c>
      <c r="D64">
        <v>20210401</v>
      </c>
      <c r="E64">
        <v>20220331</v>
      </c>
      <c r="F64" t="s">
        <v>944</v>
      </c>
      <c r="G64" t="s">
        <v>945</v>
      </c>
      <c r="H64" t="s">
        <v>613</v>
      </c>
      <c r="I64" t="s">
        <v>846</v>
      </c>
      <c r="J64">
        <v>2320</v>
      </c>
      <c r="K64">
        <v>19557.599999999999</v>
      </c>
      <c r="X64">
        <v>2320</v>
      </c>
      <c r="Y64">
        <v>19557.599999999999</v>
      </c>
      <c r="Z64" s="3">
        <f t="shared" si="0"/>
        <v>8.43</v>
      </c>
    </row>
    <row r="65" spans="1:26">
      <c r="A65" t="s">
        <v>707</v>
      </c>
      <c r="B65" s="6">
        <v>44287</v>
      </c>
      <c r="C65" s="6">
        <v>44651</v>
      </c>
      <c r="D65">
        <v>20210401</v>
      </c>
      <c r="E65">
        <v>20220331</v>
      </c>
      <c r="F65" t="s">
        <v>950</v>
      </c>
      <c r="G65" t="s">
        <v>951</v>
      </c>
      <c r="H65" t="s">
        <v>613</v>
      </c>
      <c r="I65" t="s">
        <v>846</v>
      </c>
      <c r="J65">
        <v>93</v>
      </c>
      <c r="K65">
        <v>16918.099999999999</v>
      </c>
      <c r="P65">
        <v>1393.7840000000001</v>
      </c>
      <c r="Q65">
        <v>253549.94</v>
      </c>
      <c r="X65">
        <v>1486.7840000000001</v>
      </c>
      <c r="Y65">
        <v>270468.03999999998</v>
      </c>
      <c r="Z65" s="3">
        <f t="shared" si="0"/>
        <v>181.91480171963516</v>
      </c>
    </row>
    <row r="66" spans="1:26" hidden="1">
      <c r="A66" t="s">
        <v>707</v>
      </c>
      <c r="B66" s="6">
        <v>44287</v>
      </c>
      <c r="C66" s="6">
        <v>44651</v>
      </c>
      <c r="D66">
        <v>20210401</v>
      </c>
      <c r="E66">
        <v>20220331</v>
      </c>
      <c r="F66" t="s">
        <v>952</v>
      </c>
      <c r="G66" t="s">
        <v>953</v>
      </c>
      <c r="H66" t="s">
        <v>613</v>
      </c>
      <c r="I66" t="s">
        <v>837</v>
      </c>
      <c r="J66">
        <v>1204</v>
      </c>
      <c r="K66">
        <v>141019.99</v>
      </c>
      <c r="L66">
        <v>14192</v>
      </c>
      <c r="M66">
        <v>2407905.4</v>
      </c>
      <c r="N66">
        <v>-14778.99</v>
      </c>
      <c r="O66">
        <v>-2484823.4900000002</v>
      </c>
      <c r="P66">
        <v>315</v>
      </c>
      <c r="Q66">
        <v>48328.28</v>
      </c>
      <c r="R66">
        <v>-900</v>
      </c>
      <c r="S66">
        <v>-106274.61</v>
      </c>
      <c r="X66">
        <v>32.01</v>
      </c>
      <c r="Y66">
        <v>6155.57</v>
      </c>
      <c r="Z66" s="3">
        <f t="shared" si="0"/>
        <v>168.45249547324082</v>
      </c>
    </row>
    <row r="67" spans="1:26">
      <c r="A67" t="s">
        <v>707</v>
      </c>
      <c r="B67" s="6">
        <v>44287</v>
      </c>
      <c r="C67" s="6">
        <v>44651</v>
      </c>
      <c r="D67">
        <v>20210401</v>
      </c>
      <c r="E67">
        <v>20220331</v>
      </c>
      <c r="F67" t="s">
        <v>954</v>
      </c>
      <c r="G67" t="s">
        <v>955</v>
      </c>
      <c r="H67" t="s">
        <v>613</v>
      </c>
      <c r="I67" t="s">
        <v>846</v>
      </c>
      <c r="J67">
        <v>208.6</v>
      </c>
      <c r="K67">
        <v>29493.439999999999</v>
      </c>
      <c r="N67">
        <v>-3967.835</v>
      </c>
      <c r="O67">
        <v>-525211.29</v>
      </c>
      <c r="P67">
        <v>4017.46</v>
      </c>
      <c r="Q67">
        <v>527069.72</v>
      </c>
      <c r="X67">
        <v>258.22500000000002</v>
      </c>
      <c r="Y67">
        <v>31351.87</v>
      </c>
      <c r="Z67" s="3">
        <f t="shared" ref="Z67:Z130" si="1">IFERROR((O67+Q67)/(N67+P67),Y67/X67)</f>
        <v>37.449471032744277</v>
      </c>
    </row>
    <row r="68" spans="1:26">
      <c r="A68" t="s">
        <v>707</v>
      </c>
      <c r="B68" s="6">
        <v>44287</v>
      </c>
      <c r="C68" s="6">
        <v>44651</v>
      </c>
      <c r="D68">
        <v>20210401</v>
      </c>
      <c r="E68">
        <v>20220331</v>
      </c>
      <c r="F68" t="s">
        <v>956</v>
      </c>
      <c r="G68" t="s">
        <v>957</v>
      </c>
      <c r="H68" t="s">
        <v>613</v>
      </c>
      <c r="I68" t="s">
        <v>846</v>
      </c>
      <c r="J68">
        <v>265</v>
      </c>
      <c r="K68">
        <v>37658.36</v>
      </c>
      <c r="N68">
        <v>-1448.5160000000001</v>
      </c>
      <c r="O68">
        <v>-209380.97</v>
      </c>
      <c r="P68">
        <v>1460.5319999999999</v>
      </c>
      <c r="Q68">
        <v>214506.82</v>
      </c>
      <c r="X68">
        <v>277.01600000000002</v>
      </c>
      <c r="Y68">
        <v>42784.21</v>
      </c>
      <c r="Z68" s="3">
        <f t="shared" si="1"/>
        <v>426.58538615180345</v>
      </c>
    </row>
    <row r="69" spans="1:26">
      <c r="A69" t="s">
        <v>707</v>
      </c>
      <c r="B69" s="6">
        <v>44287</v>
      </c>
      <c r="C69" s="6">
        <v>44651</v>
      </c>
      <c r="D69">
        <v>20210401</v>
      </c>
      <c r="E69">
        <v>20220331</v>
      </c>
      <c r="F69" t="s">
        <v>958</v>
      </c>
      <c r="G69" t="s">
        <v>959</v>
      </c>
      <c r="H69" t="s">
        <v>613</v>
      </c>
      <c r="I69" t="s">
        <v>846</v>
      </c>
      <c r="P69">
        <v>118.43</v>
      </c>
      <c r="Q69">
        <v>17798.849999999999</v>
      </c>
      <c r="X69">
        <v>118.43</v>
      </c>
      <c r="Y69">
        <v>17798.849999999999</v>
      </c>
      <c r="Z69" s="3">
        <f t="shared" si="1"/>
        <v>150.29004475217425</v>
      </c>
    </row>
    <row r="70" spans="1:26">
      <c r="A70" t="s">
        <v>707</v>
      </c>
      <c r="B70" s="6">
        <v>44287</v>
      </c>
      <c r="C70" s="6">
        <v>44651</v>
      </c>
      <c r="D70">
        <v>20210401</v>
      </c>
      <c r="E70">
        <v>20220331</v>
      </c>
      <c r="F70" t="s">
        <v>5764</v>
      </c>
      <c r="G70" t="s">
        <v>5765</v>
      </c>
      <c r="H70" t="s">
        <v>613</v>
      </c>
      <c r="I70" t="s">
        <v>846</v>
      </c>
      <c r="P70">
        <v>0.48</v>
      </c>
      <c r="X70">
        <v>0.48</v>
      </c>
      <c r="Z70" s="3">
        <f t="shared" si="1"/>
        <v>0</v>
      </c>
    </row>
    <row r="71" spans="1:26">
      <c r="A71" t="s">
        <v>707</v>
      </c>
      <c r="B71" s="6">
        <v>44287</v>
      </c>
      <c r="C71" s="6">
        <v>44651</v>
      </c>
      <c r="D71">
        <v>20210401</v>
      </c>
      <c r="E71">
        <v>20220331</v>
      </c>
      <c r="F71" t="s">
        <v>5766</v>
      </c>
      <c r="G71" t="s">
        <v>5767</v>
      </c>
      <c r="H71" t="s">
        <v>613</v>
      </c>
      <c r="I71" t="s">
        <v>846</v>
      </c>
      <c r="P71">
        <v>66</v>
      </c>
      <c r="X71">
        <v>66</v>
      </c>
      <c r="Z71" s="3">
        <f t="shared" si="1"/>
        <v>0</v>
      </c>
    </row>
    <row r="72" spans="1:26">
      <c r="A72" t="s">
        <v>707</v>
      </c>
      <c r="B72" s="6">
        <v>44287</v>
      </c>
      <c r="C72" s="6">
        <v>44651</v>
      </c>
      <c r="D72">
        <v>20210401</v>
      </c>
      <c r="E72">
        <v>20220331</v>
      </c>
      <c r="F72" t="s">
        <v>962</v>
      </c>
      <c r="G72" t="s">
        <v>963</v>
      </c>
      <c r="H72" t="s">
        <v>613</v>
      </c>
      <c r="I72" t="s">
        <v>846</v>
      </c>
      <c r="J72">
        <v>939</v>
      </c>
      <c r="K72">
        <v>35221.33</v>
      </c>
      <c r="N72">
        <v>-30270.846000000001</v>
      </c>
      <c r="O72">
        <v>-1144992.1100000001</v>
      </c>
      <c r="P72">
        <v>33124.491999999998</v>
      </c>
      <c r="Q72">
        <v>1255164.72</v>
      </c>
      <c r="X72">
        <v>3792.6460000000002</v>
      </c>
      <c r="Y72">
        <v>145393.94</v>
      </c>
      <c r="Z72" s="3">
        <f t="shared" si="1"/>
        <v>38.607665421709626</v>
      </c>
    </row>
    <row r="73" spans="1:26">
      <c r="A73" t="s">
        <v>707</v>
      </c>
      <c r="B73" s="6">
        <v>44287</v>
      </c>
      <c r="C73" s="6">
        <v>44651</v>
      </c>
      <c r="D73">
        <v>20210401</v>
      </c>
      <c r="E73">
        <v>20220331</v>
      </c>
      <c r="F73" t="s">
        <v>964</v>
      </c>
      <c r="G73" t="s">
        <v>965</v>
      </c>
      <c r="H73" t="s">
        <v>613</v>
      </c>
      <c r="I73" t="s">
        <v>846</v>
      </c>
      <c r="J73">
        <v>1849</v>
      </c>
      <c r="K73">
        <v>69456.86</v>
      </c>
      <c r="N73">
        <v>-142394.503</v>
      </c>
      <c r="O73">
        <v>-5466968.7800000003</v>
      </c>
      <c r="P73">
        <v>143054.386</v>
      </c>
      <c r="Q73">
        <v>5495521.46</v>
      </c>
      <c r="X73">
        <v>2508.8829999999998</v>
      </c>
      <c r="Y73">
        <v>98009.54</v>
      </c>
      <c r="Z73" s="3">
        <f t="shared" si="1"/>
        <v>43.269306831665055</v>
      </c>
    </row>
    <row r="74" spans="1:26">
      <c r="A74" t="s">
        <v>707</v>
      </c>
      <c r="B74" s="6">
        <v>44287</v>
      </c>
      <c r="C74" s="6">
        <v>44651</v>
      </c>
      <c r="D74">
        <v>20210401</v>
      </c>
      <c r="E74">
        <v>20220331</v>
      </c>
      <c r="F74" t="s">
        <v>966</v>
      </c>
      <c r="G74" t="s">
        <v>967</v>
      </c>
      <c r="H74" t="s">
        <v>613</v>
      </c>
      <c r="I74" t="s">
        <v>846</v>
      </c>
      <c r="J74">
        <v>692</v>
      </c>
      <c r="K74">
        <v>24336.43</v>
      </c>
      <c r="N74">
        <v>-100030.272</v>
      </c>
      <c r="O74">
        <v>-3551767.19</v>
      </c>
      <c r="P74">
        <v>100384.144</v>
      </c>
      <c r="Q74">
        <v>3565322.5</v>
      </c>
      <c r="V74">
        <v>-210</v>
      </c>
      <c r="W74">
        <v>-7569.58</v>
      </c>
      <c r="X74">
        <v>835.87199999999996</v>
      </c>
      <c r="Y74">
        <v>30322.16</v>
      </c>
      <c r="Z74" s="3">
        <f t="shared" si="1"/>
        <v>38.305686802007337</v>
      </c>
    </row>
    <row r="75" spans="1:26">
      <c r="A75" t="s">
        <v>707</v>
      </c>
      <c r="B75" s="6">
        <v>44287</v>
      </c>
      <c r="C75" s="6">
        <v>44651</v>
      </c>
      <c r="D75">
        <v>20210401</v>
      </c>
      <c r="E75">
        <v>20220331</v>
      </c>
      <c r="F75" t="s">
        <v>5768</v>
      </c>
      <c r="G75" t="s">
        <v>5769</v>
      </c>
      <c r="H75" t="s">
        <v>613</v>
      </c>
      <c r="I75" t="s">
        <v>846</v>
      </c>
      <c r="J75">
        <v>208.3</v>
      </c>
      <c r="K75">
        <v>5838.22</v>
      </c>
      <c r="N75">
        <v>-250</v>
      </c>
      <c r="O75">
        <v>-7007.06</v>
      </c>
      <c r="P75">
        <v>1668.444</v>
      </c>
      <c r="Q75">
        <v>46763.49</v>
      </c>
      <c r="X75">
        <v>1626.7439999999999</v>
      </c>
      <c r="Y75">
        <v>45594.65</v>
      </c>
      <c r="Z75" s="3">
        <f t="shared" si="1"/>
        <v>28.028198504840518</v>
      </c>
    </row>
    <row r="76" spans="1:26">
      <c r="A76" t="s">
        <v>707</v>
      </c>
      <c r="B76" s="6">
        <v>44287</v>
      </c>
      <c r="C76" s="6">
        <v>44651</v>
      </c>
      <c r="D76">
        <v>20210401</v>
      </c>
      <c r="E76">
        <v>20220331</v>
      </c>
      <c r="F76" t="s">
        <v>5770</v>
      </c>
      <c r="G76" t="s">
        <v>5771</v>
      </c>
      <c r="H76" t="s">
        <v>613</v>
      </c>
      <c r="I76" t="s">
        <v>846</v>
      </c>
      <c r="P76">
        <v>60</v>
      </c>
      <c r="X76">
        <v>60</v>
      </c>
      <c r="Z76" s="3">
        <f t="shared" si="1"/>
        <v>0</v>
      </c>
    </row>
    <row r="77" spans="1:26">
      <c r="A77" t="s">
        <v>707</v>
      </c>
      <c r="B77" s="6">
        <v>44287</v>
      </c>
      <c r="C77" s="6">
        <v>44651</v>
      </c>
      <c r="D77">
        <v>20210401</v>
      </c>
      <c r="E77">
        <v>20220331</v>
      </c>
      <c r="F77" t="s">
        <v>5772</v>
      </c>
      <c r="G77" t="s">
        <v>5773</v>
      </c>
      <c r="H77" t="s">
        <v>613</v>
      </c>
      <c r="I77" t="s">
        <v>846</v>
      </c>
      <c r="J77">
        <v>242</v>
      </c>
      <c r="K77">
        <v>8921.1200000000008</v>
      </c>
      <c r="N77">
        <v>-11871.635</v>
      </c>
      <c r="O77">
        <v>-491866.51</v>
      </c>
      <c r="P77">
        <v>23624.27</v>
      </c>
      <c r="Q77">
        <v>935858.98</v>
      </c>
      <c r="X77">
        <v>11994.635</v>
      </c>
      <c r="Y77">
        <v>452913.59</v>
      </c>
      <c r="Z77" s="3">
        <f t="shared" si="1"/>
        <v>37.778121246852301</v>
      </c>
    </row>
    <row r="78" spans="1:26">
      <c r="A78" t="s">
        <v>707</v>
      </c>
      <c r="B78" s="6">
        <v>44287</v>
      </c>
      <c r="C78" s="6">
        <v>44651</v>
      </c>
      <c r="D78">
        <v>20210401</v>
      </c>
      <c r="E78">
        <v>20220331</v>
      </c>
      <c r="F78" t="s">
        <v>974</v>
      </c>
      <c r="G78" t="s">
        <v>975</v>
      </c>
      <c r="H78" t="s">
        <v>613</v>
      </c>
      <c r="I78" t="s">
        <v>846</v>
      </c>
      <c r="J78">
        <v>852</v>
      </c>
      <c r="K78">
        <v>181845.75</v>
      </c>
      <c r="N78">
        <v>-5876.8980000000001</v>
      </c>
      <c r="O78">
        <v>-1153733.22</v>
      </c>
      <c r="P78">
        <v>5677.1959999999999</v>
      </c>
      <c r="Q78">
        <v>1085144.5900000001</v>
      </c>
      <c r="X78">
        <v>652.298</v>
      </c>
      <c r="Y78">
        <v>113257.12</v>
      </c>
      <c r="Z78" s="3">
        <f t="shared" si="1"/>
        <v>343.45489779771765</v>
      </c>
    </row>
    <row r="79" spans="1:26">
      <c r="A79" t="s">
        <v>707</v>
      </c>
      <c r="B79" s="6">
        <v>44287</v>
      </c>
      <c r="C79" s="6">
        <v>44651</v>
      </c>
      <c r="D79">
        <v>20210401</v>
      </c>
      <c r="E79">
        <v>20220331</v>
      </c>
      <c r="F79" t="s">
        <v>5774</v>
      </c>
      <c r="G79" t="s">
        <v>5775</v>
      </c>
      <c r="H79" t="s">
        <v>613</v>
      </c>
      <c r="I79" t="s">
        <v>846</v>
      </c>
      <c r="J79">
        <v>88</v>
      </c>
      <c r="K79">
        <v>2635.47</v>
      </c>
      <c r="N79">
        <v>-18941.45</v>
      </c>
      <c r="O79">
        <v>-575599.81000000006</v>
      </c>
      <c r="P79">
        <v>46940</v>
      </c>
      <c r="Q79">
        <v>1487700.92</v>
      </c>
      <c r="X79">
        <v>28086.55</v>
      </c>
      <c r="Y79">
        <v>914736.58</v>
      </c>
      <c r="Z79" s="3">
        <f t="shared" si="1"/>
        <v>32.576726651915898</v>
      </c>
    </row>
    <row r="80" spans="1:26">
      <c r="A80" t="s">
        <v>707</v>
      </c>
      <c r="B80" s="6">
        <v>44287</v>
      </c>
      <c r="C80" s="6">
        <v>44651</v>
      </c>
      <c r="D80">
        <v>20210401</v>
      </c>
      <c r="E80">
        <v>20220331</v>
      </c>
      <c r="F80" t="s">
        <v>5776</v>
      </c>
      <c r="G80" t="s">
        <v>5777</v>
      </c>
      <c r="H80" t="s">
        <v>613</v>
      </c>
      <c r="I80" t="s">
        <v>846</v>
      </c>
      <c r="J80">
        <v>66262</v>
      </c>
      <c r="K80">
        <v>3772797.71</v>
      </c>
      <c r="N80">
        <v>-399537.69199999998</v>
      </c>
      <c r="O80">
        <v>-22770680.859999999</v>
      </c>
      <c r="P80">
        <v>405950.02899999998</v>
      </c>
      <c r="Q80">
        <v>23229984.149999999</v>
      </c>
      <c r="V80">
        <v>30034</v>
      </c>
      <c r="W80">
        <v>1742818.96</v>
      </c>
      <c r="X80">
        <v>102708.337</v>
      </c>
      <c r="Y80">
        <v>5974919.96</v>
      </c>
      <c r="Z80" s="3">
        <f t="shared" si="1"/>
        <v>71.628064775759469</v>
      </c>
    </row>
    <row r="81" spans="1:26">
      <c r="A81" t="s">
        <v>707</v>
      </c>
      <c r="B81" s="6">
        <v>44287</v>
      </c>
      <c r="C81" s="6">
        <v>44651</v>
      </c>
      <c r="D81">
        <v>20210401</v>
      </c>
      <c r="E81">
        <v>20220331</v>
      </c>
      <c r="F81" t="s">
        <v>5778</v>
      </c>
      <c r="G81" t="s">
        <v>5779</v>
      </c>
      <c r="H81" t="s">
        <v>613</v>
      </c>
      <c r="I81" t="s">
        <v>846</v>
      </c>
      <c r="J81">
        <v>48</v>
      </c>
      <c r="K81">
        <v>2852.16</v>
      </c>
      <c r="X81">
        <v>48</v>
      </c>
      <c r="Y81">
        <v>2852.16</v>
      </c>
      <c r="Z81" s="3">
        <f t="shared" si="1"/>
        <v>59.419999999999995</v>
      </c>
    </row>
    <row r="82" spans="1:26">
      <c r="A82" t="s">
        <v>707</v>
      </c>
      <c r="B82" s="6">
        <v>44287</v>
      </c>
      <c r="C82" s="6">
        <v>44651</v>
      </c>
      <c r="D82">
        <v>20210401</v>
      </c>
      <c r="E82">
        <v>20220331</v>
      </c>
      <c r="F82" t="s">
        <v>980</v>
      </c>
      <c r="G82" t="s">
        <v>981</v>
      </c>
      <c r="H82" t="s">
        <v>613</v>
      </c>
      <c r="I82" t="s">
        <v>846</v>
      </c>
      <c r="N82">
        <v>-3535</v>
      </c>
      <c r="O82">
        <v>-51558.7</v>
      </c>
      <c r="P82">
        <v>8056.5</v>
      </c>
      <c r="Q82">
        <v>117505.62</v>
      </c>
      <c r="X82">
        <v>4521.5</v>
      </c>
      <c r="Y82">
        <v>65946.92</v>
      </c>
      <c r="Z82" s="3">
        <f t="shared" si="1"/>
        <v>14.585186331969478</v>
      </c>
    </row>
    <row r="83" spans="1:26" hidden="1">
      <c r="A83" t="s">
        <v>707</v>
      </c>
      <c r="B83" s="6">
        <v>44287</v>
      </c>
      <c r="C83" s="6">
        <v>44651</v>
      </c>
      <c r="D83">
        <v>20210401</v>
      </c>
      <c r="E83">
        <v>20220331</v>
      </c>
      <c r="F83" t="s">
        <v>5780</v>
      </c>
      <c r="G83" t="s">
        <v>5781</v>
      </c>
      <c r="H83" t="s">
        <v>613</v>
      </c>
      <c r="I83" t="s">
        <v>837</v>
      </c>
      <c r="J83">
        <v>151.69999999999999</v>
      </c>
      <c r="K83">
        <v>20813.240000000002</v>
      </c>
      <c r="P83">
        <v>7.8</v>
      </c>
      <c r="Q83">
        <v>1070.1600000000001</v>
      </c>
      <c r="R83">
        <v>-159.5</v>
      </c>
      <c r="S83">
        <v>-21883.4</v>
      </c>
      <c r="Z83" s="3">
        <f t="shared" si="1"/>
        <v>137.20000000000002</v>
      </c>
    </row>
    <row r="84" spans="1:26">
      <c r="A84" t="s">
        <v>707</v>
      </c>
      <c r="B84" s="6">
        <v>44287</v>
      </c>
      <c r="C84" s="6">
        <v>44651</v>
      </c>
      <c r="D84">
        <v>20210401</v>
      </c>
      <c r="E84">
        <v>20220331</v>
      </c>
      <c r="F84" t="s">
        <v>986</v>
      </c>
      <c r="G84" t="s">
        <v>987</v>
      </c>
      <c r="H84" t="s">
        <v>613</v>
      </c>
      <c r="I84" t="s">
        <v>846</v>
      </c>
      <c r="J84">
        <v>204</v>
      </c>
      <c r="K84">
        <v>204687.48</v>
      </c>
      <c r="P84">
        <v>2</v>
      </c>
      <c r="Q84">
        <v>2006.74</v>
      </c>
      <c r="R84">
        <v>-206</v>
      </c>
      <c r="S84">
        <v>-206694.22</v>
      </c>
      <c r="Z84" s="3">
        <f t="shared" si="1"/>
        <v>1003.37</v>
      </c>
    </row>
    <row r="85" spans="1:26" hidden="1">
      <c r="A85" t="s">
        <v>707</v>
      </c>
      <c r="B85" s="6">
        <v>44287</v>
      </c>
      <c r="C85" s="6">
        <v>44651</v>
      </c>
      <c r="D85">
        <v>20210401</v>
      </c>
      <c r="E85">
        <v>20220331</v>
      </c>
      <c r="F85" t="s">
        <v>992</v>
      </c>
      <c r="G85" t="s">
        <v>993</v>
      </c>
      <c r="H85" t="s">
        <v>613</v>
      </c>
      <c r="I85" t="s">
        <v>837</v>
      </c>
      <c r="J85">
        <v>24290</v>
      </c>
      <c r="K85">
        <v>850851.08</v>
      </c>
      <c r="L85">
        <v>554419</v>
      </c>
      <c r="M85">
        <v>27562956.199999999</v>
      </c>
      <c r="N85">
        <v>-578751.87</v>
      </c>
      <c r="O85">
        <v>-28502050.43</v>
      </c>
      <c r="P85">
        <v>8989.0409999999993</v>
      </c>
      <c r="Q85">
        <v>444033.54</v>
      </c>
      <c r="X85">
        <v>8946.1710000000003</v>
      </c>
      <c r="Y85">
        <v>355790.39</v>
      </c>
      <c r="Z85" s="3">
        <f t="shared" si="1"/>
        <v>49.245081395086935</v>
      </c>
    </row>
    <row r="86" spans="1:26">
      <c r="A86" t="s">
        <v>707</v>
      </c>
      <c r="B86" s="6">
        <v>44287</v>
      </c>
      <c r="C86" s="6">
        <v>44651</v>
      </c>
      <c r="D86">
        <v>20210401</v>
      </c>
      <c r="E86">
        <v>20220331</v>
      </c>
      <c r="F86" t="s">
        <v>5782</v>
      </c>
      <c r="G86" t="s">
        <v>5783</v>
      </c>
      <c r="H86" t="s">
        <v>613</v>
      </c>
      <c r="I86" t="s">
        <v>846</v>
      </c>
      <c r="J86">
        <v>216</v>
      </c>
      <c r="K86">
        <v>46425.17</v>
      </c>
      <c r="N86">
        <v>-379.8</v>
      </c>
      <c r="O86">
        <v>-81630.98</v>
      </c>
      <c r="P86">
        <v>235.82</v>
      </c>
      <c r="Q86">
        <v>50685.11</v>
      </c>
      <c r="X86">
        <v>72.02</v>
      </c>
      <c r="Y86">
        <v>15479.3</v>
      </c>
      <c r="Z86" s="3">
        <f t="shared" si="1"/>
        <v>214.93172662869836</v>
      </c>
    </row>
    <row r="87" spans="1:26">
      <c r="A87" t="s">
        <v>707</v>
      </c>
      <c r="B87" s="6">
        <v>44287</v>
      </c>
      <c r="C87" s="6">
        <v>44651</v>
      </c>
      <c r="D87">
        <v>20210401</v>
      </c>
      <c r="E87">
        <v>20220331</v>
      </c>
      <c r="F87" t="s">
        <v>5784</v>
      </c>
      <c r="G87" t="s">
        <v>5785</v>
      </c>
      <c r="H87" t="s">
        <v>613</v>
      </c>
      <c r="I87" t="s">
        <v>846</v>
      </c>
      <c r="J87">
        <v>1392</v>
      </c>
      <c r="K87">
        <v>27299.16</v>
      </c>
      <c r="R87">
        <v>-984</v>
      </c>
      <c r="S87">
        <v>-19297.62</v>
      </c>
      <c r="X87">
        <v>408</v>
      </c>
      <c r="Y87">
        <v>8001.54</v>
      </c>
      <c r="Z87" s="3">
        <f t="shared" si="1"/>
        <v>19.611617647058825</v>
      </c>
    </row>
    <row r="88" spans="1:26">
      <c r="A88" t="s">
        <v>707</v>
      </c>
      <c r="B88" s="6">
        <v>44287</v>
      </c>
      <c r="C88" s="6">
        <v>44651</v>
      </c>
      <c r="D88">
        <v>20210401</v>
      </c>
      <c r="E88">
        <v>20220331</v>
      </c>
      <c r="F88" t="s">
        <v>5786</v>
      </c>
      <c r="G88" t="s">
        <v>5787</v>
      </c>
      <c r="H88" t="s">
        <v>613</v>
      </c>
      <c r="I88" t="s">
        <v>846</v>
      </c>
      <c r="J88">
        <v>384</v>
      </c>
      <c r="K88">
        <v>151200</v>
      </c>
      <c r="R88">
        <v>-384</v>
      </c>
      <c r="S88">
        <v>-151200</v>
      </c>
      <c r="Z88" s="3" t="e">
        <f t="shared" si="1"/>
        <v>#DIV/0!</v>
      </c>
    </row>
    <row r="89" spans="1:26">
      <c r="A89" t="s">
        <v>707</v>
      </c>
      <c r="B89" s="6">
        <v>44287</v>
      </c>
      <c r="C89" s="6">
        <v>44651</v>
      </c>
      <c r="D89">
        <v>20210401</v>
      </c>
      <c r="E89">
        <v>20220331</v>
      </c>
      <c r="F89" t="s">
        <v>5788</v>
      </c>
      <c r="G89" t="s">
        <v>5789</v>
      </c>
      <c r="H89" t="s">
        <v>613</v>
      </c>
      <c r="I89" t="s">
        <v>846</v>
      </c>
      <c r="J89">
        <v>193</v>
      </c>
      <c r="K89">
        <v>14562.93</v>
      </c>
      <c r="N89">
        <v>-300</v>
      </c>
      <c r="O89">
        <v>-22636.74</v>
      </c>
      <c r="P89">
        <v>440</v>
      </c>
      <c r="Q89">
        <v>33200.54</v>
      </c>
      <c r="X89">
        <v>333</v>
      </c>
      <c r="Y89">
        <v>25126.73</v>
      </c>
      <c r="Z89" s="3">
        <f t="shared" si="1"/>
        <v>75.455714285714279</v>
      </c>
    </row>
    <row r="90" spans="1:26">
      <c r="A90" t="s">
        <v>707</v>
      </c>
      <c r="B90" s="6">
        <v>44287</v>
      </c>
      <c r="C90" s="6">
        <v>44651</v>
      </c>
      <c r="D90">
        <v>20210401</v>
      </c>
      <c r="E90">
        <v>20220331</v>
      </c>
      <c r="F90" t="s">
        <v>5790</v>
      </c>
      <c r="G90" t="s">
        <v>5791</v>
      </c>
      <c r="H90" t="s">
        <v>613</v>
      </c>
      <c r="I90" t="s">
        <v>846</v>
      </c>
      <c r="P90">
        <v>18</v>
      </c>
      <c r="Q90">
        <v>1800</v>
      </c>
      <c r="X90">
        <v>18</v>
      </c>
      <c r="Y90">
        <v>1800</v>
      </c>
      <c r="Z90" s="3">
        <f t="shared" si="1"/>
        <v>100</v>
      </c>
    </row>
    <row r="91" spans="1:26">
      <c r="A91" t="s">
        <v>707</v>
      </c>
      <c r="B91" s="6">
        <v>44287</v>
      </c>
      <c r="C91" s="6">
        <v>44651</v>
      </c>
      <c r="D91">
        <v>20210401</v>
      </c>
      <c r="E91">
        <v>20220331</v>
      </c>
      <c r="F91" t="s">
        <v>5792</v>
      </c>
      <c r="G91" t="s">
        <v>5793</v>
      </c>
      <c r="H91" t="s">
        <v>613</v>
      </c>
      <c r="I91" t="s">
        <v>846</v>
      </c>
      <c r="J91">
        <v>281</v>
      </c>
      <c r="K91">
        <v>8803.09</v>
      </c>
      <c r="N91">
        <v>-935</v>
      </c>
      <c r="O91">
        <v>-29291.5</v>
      </c>
      <c r="P91">
        <v>1112</v>
      </c>
      <c r="Q91">
        <v>35841.379999999997</v>
      </c>
      <c r="X91">
        <v>458</v>
      </c>
      <c r="Y91">
        <v>15352.97</v>
      </c>
      <c r="Z91" s="3">
        <f t="shared" si="1"/>
        <v>37.004971751412413</v>
      </c>
    </row>
    <row r="92" spans="1:26">
      <c r="A92" t="s">
        <v>707</v>
      </c>
      <c r="B92" s="6">
        <v>44287</v>
      </c>
      <c r="C92" s="6">
        <v>44651</v>
      </c>
      <c r="D92">
        <v>20210401</v>
      </c>
      <c r="E92">
        <v>20220331</v>
      </c>
      <c r="F92" t="s">
        <v>1006</v>
      </c>
      <c r="G92" t="s">
        <v>1007</v>
      </c>
      <c r="H92" t="s">
        <v>613</v>
      </c>
      <c r="I92" t="s">
        <v>846</v>
      </c>
      <c r="J92">
        <v>4.2</v>
      </c>
      <c r="K92">
        <v>9811.16</v>
      </c>
      <c r="X92">
        <v>4.2</v>
      </c>
      <c r="Y92">
        <v>9811.16</v>
      </c>
      <c r="Z92" s="3">
        <f t="shared" si="1"/>
        <v>2335.9904761904759</v>
      </c>
    </row>
    <row r="93" spans="1:26">
      <c r="A93" t="s">
        <v>707</v>
      </c>
      <c r="B93" s="6">
        <v>44287</v>
      </c>
      <c r="C93" s="6">
        <v>44651</v>
      </c>
      <c r="D93">
        <v>20210401</v>
      </c>
      <c r="E93">
        <v>20220331</v>
      </c>
      <c r="F93" t="s">
        <v>5794</v>
      </c>
      <c r="G93" t="s">
        <v>5795</v>
      </c>
      <c r="H93" t="s">
        <v>613</v>
      </c>
      <c r="I93" t="s">
        <v>846</v>
      </c>
      <c r="J93">
        <v>275.2</v>
      </c>
      <c r="K93">
        <v>27520</v>
      </c>
      <c r="X93">
        <v>275.2</v>
      </c>
      <c r="Y93">
        <v>27520</v>
      </c>
      <c r="Z93" s="3">
        <f t="shared" si="1"/>
        <v>100</v>
      </c>
    </row>
    <row r="94" spans="1:26">
      <c r="A94" t="s">
        <v>707</v>
      </c>
      <c r="B94" s="6">
        <v>44287</v>
      </c>
      <c r="C94" s="6">
        <v>44651</v>
      </c>
      <c r="D94">
        <v>20210401</v>
      </c>
      <c r="E94">
        <v>20220331</v>
      </c>
      <c r="F94" t="s">
        <v>5796</v>
      </c>
      <c r="G94" t="s">
        <v>5797</v>
      </c>
      <c r="H94" t="s">
        <v>613</v>
      </c>
      <c r="I94" t="s">
        <v>846</v>
      </c>
      <c r="P94">
        <v>37</v>
      </c>
      <c r="X94">
        <v>37</v>
      </c>
      <c r="Z94" s="3">
        <f t="shared" si="1"/>
        <v>0</v>
      </c>
    </row>
    <row r="95" spans="1:26">
      <c r="A95" t="s">
        <v>707</v>
      </c>
      <c r="B95" s="6">
        <v>44287</v>
      </c>
      <c r="C95" s="6">
        <v>44651</v>
      </c>
      <c r="D95">
        <v>20210401</v>
      </c>
      <c r="E95">
        <v>20220331</v>
      </c>
      <c r="F95" t="s">
        <v>5798</v>
      </c>
      <c r="G95" t="s">
        <v>5799</v>
      </c>
      <c r="H95" t="s">
        <v>613</v>
      </c>
      <c r="I95" t="s">
        <v>846</v>
      </c>
      <c r="J95">
        <v>216</v>
      </c>
      <c r="K95">
        <v>6964.61</v>
      </c>
      <c r="N95">
        <v>-21288.5</v>
      </c>
      <c r="O95">
        <v>-686510.3</v>
      </c>
      <c r="P95">
        <v>21267</v>
      </c>
      <c r="Q95">
        <v>685817.63</v>
      </c>
      <c r="X95">
        <v>194.5</v>
      </c>
      <c r="Y95">
        <v>6271.94</v>
      </c>
      <c r="Z95" s="3">
        <f t="shared" si="1"/>
        <v>32.217209302327532</v>
      </c>
    </row>
    <row r="96" spans="1:26">
      <c r="A96" t="s">
        <v>707</v>
      </c>
      <c r="B96" s="6">
        <v>44287</v>
      </c>
      <c r="C96" s="6">
        <v>44651</v>
      </c>
      <c r="D96">
        <v>20210401</v>
      </c>
      <c r="E96">
        <v>20220331</v>
      </c>
      <c r="F96" t="s">
        <v>5800</v>
      </c>
      <c r="G96" t="s">
        <v>5801</v>
      </c>
      <c r="H96" t="s">
        <v>613</v>
      </c>
      <c r="I96" t="s">
        <v>846</v>
      </c>
      <c r="P96">
        <v>11</v>
      </c>
      <c r="X96">
        <v>11</v>
      </c>
      <c r="Z96" s="3">
        <f t="shared" si="1"/>
        <v>0</v>
      </c>
    </row>
    <row r="97" spans="1:26">
      <c r="A97" t="s">
        <v>707</v>
      </c>
      <c r="B97" s="6">
        <v>44287</v>
      </c>
      <c r="C97" s="6">
        <v>44651</v>
      </c>
      <c r="D97">
        <v>20210401</v>
      </c>
      <c r="E97">
        <v>20220331</v>
      </c>
      <c r="F97" t="s">
        <v>5802</v>
      </c>
      <c r="G97" t="s">
        <v>5803</v>
      </c>
      <c r="H97" t="s">
        <v>613</v>
      </c>
      <c r="I97" t="s">
        <v>846</v>
      </c>
      <c r="J97">
        <v>905</v>
      </c>
      <c r="K97">
        <v>32181.5</v>
      </c>
      <c r="N97">
        <v>-41290.07</v>
      </c>
      <c r="O97">
        <v>-1502309.05</v>
      </c>
      <c r="P97">
        <v>45216.29</v>
      </c>
      <c r="Q97">
        <v>1648564.74</v>
      </c>
      <c r="X97">
        <v>4831.22</v>
      </c>
      <c r="Y97">
        <v>178437.19</v>
      </c>
      <c r="Z97" s="3">
        <f t="shared" si="1"/>
        <v>37.251017518121728</v>
      </c>
    </row>
    <row r="98" spans="1:26">
      <c r="A98" t="s">
        <v>707</v>
      </c>
      <c r="B98" s="6">
        <v>44287</v>
      </c>
      <c r="C98" s="6">
        <v>44651</v>
      </c>
      <c r="D98">
        <v>20210401</v>
      </c>
      <c r="E98">
        <v>20220331</v>
      </c>
      <c r="F98" t="s">
        <v>1014</v>
      </c>
      <c r="G98" t="s">
        <v>1015</v>
      </c>
      <c r="H98" t="s">
        <v>613</v>
      </c>
      <c r="I98" t="s">
        <v>846</v>
      </c>
      <c r="J98">
        <v>712.4</v>
      </c>
      <c r="K98">
        <v>92170.31</v>
      </c>
      <c r="X98">
        <v>712.4</v>
      </c>
      <c r="Y98">
        <v>92170.31</v>
      </c>
      <c r="Z98" s="3">
        <f t="shared" si="1"/>
        <v>129.37999719258843</v>
      </c>
    </row>
    <row r="99" spans="1:26">
      <c r="A99" t="s">
        <v>707</v>
      </c>
      <c r="B99" s="6">
        <v>44287</v>
      </c>
      <c r="C99" s="6">
        <v>44651</v>
      </c>
      <c r="D99">
        <v>20210401</v>
      </c>
      <c r="E99">
        <v>20220331</v>
      </c>
      <c r="F99" t="s">
        <v>5804</v>
      </c>
      <c r="G99" t="s">
        <v>5805</v>
      </c>
      <c r="H99" t="s">
        <v>613</v>
      </c>
      <c r="I99" t="s">
        <v>846</v>
      </c>
      <c r="J99">
        <v>277</v>
      </c>
      <c r="K99">
        <v>10600.47</v>
      </c>
      <c r="X99">
        <v>277</v>
      </c>
      <c r="Y99">
        <v>10600.47</v>
      </c>
      <c r="Z99" s="3">
        <f t="shared" si="1"/>
        <v>38.268844765342955</v>
      </c>
    </row>
    <row r="100" spans="1:26">
      <c r="A100" t="s">
        <v>707</v>
      </c>
      <c r="B100" s="6">
        <v>44287</v>
      </c>
      <c r="C100" s="6">
        <v>44651</v>
      </c>
      <c r="D100">
        <v>20210401</v>
      </c>
      <c r="E100">
        <v>20220331</v>
      </c>
      <c r="F100" t="s">
        <v>5806</v>
      </c>
      <c r="G100" t="s">
        <v>5807</v>
      </c>
      <c r="H100" t="s">
        <v>613</v>
      </c>
      <c r="I100" t="s">
        <v>846</v>
      </c>
      <c r="J100">
        <v>90</v>
      </c>
      <c r="K100">
        <v>2694.81</v>
      </c>
      <c r="N100">
        <v>-15</v>
      </c>
      <c r="O100">
        <v>-449.13</v>
      </c>
      <c r="P100">
        <v>429.5</v>
      </c>
      <c r="Q100">
        <v>12860.21</v>
      </c>
      <c r="X100">
        <v>504.5</v>
      </c>
      <c r="Y100">
        <v>15105.89</v>
      </c>
      <c r="Z100" s="3">
        <f t="shared" si="1"/>
        <v>29.942291917973463</v>
      </c>
    </row>
    <row r="101" spans="1:26">
      <c r="A101" t="s">
        <v>707</v>
      </c>
      <c r="B101" s="6">
        <v>44287</v>
      </c>
      <c r="C101" s="6">
        <v>44651</v>
      </c>
      <c r="D101">
        <v>20210401</v>
      </c>
      <c r="E101">
        <v>20220331</v>
      </c>
      <c r="F101" t="s">
        <v>5808</v>
      </c>
      <c r="G101" t="s">
        <v>5809</v>
      </c>
      <c r="H101" t="s">
        <v>613</v>
      </c>
      <c r="I101" t="s">
        <v>846</v>
      </c>
      <c r="J101">
        <v>53</v>
      </c>
      <c r="P101">
        <v>834.23199999999997</v>
      </c>
      <c r="Q101">
        <v>-0.74</v>
      </c>
      <c r="X101">
        <v>887.23199999999997</v>
      </c>
      <c r="Y101">
        <v>-0.74</v>
      </c>
      <c r="Z101" s="3">
        <f t="shared" si="1"/>
        <v>-8.8704341238408501E-4</v>
      </c>
    </row>
    <row r="102" spans="1:26">
      <c r="A102" t="s">
        <v>707</v>
      </c>
      <c r="B102" s="6">
        <v>44287</v>
      </c>
      <c r="C102" s="6">
        <v>44651</v>
      </c>
      <c r="D102">
        <v>20210401</v>
      </c>
      <c r="E102">
        <v>20220331</v>
      </c>
      <c r="F102" t="s">
        <v>5810</v>
      </c>
      <c r="G102" t="s">
        <v>5811</v>
      </c>
      <c r="H102" t="s">
        <v>613</v>
      </c>
      <c r="I102" t="s">
        <v>846</v>
      </c>
      <c r="J102">
        <v>2047</v>
      </c>
      <c r="K102">
        <v>322392.81</v>
      </c>
      <c r="X102">
        <v>2047</v>
      </c>
      <c r="Y102">
        <v>322392.81</v>
      </c>
      <c r="Z102" s="3">
        <f t="shared" si="1"/>
        <v>157.49526624328286</v>
      </c>
    </row>
    <row r="103" spans="1:26">
      <c r="A103" t="s">
        <v>707</v>
      </c>
      <c r="B103" s="6">
        <v>44287</v>
      </c>
      <c r="C103" s="6">
        <v>44651</v>
      </c>
      <c r="D103">
        <v>20210401</v>
      </c>
      <c r="E103">
        <v>20220331</v>
      </c>
      <c r="F103" t="s">
        <v>5812</v>
      </c>
      <c r="G103" t="s">
        <v>5813</v>
      </c>
      <c r="H103" t="s">
        <v>613</v>
      </c>
      <c r="I103" t="s">
        <v>846</v>
      </c>
      <c r="J103">
        <v>1643.9</v>
      </c>
      <c r="K103">
        <v>130591.36</v>
      </c>
      <c r="N103">
        <v>-20597.150000000001</v>
      </c>
      <c r="O103">
        <v>-1661883.79</v>
      </c>
      <c r="P103">
        <v>19891.330000000002</v>
      </c>
      <c r="Q103">
        <v>1608690.26</v>
      </c>
      <c r="X103">
        <v>938.08</v>
      </c>
      <c r="Y103">
        <v>77397.83</v>
      </c>
      <c r="Z103" s="3">
        <f t="shared" si="1"/>
        <v>75.364158000623462</v>
      </c>
    </row>
    <row r="104" spans="1:26">
      <c r="A104" t="s">
        <v>707</v>
      </c>
      <c r="B104" s="6">
        <v>44287</v>
      </c>
      <c r="C104" s="6">
        <v>44651</v>
      </c>
      <c r="D104">
        <v>20210401</v>
      </c>
      <c r="E104">
        <v>20220331</v>
      </c>
      <c r="F104" t="s">
        <v>1036</v>
      </c>
      <c r="G104" t="s">
        <v>1037</v>
      </c>
      <c r="H104" t="s">
        <v>613</v>
      </c>
      <c r="I104" t="s">
        <v>846</v>
      </c>
      <c r="J104">
        <v>21.5</v>
      </c>
      <c r="K104">
        <v>949.75</v>
      </c>
      <c r="L104">
        <v>141620.29999999999</v>
      </c>
      <c r="M104">
        <v>10202620.539999999</v>
      </c>
      <c r="N104">
        <v>-132053.69</v>
      </c>
      <c r="O104">
        <v>-9453248.9499999993</v>
      </c>
      <c r="P104">
        <v>57</v>
      </c>
      <c r="Q104">
        <v>4026.48</v>
      </c>
      <c r="X104">
        <v>9645.11</v>
      </c>
      <c r="Y104">
        <v>754347.82</v>
      </c>
      <c r="Z104" s="3">
        <f t="shared" si="1"/>
        <v>71.586813805709809</v>
      </c>
    </row>
    <row r="105" spans="1:26">
      <c r="A105" t="s">
        <v>707</v>
      </c>
      <c r="B105" s="6">
        <v>44287</v>
      </c>
      <c r="C105" s="6">
        <v>44651</v>
      </c>
      <c r="D105">
        <v>20210401</v>
      </c>
      <c r="E105">
        <v>20220331</v>
      </c>
      <c r="F105" t="s">
        <v>5814</v>
      </c>
      <c r="G105" t="s">
        <v>5815</v>
      </c>
      <c r="H105" t="s">
        <v>613</v>
      </c>
      <c r="I105" t="s">
        <v>846</v>
      </c>
      <c r="J105">
        <v>382</v>
      </c>
      <c r="K105">
        <v>10592.86</v>
      </c>
      <c r="N105">
        <v>-1438</v>
      </c>
      <c r="O105">
        <v>-39875.74</v>
      </c>
      <c r="P105">
        <v>1676.5</v>
      </c>
      <c r="Q105">
        <v>46489.35</v>
      </c>
      <c r="X105">
        <v>620.5</v>
      </c>
      <c r="Y105">
        <v>17206.47</v>
      </c>
      <c r="Z105" s="3">
        <f t="shared" si="1"/>
        <v>27.730020964360591</v>
      </c>
    </row>
    <row r="106" spans="1:26" hidden="1">
      <c r="A106" t="s">
        <v>707</v>
      </c>
      <c r="B106" s="6">
        <v>44287</v>
      </c>
      <c r="C106" s="6">
        <v>44651</v>
      </c>
      <c r="D106">
        <v>20210401</v>
      </c>
      <c r="E106">
        <v>20220331</v>
      </c>
      <c r="F106" t="s">
        <v>5816</v>
      </c>
      <c r="G106" t="s">
        <v>5817</v>
      </c>
      <c r="H106" t="s">
        <v>613</v>
      </c>
      <c r="I106" t="s">
        <v>837</v>
      </c>
      <c r="J106">
        <v>5523</v>
      </c>
      <c r="K106">
        <v>154644</v>
      </c>
      <c r="N106">
        <v>-5323</v>
      </c>
      <c r="O106">
        <v>-149044</v>
      </c>
      <c r="X106">
        <v>200</v>
      </c>
      <c r="Y106">
        <v>5600</v>
      </c>
      <c r="Z106" s="3">
        <f t="shared" si="1"/>
        <v>28</v>
      </c>
    </row>
    <row r="107" spans="1:26">
      <c r="A107" t="s">
        <v>707</v>
      </c>
      <c r="B107" s="6">
        <v>44287</v>
      </c>
      <c r="C107" s="6">
        <v>44651</v>
      </c>
      <c r="D107">
        <v>20210401</v>
      </c>
      <c r="E107">
        <v>20220331</v>
      </c>
      <c r="F107" t="s">
        <v>5818</v>
      </c>
      <c r="G107" t="s">
        <v>5819</v>
      </c>
      <c r="H107" t="s">
        <v>613</v>
      </c>
      <c r="I107" t="s">
        <v>846</v>
      </c>
      <c r="J107">
        <v>1167</v>
      </c>
      <c r="K107">
        <v>37015.01</v>
      </c>
      <c r="P107">
        <v>11</v>
      </c>
      <c r="Q107">
        <v>348.9</v>
      </c>
      <c r="V107">
        <v>-1178</v>
      </c>
      <c r="W107">
        <v>-37363.449999999997</v>
      </c>
      <c r="Y107">
        <v>0.46</v>
      </c>
      <c r="Z107" s="3">
        <f t="shared" si="1"/>
        <v>31.718181818181815</v>
      </c>
    </row>
    <row r="108" spans="1:26">
      <c r="A108" t="s">
        <v>707</v>
      </c>
      <c r="B108" s="6">
        <v>44287</v>
      </c>
      <c r="C108" s="6">
        <v>44651</v>
      </c>
      <c r="D108">
        <v>20210401</v>
      </c>
      <c r="E108">
        <v>20220331</v>
      </c>
      <c r="F108" t="s">
        <v>1038</v>
      </c>
      <c r="G108" t="s">
        <v>1039</v>
      </c>
      <c r="H108" t="s">
        <v>613</v>
      </c>
      <c r="I108" t="s">
        <v>846</v>
      </c>
      <c r="J108">
        <v>362</v>
      </c>
      <c r="K108">
        <v>67719.17</v>
      </c>
      <c r="N108">
        <v>-4913.88</v>
      </c>
      <c r="O108">
        <v>-892464.97</v>
      </c>
      <c r="P108">
        <v>4613.8</v>
      </c>
      <c r="Q108">
        <v>835592.63</v>
      </c>
      <c r="X108">
        <v>61.92</v>
      </c>
      <c r="Y108">
        <v>10846.83</v>
      </c>
      <c r="Z108" s="3">
        <f t="shared" si="1"/>
        <v>189.52392695281253</v>
      </c>
    </row>
    <row r="109" spans="1:26">
      <c r="A109" t="s">
        <v>707</v>
      </c>
      <c r="B109" s="6">
        <v>44287</v>
      </c>
      <c r="C109" s="6">
        <v>44651</v>
      </c>
      <c r="D109">
        <v>20210401</v>
      </c>
      <c r="E109">
        <v>20220331</v>
      </c>
      <c r="F109" t="s">
        <v>5820</v>
      </c>
      <c r="G109" t="s">
        <v>5821</v>
      </c>
      <c r="H109" t="s">
        <v>613</v>
      </c>
      <c r="I109" t="s">
        <v>846</v>
      </c>
      <c r="J109">
        <v>827</v>
      </c>
      <c r="K109">
        <v>123266.29</v>
      </c>
      <c r="N109">
        <v>-10749.8</v>
      </c>
      <c r="O109">
        <v>-1563114.6</v>
      </c>
      <c r="P109">
        <v>10558.1</v>
      </c>
      <c r="Q109">
        <v>1529156.76</v>
      </c>
      <c r="X109">
        <v>635.29999999999995</v>
      </c>
      <c r="Y109">
        <v>89308.45</v>
      </c>
      <c r="Z109" s="3">
        <f t="shared" si="1"/>
        <v>177.14053208137861</v>
      </c>
    </row>
    <row r="110" spans="1:26">
      <c r="A110" t="s">
        <v>707</v>
      </c>
      <c r="B110" s="6">
        <v>44287</v>
      </c>
      <c r="C110" s="6">
        <v>44651</v>
      </c>
      <c r="D110">
        <v>20210401</v>
      </c>
      <c r="E110">
        <v>20220331</v>
      </c>
      <c r="F110" t="s">
        <v>5822</v>
      </c>
      <c r="G110" t="s">
        <v>5823</v>
      </c>
      <c r="H110" t="s">
        <v>613</v>
      </c>
      <c r="I110" t="s">
        <v>846</v>
      </c>
      <c r="J110">
        <v>745</v>
      </c>
      <c r="K110">
        <v>21172.9</v>
      </c>
      <c r="P110">
        <v>8</v>
      </c>
      <c r="Q110">
        <v>227.36</v>
      </c>
      <c r="V110">
        <v>-753</v>
      </c>
      <c r="W110">
        <v>-21400.26</v>
      </c>
      <c r="Z110" s="3">
        <f t="shared" si="1"/>
        <v>28.42</v>
      </c>
    </row>
    <row r="111" spans="1:26">
      <c r="A111" t="s">
        <v>707</v>
      </c>
      <c r="B111" s="6">
        <v>44287</v>
      </c>
      <c r="C111" s="6">
        <v>44651</v>
      </c>
      <c r="D111">
        <v>20210401</v>
      </c>
      <c r="E111">
        <v>20220331</v>
      </c>
      <c r="F111" t="s">
        <v>5824</v>
      </c>
      <c r="G111" t="s">
        <v>5825</v>
      </c>
      <c r="H111" t="s">
        <v>613</v>
      </c>
      <c r="I111" t="s">
        <v>846</v>
      </c>
      <c r="J111">
        <v>7308.2</v>
      </c>
      <c r="K111">
        <v>303069.78000000003</v>
      </c>
      <c r="N111">
        <v>-16090.513999999999</v>
      </c>
      <c r="O111">
        <v>-678912.79</v>
      </c>
      <c r="P111">
        <v>11750.008</v>
      </c>
      <c r="Q111">
        <v>516764.27</v>
      </c>
      <c r="X111">
        <v>2967.694</v>
      </c>
      <c r="Y111">
        <v>140921.26</v>
      </c>
      <c r="Z111" s="3">
        <f t="shared" si="1"/>
        <v>37.357054684407771</v>
      </c>
    </row>
    <row r="112" spans="1:26">
      <c r="A112" t="s">
        <v>707</v>
      </c>
      <c r="B112" s="6">
        <v>44287</v>
      </c>
      <c r="C112" s="6">
        <v>44651</v>
      </c>
      <c r="D112">
        <v>20210401</v>
      </c>
      <c r="E112">
        <v>20220331</v>
      </c>
      <c r="F112" t="s">
        <v>5826</v>
      </c>
      <c r="G112" t="s">
        <v>5827</v>
      </c>
      <c r="H112" t="s">
        <v>613</v>
      </c>
      <c r="I112" t="s">
        <v>846</v>
      </c>
      <c r="J112">
        <v>1381</v>
      </c>
      <c r="K112">
        <v>78843.11</v>
      </c>
      <c r="N112">
        <v>-1536.5</v>
      </c>
      <c r="O112">
        <v>-87721.09</v>
      </c>
      <c r="P112">
        <v>1292</v>
      </c>
      <c r="Q112">
        <v>67382.02</v>
      </c>
      <c r="X112">
        <v>1136.5</v>
      </c>
      <c r="Y112">
        <v>58504.04</v>
      </c>
      <c r="Z112" s="3">
        <f t="shared" si="1"/>
        <v>83.186380368098128</v>
      </c>
    </row>
    <row r="113" spans="1:26">
      <c r="A113" t="s">
        <v>707</v>
      </c>
      <c r="B113" s="6">
        <v>44287</v>
      </c>
      <c r="C113" s="6">
        <v>44651</v>
      </c>
      <c r="D113">
        <v>20210401</v>
      </c>
      <c r="E113">
        <v>20220331</v>
      </c>
      <c r="F113" t="s">
        <v>5828</v>
      </c>
      <c r="G113" t="s">
        <v>5829</v>
      </c>
      <c r="H113" t="s">
        <v>613</v>
      </c>
      <c r="I113" t="s">
        <v>846</v>
      </c>
      <c r="J113">
        <v>610</v>
      </c>
      <c r="K113">
        <v>25301.96</v>
      </c>
      <c r="P113">
        <v>61.91</v>
      </c>
      <c r="Q113">
        <v>2570.1799999999998</v>
      </c>
      <c r="V113">
        <v>-671.91</v>
      </c>
      <c r="W113">
        <v>-27894.28</v>
      </c>
      <c r="Y113">
        <v>-22.14</v>
      </c>
      <c r="Z113" s="3">
        <f t="shared" si="1"/>
        <v>41.514779518656113</v>
      </c>
    </row>
    <row r="114" spans="1:26">
      <c r="A114" t="s">
        <v>707</v>
      </c>
      <c r="B114" s="6">
        <v>44287</v>
      </c>
      <c r="C114" s="6">
        <v>44651</v>
      </c>
      <c r="D114">
        <v>20210401</v>
      </c>
      <c r="E114">
        <v>20220331</v>
      </c>
      <c r="F114" t="s">
        <v>5830</v>
      </c>
      <c r="G114" t="s">
        <v>5831</v>
      </c>
      <c r="H114" t="s">
        <v>613</v>
      </c>
      <c r="I114" t="s">
        <v>846</v>
      </c>
      <c r="J114">
        <v>819</v>
      </c>
      <c r="K114">
        <v>30843.56</v>
      </c>
      <c r="N114">
        <v>-350</v>
      </c>
      <c r="O114">
        <v>-13181</v>
      </c>
      <c r="P114">
        <v>858</v>
      </c>
      <c r="Q114">
        <v>32312.28</v>
      </c>
      <c r="X114">
        <v>1327</v>
      </c>
      <c r="Y114">
        <v>49974.84</v>
      </c>
      <c r="Z114" s="3">
        <f t="shared" si="1"/>
        <v>37.659999999999997</v>
      </c>
    </row>
    <row r="115" spans="1:26">
      <c r="A115" t="s">
        <v>707</v>
      </c>
      <c r="B115" s="6">
        <v>44287</v>
      </c>
      <c r="C115" s="6">
        <v>44651</v>
      </c>
      <c r="D115">
        <v>20210401</v>
      </c>
      <c r="E115">
        <v>20220331</v>
      </c>
      <c r="F115" t="s">
        <v>1052</v>
      </c>
      <c r="G115" t="s">
        <v>1053</v>
      </c>
      <c r="H115" t="s">
        <v>613</v>
      </c>
      <c r="I115" t="s">
        <v>846</v>
      </c>
      <c r="J115">
        <v>8648.6</v>
      </c>
      <c r="K115">
        <v>372190.25</v>
      </c>
      <c r="N115">
        <v>-72</v>
      </c>
      <c r="O115">
        <v>-3098.58</v>
      </c>
      <c r="P115">
        <v>6698.71</v>
      </c>
      <c r="Q115">
        <v>288285.40000000002</v>
      </c>
      <c r="R115">
        <v>-11130</v>
      </c>
      <c r="S115">
        <v>-478989.57</v>
      </c>
      <c r="V115">
        <v>-4145.3100000000004</v>
      </c>
      <c r="W115">
        <v>-178397.15</v>
      </c>
      <c r="Y115">
        <v>-9.65</v>
      </c>
      <c r="Z115" s="3">
        <f t="shared" si="1"/>
        <v>43.035959020388702</v>
      </c>
    </row>
    <row r="116" spans="1:26">
      <c r="A116" t="s">
        <v>707</v>
      </c>
      <c r="B116" s="6">
        <v>44287</v>
      </c>
      <c r="C116" s="6">
        <v>44651</v>
      </c>
      <c r="D116">
        <v>20210401</v>
      </c>
      <c r="E116">
        <v>20220331</v>
      </c>
      <c r="F116" t="s">
        <v>1058</v>
      </c>
      <c r="G116" t="s">
        <v>1059</v>
      </c>
      <c r="H116" t="s">
        <v>613</v>
      </c>
      <c r="I116" t="s">
        <v>846</v>
      </c>
      <c r="J116">
        <v>2764</v>
      </c>
      <c r="K116">
        <v>58044</v>
      </c>
      <c r="N116">
        <v>-30111</v>
      </c>
      <c r="O116">
        <v>-716461.5</v>
      </c>
      <c r="P116">
        <v>29048</v>
      </c>
      <c r="Q116">
        <v>704056.43</v>
      </c>
      <c r="X116">
        <v>1701</v>
      </c>
      <c r="Y116">
        <v>45638.93</v>
      </c>
      <c r="Z116" s="3">
        <f t="shared" si="1"/>
        <v>11.669868297271824</v>
      </c>
    </row>
    <row r="117" spans="1:26">
      <c r="A117" t="s">
        <v>707</v>
      </c>
      <c r="B117" s="6">
        <v>44287</v>
      </c>
      <c r="C117" s="6">
        <v>44651</v>
      </c>
      <c r="D117">
        <v>20210401</v>
      </c>
      <c r="E117">
        <v>20220331</v>
      </c>
      <c r="F117" t="s">
        <v>1066</v>
      </c>
      <c r="G117" t="s">
        <v>1067</v>
      </c>
      <c r="H117" t="s">
        <v>613</v>
      </c>
      <c r="I117" t="s">
        <v>846</v>
      </c>
      <c r="J117">
        <v>5781.7</v>
      </c>
      <c r="K117">
        <v>204872.18</v>
      </c>
      <c r="N117">
        <v>-53743.775999999998</v>
      </c>
      <c r="O117">
        <v>-1922513.77</v>
      </c>
      <c r="P117">
        <v>59597.851999999999</v>
      </c>
      <c r="Q117">
        <v>2150771.27</v>
      </c>
      <c r="X117">
        <v>11635.776</v>
      </c>
      <c r="Y117">
        <v>433129.68</v>
      </c>
      <c r="Z117" s="3">
        <f t="shared" si="1"/>
        <v>38.991208860288104</v>
      </c>
    </row>
    <row r="118" spans="1:26">
      <c r="A118" t="s">
        <v>707</v>
      </c>
      <c r="B118" s="6">
        <v>44287</v>
      </c>
      <c r="C118" s="6">
        <v>44651</v>
      </c>
      <c r="D118">
        <v>20210401</v>
      </c>
      <c r="E118">
        <v>20220331</v>
      </c>
      <c r="F118" t="s">
        <v>5832</v>
      </c>
      <c r="G118" t="s">
        <v>5833</v>
      </c>
      <c r="H118" t="s">
        <v>613</v>
      </c>
      <c r="I118" t="s">
        <v>846</v>
      </c>
      <c r="J118">
        <v>16</v>
      </c>
      <c r="K118">
        <v>388.86</v>
      </c>
      <c r="P118">
        <v>456</v>
      </c>
      <c r="Q118">
        <v>11081.77</v>
      </c>
      <c r="X118">
        <v>472</v>
      </c>
      <c r="Y118">
        <v>11470.63</v>
      </c>
      <c r="Z118" s="3">
        <f t="shared" si="1"/>
        <v>24.302127192982457</v>
      </c>
    </row>
    <row r="119" spans="1:26">
      <c r="A119" t="s">
        <v>707</v>
      </c>
      <c r="B119" s="6">
        <v>44287</v>
      </c>
      <c r="C119" s="6">
        <v>44651</v>
      </c>
      <c r="D119">
        <v>20210401</v>
      </c>
      <c r="E119">
        <v>20220331</v>
      </c>
      <c r="F119" t="s">
        <v>1070</v>
      </c>
      <c r="G119" t="s">
        <v>1071</v>
      </c>
      <c r="H119" t="s">
        <v>613</v>
      </c>
      <c r="I119" t="s">
        <v>846</v>
      </c>
      <c r="J119">
        <v>1413</v>
      </c>
      <c r="K119">
        <v>124832.17</v>
      </c>
      <c r="P119">
        <v>949</v>
      </c>
      <c r="Q119">
        <v>83839.88</v>
      </c>
      <c r="X119">
        <v>2362</v>
      </c>
      <c r="Y119">
        <v>208672.05</v>
      </c>
      <c r="Z119" s="3">
        <f t="shared" si="1"/>
        <v>88.345500526870396</v>
      </c>
    </row>
    <row r="120" spans="1:26">
      <c r="A120" t="s">
        <v>707</v>
      </c>
      <c r="B120" s="6">
        <v>44287</v>
      </c>
      <c r="C120" s="6">
        <v>44651</v>
      </c>
      <c r="D120">
        <v>20210401</v>
      </c>
      <c r="E120">
        <v>20220331</v>
      </c>
      <c r="F120" t="s">
        <v>5834</v>
      </c>
      <c r="G120" t="s">
        <v>5835</v>
      </c>
      <c r="H120" t="s">
        <v>613</v>
      </c>
      <c r="I120" t="s">
        <v>846</v>
      </c>
      <c r="N120">
        <v>-2415</v>
      </c>
      <c r="P120">
        <v>2415</v>
      </c>
      <c r="Z120" s="3" t="e">
        <f t="shared" si="1"/>
        <v>#DIV/0!</v>
      </c>
    </row>
    <row r="121" spans="1:26">
      <c r="A121" t="s">
        <v>707</v>
      </c>
      <c r="B121" s="6">
        <v>44287</v>
      </c>
      <c r="C121" s="6">
        <v>44651</v>
      </c>
      <c r="D121">
        <v>20210401</v>
      </c>
      <c r="E121">
        <v>20220331</v>
      </c>
      <c r="F121" t="s">
        <v>5836</v>
      </c>
      <c r="G121" t="s">
        <v>5837</v>
      </c>
      <c r="H121" t="s">
        <v>613</v>
      </c>
      <c r="I121" t="s">
        <v>1097</v>
      </c>
      <c r="J121">
        <v>91889</v>
      </c>
      <c r="K121">
        <v>4973473.53</v>
      </c>
      <c r="R121">
        <v>-60400</v>
      </c>
      <c r="S121">
        <v>-3269137.92</v>
      </c>
      <c r="V121">
        <v>-30585</v>
      </c>
      <c r="W121">
        <v>-1655407.01</v>
      </c>
      <c r="X121">
        <v>904</v>
      </c>
      <c r="Y121">
        <v>48928.6</v>
      </c>
      <c r="Z121" s="3">
        <f t="shared" si="1"/>
        <v>54.124557522123894</v>
      </c>
    </row>
    <row r="122" spans="1:26">
      <c r="A122" t="s">
        <v>707</v>
      </c>
      <c r="B122" s="6">
        <v>44287</v>
      </c>
      <c r="C122" s="6">
        <v>44651</v>
      </c>
      <c r="D122">
        <v>20210401</v>
      </c>
      <c r="E122">
        <v>20220331</v>
      </c>
      <c r="F122" t="s">
        <v>1095</v>
      </c>
      <c r="G122" t="s">
        <v>1096</v>
      </c>
      <c r="H122" t="s">
        <v>613</v>
      </c>
      <c r="I122" t="s">
        <v>1097</v>
      </c>
      <c r="J122">
        <v>7736</v>
      </c>
      <c r="K122">
        <v>38705.74</v>
      </c>
      <c r="N122">
        <v>-80</v>
      </c>
      <c r="O122">
        <v>-400.38</v>
      </c>
      <c r="P122">
        <v>36872</v>
      </c>
      <c r="Q122">
        <v>184518.91</v>
      </c>
      <c r="R122">
        <v>-48280.5</v>
      </c>
      <c r="S122">
        <v>-241610.1</v>
      </c>
      <c r="V122">
        <v>6748.22</v>
      </c>
      <c r="W122">
        <v>33770.120000000003</v>
      </c>
      <c r="X122">
        <v>2995.72</v>
      </c>
      <c r="Y122">
        <v>14984.29</v>
      </c>
      <c r="Z122" s="3">
        <f t="shared" si="1"/>
        <v>5.0043088171341594</v>
      </c>
    </row>
    <row r="123" spans="1:26">
      <c r="A123" t="s">
        <v>707</v>
      </c>
      <c r="B123" s="6">
        <v>44287</v>
      </c>
      <c r="C123" s="6">
        <v>44651</v>
      </c>
      <c r="D123">
        <v>20210401</v>
      </c>
      <c r="E123">
        <v>20220331</v>
      </c>
      <c r="F123" t="s">
        <v>1098</v>
      </c>
      <c r="G123" t="s">
        <v>1099</v>
      </c>
      <c r="H123" t="s">
        <v>613</v>
      </c>
      <c r="I123" t="s">
        <v>1097</v>
      </c>
      <c r="P123">
        <v>7020</v>
      </c>
      <c r="Q123">
        <v>139698</v>
      </c>
      <c r="R123">
        <v>-7020</v>
      </c>
      <c r="S123">
        <v>-139698</v>
      </c>
      <c r="Z123" s="3">
        <f t="shared" si="1"/>
        <v>19.899999999999999</v>
      </c>
    </row>
    <row r="124" spans="1:26">
      <c r="A124" t="s">
        <v>707</v>
      </c>
      <c r="B124" s="6">
        <v>44287</v>
      </c>
      <c r="C124" s="6">
        <v>44651</v>
      </c>
      <c r="D124">
        <v>20210401</v>
      </c>
      <c r="E124">
        <v>20220331</v>
      </c>
      <c r="F124" t="s">
        <v>1100</v>
      </c>
      <c r="G124" t="s">
        <v>1101</v>
      </c>
      <c r="H124" t="s">
        <v>613</v>
      </c>
      <c r="I124" t="s">
        <v>1097</v>
      </c>
      <c r="J124">
        <v>12084</v>
      </c>
      <c r="K124">
        <v>266016.52</v>
      </c>
      <c r="N124">
        <v>-9191</v>
      </c>
      <c r="O124">
        <v>-202328.84</v>
      </c>
      <c r="P124">
        <v>7991.174</v>
      </c>
      <c r="Q124">
        <v>175916.77</v>
      </c>
      <c r="R124">
        <v>-5150</v>
      </c>
      <c r="S124">
        <v>-113371.59</v>
      </c>
      <c r="X124">
        <v>5734.174</v>
      </c>
      <c r="Y124">
        <v>126232.86</v>
      </c>
      <c r="Z124" s="3">
        <f t="shared" si="1"/>
        <v>22.01325025462026</v>
      </c>
    </row>
    <row r="125" spans="1:26">
      <c r="A125" t="s">
        <v>707</v>
      </c>
      <c r="B125" s="6">
        <v>44287</v>
      </c>
      <c r="C125" s="6">
        <v>44651</v>
      </c>
      <c r="D125">
        <v>20210401</v>
      </c>
      <c r="E125">
        <v>20220331</v>
      </c>
      <c r="F125" t="s">
        <v>1102</v>
      </c>
      <c r="G125" t="s">
        <v>1103</v>
      </c>
      <c r="H125" t="s">
        <v>613</v>
      </c>
      <c r="I125" t="s">
        <v>1097</v>
      </c>
      <c r="J125">
        <v>5240</v>
      </c>
      <c r="K125">
        <v>392342.38</v>
      </c>
      <c r="P125">
        <v>2166.681</v>
      </c>
      <c r="Q125">
        <v>162229.15</v>
      </c>
      <c r="X125">
        <v>7406.6809999999996</v>
      </c>
      <c r="Y125">
        <v>554571.53</v>
      </c>
      <c r="Z125" s="3">
        <f t="shared" si="1"/>
        <v>74.874496984096865</v>
      </c>
    </row>
    <row r="126" spans="1:26">
      <c r="A126" t="s">
        <v>707</v>
      </c>
      <c r="B126" s="6">
        <v>44287</v>
      </c>
      <c r="C126" s="6">
        <v>44651</v>
      </c>
      <c r="D126">
        <v>20210401</v>
      </c>
      <c r="E126">
        <v>20220331</v>
      </c>
      <c r="F126" t="s">
        <v>1104</v>
      </c>
      <c r="G126" t="s">
        <v>1105</v>
      </c>
      <c r="H126" t="s">
        <v>613</v>
      </c>
      <c r="I126" t="s">
        <v>1097</v>
      </c>
      <c r="P126">
        <v>618.66300000000001</v>
      </c>
      <c r="Q126">
        <v>86612.82</v>
      </c>
      <c r="X126">
        <v>618.66300000000001</v>
      </c>
      <c r="Y126">
        <v>86612.82</v>
      </c>
      <c r="Z126" s="3">
        <f t="shared" si="1"/>
        <v>140</v>
      </c>
    </row>
    <row r="127" spans="1:26">
      <c r="A127" t="s">
        <v>707</v>
      </c>
      <c r="B127" s="6">
        <v>44287</v>
      </c>
      <c r="C127" s="6">
        <v>44651</v>
      </c>
      <c r="D127">
        <v>20210401</v>
      </c>
      <c r="E127">
        <v>20220331</v>
      </c>
      <c r="F127" t="s">
        <v>5838</v>
      </c>
      <c r="G127" t="s">
        <v>5839</v>
      </c>
      <c r="H127" t="s">
        <v>613</v>
      </c>
      <c r="I127" t="s">
        <v>846</v>
      </c>
      <c r="J127">
        <v>12935</v>
      </c>
      <c r="K127">
        <v>243747.95</v>
      </c>
      <c r="P127">
        <v>4602.0339999999997</v>
      </c>
      <c r="Q127">
        <v>86722.09</v>
      </c>
      <c r="R127">
        <v>-16980</v>
      </c>
      <c r="S127">
        <v>-319976.21000000002</v>
      </c>
      <c r="V127">
        <v>761</v>
      </c>
      <c r="W127">
        <v>14340.51</v>
      </c>
      <c r="X127">
        <v>1318.0340000000001</v>
      </c>
      <c r="Y127">
        <v>24834.34</v>
      </c>
      <c r="Z127" s="3">
        <f t="shared" si="1"/>
        <v>18.844295804854983</v>
      </c>
    </row>
    <row r="128" spans="1:26">
      <c r="A128" t="s">
        <v>707</v>
      </c>
      <c r="B128" s="6">
        <v>44287</v>
      </c>
      <c r="C128" s="6">
        <v>44651</v>
      </c>
      <c r="D128">
        <v>20210401</v>
      </c>
      <c r="E128">
        <v>20220331</v>
      </c>
      <c r="F128" t="s">
        <v>5840</v>
      </c>
      <c r="G128" t="s">
        <v>5841</v>
      </c>
      <c r="H128" t="s">
        <v>613</v>
      </c>
      <c r="I128" t="s">
        <v>1097</v>
      </c>
      <c r="J128">
        <v>246</v>
      </c>
      <c r="K128">
        <v>31980</v>
      </c>
      <c r="X128">
        <v>246</v>
      </c>
      <c r="Y128">
        <v>31980</v>
      </c>
      <c r="Z128" s="3">
        <f t="shared" si="1"/>
        <v>130</v>
      </c>
    </row>
    <row r="129" spans="1:26" hidden="1">
      <c r="A129" t="s">
        <v>707</v>
      </c>
      <c r="B129" s="6">
        <v>44287</v>
      </c>
      <c r="C129" s="6">
        <v>44651</v>
      </c>
      <c r="D129">
        <v>20210401</v>
      </c>
      <c r="E129">
        <v>20220331</v>
      </c>
      <c r="F129" t="s">
        <v>1125</v>
      </c>
      <c r="G129" t="s">
        <v>1126</v>
      </c>
      <c r="H129" t="s">
        <v>613</v>
      </c>
      <c r="I129" t="s">
        <v>805</v>
      </c>
      <c r="J129">
        <v>150</v>
      </c>
      <c r="K129">
        <v>15748.47</v>
      </c>
      <c r="L129">
        <v>400</v>
      </c>
      <c r="M129">
        <v>44000</v>
      </c>
      <c r="N129">
        <v>-550</v>
      </c>
      <c r="O129">
        <v>-59748.480000000003</v>
      </c>
      <c r="Y129">
        <v>-0.01</v>
      </c>
      <c r="Z129" s="3">
        <f t="shared" si="1"/>
        <v>108.6336</v>
      </c>
    </row>
    <row r="130" spans="1:26" hidden="1">
      <c r="A130" t="s">
        <v>707</v>
      </c>
      <c r="B130" s="6">
        <v>44287</v>
      </c>
      <c r="C130" s="6">
        <v>44651</v>
      </c>
      <c r="D130">
        <v>20210401</v>
      </c>
      <c r="E130">
        <v>20220331</v>
      </c>
      <c r="F130" t="s">
        <v>5842</v>
      </c>
      <c r="G130" t="s">
        <v>5843</v>
      </c>
      <c r="H130" t="s">
        <v>613</v>
      </c>
      <c r="I130" t="s">
        <v>805</v>
      </c>
      <c r="J130">
        <v>200</v>
      </c>
      <c r="K130">
        <v>2852</v>
      </c>
      <c r="X130">
        <v>200</v>
      </c>
      <c r="Y130">
        <v>2852</v>
      </c>
      <c r="Z130" s="3">
        <f t="shared" si="1"/>
        <v>14.26</v>
      </c>
    </row>
    <row r="131" spans="1:26" hidden="1">
      <c r="A131" t="s">
        <v>707</v>
      </c>
      <c r="B131" s="6">
        <v>44287</v>
      </c>
      <c r="C131" s="6">
        <v>44651</v>
      </c>
      <c r="D131">
        <v>20210401</v>
      </c>
      <c r="E131">
        <v>20220331</v>
      </c>
      <c r="F131" t="s">
        <v>1129</v>
      </c>
      <c r="G131" t="s">
        <v>1130</v>
      </c>
      <c r="H131" t="s">
        <v>613</v>
      </c>
      <c r="I131" t="s">
        <v>805</v>
      </c>
      <c r="J131">
        <v>625</v>
      </c>
      <c r="K131">
        <v>8563.57</v>
      </c>
      <c r="L131">
        <v>15010</v>
      </c>
      <c r="M131">
        <v>220449.6</v>
      </c>
      <c r="N131">
        <v>-14080</v>
      </c>
      <c r="O131">
        <v>-204237.36</v>
      </c>
      <c r="R131">
        <v>-625</v>
      </c>
      <c r="S131">
        <v>-9430.4</v>
      </c>
      <c r="X131">
        <v>930</v>
      </c>
      <c r="Y131">
        <v>15345.41</v>
      </c>
      <c r="Z131" s="3">
        <f t="shared" ref="Z131:Z194" si="2">IFERROR((O131+Q131)/(N131+P131),Y131/X131)</f>
        <v>14.505494318181817</v>
      </c>
    </row>
    <row r="132" spans="1:26" hidden="1">
      <c r="A132" t="s">
        <v>707</v>
      </c>
      <c r="B132" s="6">
        <v>44287</v>
      </c>
      <c r="C132" s="6">
        <v>44651</v>
      </c>
      <c r="D132">
        <v>20210401</v>
      </c>
      <c r="E132">
        <v>20220331</v>
      </c>
      <c r="F132" t="s">
        <v>1133</v>
      </c>
      <c r="G132" t="s">
        <v>1134</v>
      </c>
      <c r="H132" t="s">
        <v>1135</v>
      </c>
      <c r="I132" t="s">
        <v>805</v>
      </c>
      <c r="L132">
        <v>92</v>
      </c>
      <c r="M132">
        <v>24831</v>
      </c>
      <c r="N132">
        <v>-78</v>
      </c>
      <c r="O132">
        <v>-20095</v>
      </c>
      <c r="X132">
        <v>14</v>
      </c>
      <c r="Y132">
        <v>4736</v>
      </c>
      <c r="Z132" s="3">
        <f t="shared" si="2"/>
        <v>257.62820512820514</v>
      </c>
    </row>
    <row r="133" spans="1:26" hidden="1">
      <c r="A133" t="s">
        <v>707</v>
      </c>
      <c r="B133" s="6">
        <v>44287</v>
      </c>
      <c r="C133" s="6">
        <v>44651</v>
      </c>
      <c r="D133">
        <v>20210401</v>
      </c>
      <c r="E133">
        <v>20220331</v>
      </c>
      <c r="F133" t="s">
        <v>1138</v>
      </c>
      <c r="G133" t="s">
        <v>1139</v>
      </c>
      <c r="H133" t="s">
        <v>613</v>
      </c>
      <c r="I133" t="s">
        <v>805</v>
      </c>
      <c r="J133">
        <v>3450</v>
      </c>
      <c r="K133">
        <v>161263.74</v>
      </c>
      <c r="L133">
        <v>35150</v>
      </c>
      <c r="M133">
        <v>1595260.26</v>
      </c>
      <c r="N133">
        <v>-37450</v>
      </c>
      <c r="O133">
        <v>-1685068.77</v>
      </c>
      <c r="X133">
        <v>1150</v>
      </c>
      <c r="Y133">
        <v>71455.23</v>
      </c>
      <c r="Z133" s="3">
        <f t="shared" si="2"/>
        <v>44.995160747663554</v>
      </c>
    </row>
    <row r="134" spans="1:26" hidden="1">
      <c r="A134" t="s">
        <v>707</v>
      </c>
      <c r="B134" s="6">
        <v>44287</v>
      </c>
      <c r="C134" s="6">
        <v>44651</v>
      </c>
      <c r="D134">
        <v>20210401</v>
      </c>
      <c r="E134">
        <v>20220331</v>
      </c>
      <c r="F134" t="s">
        <v>1142</v>
      </c>
      <c r="G134" t="s">
        <v>1143</v>
      </c>
      <c r="H134" t="s">
        <v>1135</v>
      </c>
      <c r="I134" t="s">
        <v>805</v>
      </c>
      <c r="J134">
        <v>7</v>
      </c>
      <c r="K134">
        <v>4735.6499999999996</v>
      </c>
      <c r="N134">
        <v>-7</v>
      </c>
      <c r="O134">
        <v>-4735.74</v>
      </c>
      <c r="Y134">
        <v>-0.09</v>
      </c>
      <c r="Z134" s="3">
        <f t="shared" si="2"/>
        <v>676.53428571428572</v>
      </c>
    </row>
    <row r="135" spans="1:26" hidden="1">
      <c r="A135" t="s">
        <v>707</v>
      </c>
      <c r="B135" s="6">
        <v>44287</v>
      </c>
      <c r="C135" s="6">
        <v>44651</v>
      </c>
      <c r="D135">
        <v>20210401</v>
      </c>
      <c r="E135">
        <v>20220331</v>
      </c>
      <c r="F135" t="s">
        <v>5844</v>
      </c>
      <c r="G135" t="s">
        <v>5845</v>
      </c>
      <c r="H135" t="s">
        <v>590</v>
      </c>
      <c r="I135" t="s">
        <v>805</v>
      </c>
      <c r="L135">
        <v>30</v>
      </c>
      <c r="M135">
        <v>68850</v>
      </c>
      <c r="N135">
        <v>-30</v>
      </c>
      <c r="O135">
        <v>-68850</v>
      </c>
      <c r="Z135" s="3">
        <f t="shared" si="2"/>
        <v>2295</v>
      </c>
    </row>
    <row r="136" spans="1:26" hidden="1">
      <c r="A136" t="s">
        <v>707</v>
      </c>
      <c r="B136" s="6">
        <v>44287</v>
      </c>
      <c r="C136" s="6">
        <v>44651</v>
      </c>
      <c r="D136">
        <v>20210401</v>
      </c>
      <c r="E136">
        <v>20220331</v>
      </c>
      <c r="F136" t="s">
        <v>5846</v>
      </c>
      <c r="G136" t="s">
        <v>5847</v>
      </c>
      <c r="H136" t="s">
        <v>5848</v>
      </c>
      <c r="I136" t="s">
        <v>805</v>
      </c>
      <c r="L136">
        <v>200</v>
      </c>
      <c r="M136">
        <v>8700</v>
      </c>
      <c r="N136">
        <v>-200</v>
      </c>
      <c r="O136">
        <v>-8700</v>
      </c>
      <c r="Z136" s="3">
        <f t="shared" si="2"/>
        <v>43.5</v>
      </c>
    </row>
    <row r="137" spans="1:26" hidden="1">
      <c r="A137" t="s">
        <v>707</v>
      </c>
      <c r="B137" s="6">
        <v>44287</v>
      </c>
      <c r="C137" s="6">
        <v>44651</v>
      </c>
      <c r="D137">
        <v>20210401</v>
      </c>
      <c r="E137">
        <v>20220331</v>
      </c>
      <c r="F137" t="s">
        <v>1146</v>
      </c>
      <c r="G137" t="s">
        <v>1147</v>
      </c>
      <c r="H137" t="s">
        <v>613</v>
      </c>
      <c r="I137" t="s">
        <v>805</v>
      </c>
      <c r="J137">
        <v>350</v>
      </c>
      <c r="K137">
        <v>22749.93</v>
      </c>
      <c r="L137">
        <v>9500</v>
      </c>
      <c r="M137">
        <v>721761</v>
      </c>
      <c r="N137">
        <v>-7450</v>
      </c>
      <c r="O137">
        <v>-554395.61</v>
      </c>
      <c r="R137">
        <v>-1200</v>
      </c>
      <c r="S137">
        <v>-84000</v>
      </c>
      <c r="X137">
        <v>1200</v>
      </c>
      <c r="Y137">
        <v>106115.32</v>
      </c>
      <c r="Z137" s="3">
        <f t="shared" si="2"/>
        <v>74.415518120805373</v>
      </c>
    </row>
    <row r="138" spans="1:26" hidden="1">
      <c r="A138" t="s">
        <v>707</v>
      </c>
      <c r="B138" s="6">
        <v>44287</v>
      </c>
      <c r="C138" s="6">
        <v>44651</v>
      </c>
      <c r="D138">
        <v>20210401</v>
      </c>
      <c r="E138">
        <v>20220331</v>
      </c>
      <c r="F138" t="s">
        <v>1148</v>
      </c>
      <c r="G138" t="s">
        <v>1149</v>
      </c>
      <c r="H138" t="s">
        <v>613</v>
      </c>
      <c r="I138" t="s">
        <v>805</v>
      </c>
      <c r="J138">
        <v>625</v>
      </c>
      <c r="K138">
        <v>26049.69</v>
      </c>
      <c r="L138">
        <v>12900</v>
      </c>
      <c r="M138">
        <v>721800</v>
      </c>
      <c r="N138">
        <v>-5600</v>
      </c>
      <c r="O138">
        <v>-304016.63</v>
      </c>
      <c r="R138">
        <v>-6650</v>
      </c>
      <c r="S138">
        <v>-358048.73</v>
      </c>
      <c r="X138">
        <v>1275</v>
      </c>
      <c r="Y138">
        <v>85784.33</v>
      </c>
      <c r="Z138" s="3">
        <f t="shared" si="2"/>
        <v>54.28868392857143</v>
      </c>
    </row>
    <row r="139" spans="1:26" hidden="1">
      <c r="A139" t="s">
        <v>707</v>
      </c>
      <c r="B139" s="6">
        <v>44287</v>
      </c>
      <c r="C139" s="6">
        <v>44651</v>
      </c>
      <c r="D139">
        <v>20210401</v>
      </c>
      <c r="E139">
        <v>20220331</v>
      </c>
      <c r="F139" t="s">
        <v>1150</v>
      </c>
      <c r="G139" t="s">
        <v>1151</v>
      </c>
      <c r="H139" t="s">
        <v>613</v>
      </c>
      <c r="I139" t="s">
        <v>805</v>
      </c>
      <c r="J139">
        <v>400</v>
      </c>
      <c r="K139">
        <v>17430.8</v>
      </c>
      <c r="L139">
        <v>1500</v>
      </c>
      <c r="M139">
        <v>95500</v>
      </c>
      <c r="N139">
        <v>-1500</v>
      </c>
      <c r="O139">
        <v>-84148.09</v>
      </c>
      <c r="X139">
        <v>400</v>
      </c>
      <c r="Y139">
        <v>28782.71</v>
      </c>
      <c r="Z139" s="3">
        <f t="shared" si="2"/>
        <v>56.098726666666664</v>
      </c>
    </row>
    <row r="140" spans="1:26" hidden="1">
      <c r="A140" t="s">
        <v>707</v>
      </c>
      <c r="B140" s="6">
        <v>44287</v>
      </c>
      <c r="C140" s="6">
        <v>44651</v>
      </c>
      <c r="D140">
        <v>20210401</v>
      </c>
      <c r="E140">
        <v>20220331</v>
      </c>
      <c r="F140" t="s">
        <v>1154</v>
      </c>
      <c r="G140" t="s">
        <v>1155</v>
      </c>
      <c r="H140" t="s">
        <v>613</v>
      </c>
      <c r="I140" t="s">
        <v>805</v>
      </c>
      <c r="J140">
        <v>2400</v>
      </c>
      <c r="K140">
        <v>61799.97</v>
      </c>
      <c r="L140">
        <v>17400</v>
      </c>
      <c r="M140">
        <v>479825</v>
      </c>
      <c r="N140">
        <v>-19800</v>
      </c>
      <c r="O140">
        <v>-541625.29</v>
      </c>
      <c r="Y140">
        <v>-0.32</v>
      </c>
      <c r="Z140" s="3">
        <f t="shared" si="2"/>
        <v>27.354812626262628</v>
      </c>
    </row>
    <row r="141" spans="1:26" hidden="1">
      <c r="A141" t="s">
        <v>707</v>
      </c>
      <c r="B141" s="6">
        <v>44287</v>
      </c>
      <c r="C141" s="6">
        <v>44651</v>
      </c>
      <c r="D141">
        <v>20210401</v>
      </c>
      <c r="E141">
        <v>20220331</v>
      </c>
      <c r="F141" t="s">
        <v>1156</v>
      </c>
      <c r="G141" t="s">
        <v>1157</v>
      </c>
      <c r="H141" t="s">
        <v>613</v>
      </c>
      <c r="I141" t="s">
        <v>805</v>
      </c>
      <c r="J141">
        <v>75</v>
      </c>
      <c r="K141">
        <v>20674.490000000002</v>
      </c>
      <c r="L141">
        <v>550</v>
      </c>
      <c r="M141">
        <v>107250</v>
      </c>
      <c r="N141">
        <v>-325</v>
      </c>
      <c r="O141">
        <v>-63375</v>
      </c>
      <c r="X141">
        <v>300</v>
      </c>
      <c r="Y141">
        <v>64549.49</v>
      </c>
      <c r="Z141" s="3">
        <f t="shared" si="2"/>
        <v>195</v>
      </c>
    </row>
    <row r="142" spans="1:26" hidden="1">
      <c r="A142" t="s">
        <v>707</v>
      </c>
      <c r="B142" s="6">
        <v>44287</v>
      </c>
      <c r="C142" s="6">
        <v>44651</v>
      </c>
      <c r="D142">
        <v>20210401</v>
      </c>
      <c r="E142">
        <v>20220331</v>
      </c>
      <c r="F142" t="s">
        <v>1164</v>
      </c>
      <c r="G142" t="s">
        <v>1165</v>
      </c>
      <c r="H142" t="s">
        <v>613</v>
      </c>
      <c r="I142" t="s">
        <v>1166</v>
      </c>
      <c r="J142">
        <v>143031</v>
      </c>
      <c r="K142">
        <v>7023594.21</v>
      </c>
      <c r="N142">
        <v>-18480</v>
      </c>
      <c r="O142">
        <v>-907467.79</v>
      </c>
      <c r="P142">
        <v>22720</v>
      </c>
      <c r="Q142">
        <v>1115674.67</v>
      </c>
      <c r="R142">
        <v>-150</v>
      </c>
      <c r="S142">
        <v>-7365.81</v>
      </c>
      <c r="X142">
        <v>147121</v>
      </c>
      <c r="Y142">
        <v>7224435.2800000003</v>
      </c>
      <c r="Z142" s="3">
        <f t="shared" si="2"/>
        <v>49.105396226415067</v>
      </c>
    </row>
    <row r="143" spans="1:26" hidden="1">
      <c r="A143" t="s">
        <v>707</v>
      </c>
      <c r="B143" s="6">
        <v>44287</v>
      </c>
      <c r="C143" s="6">
        <v>44651</v>
      </c>
      <c r="D143">
        <v>20210401</v>
      </c>
      <c r="E143">
        <v>20220331</v>
      </c>
      <c r="F143" t="s">
        <v>5849</v>
      </c>
      <c r="G143" t="s">
        <v>5850</v>
      </c>
      <c r="H143" t="s">
        <v>613</v>
      </c>
      <c r="I143" t="s">
        <v>1166</v>
      </c>
      <c r="K143">
        <v>0.01</v>
      </c>
      <c r="Y143">
        <v>0.01</v>
      </c>
      <c r="Z143" s="3" t="e">
        <f t="shared" si="2"/>
        <v>#DIV/0!</v>
      </c>
    </row>
    <row r="144" spans="1:26" hidden="1">
      <c r="A144" t="s">
        <v>707</v>
      </c>
      <c r="B144" s="6">
        <v>44287</v>
      </c>
      <c r="C144" s="6">
        <v>44651</v>
      </c>
      <c r="D144">
        <v>20210401</v>
      </c>
      <c r="E144">
        <v>20220331</v>
      </c>
      <c r="F144" t="s">
        <v>1167</v>
      </c>
      <c r="G144" t="s">
        <v>1168</v>
      </c>
      <c r="H144" t="s">
        <v>613</v>
      </c>
      <c r="I144" t="s">
        <v>1166</v>
      </c>
      <c r="J144">
        <v>997</v>
      </c>
      <c r="K144">
        <v>261149.91</v>
      </c>
      <c r="N144">
        <v>-997</v>
      </c>
      <c r="O144">
        <v>-258045.91</v>
      </c>
      <c r="Y144">
        <v>3104</v>
      </c>
      <c r="Z144" s="3">
        <f t="shared" si="2"/>
        <v>258.82237713139421</v>
      </c>
    </row>
    <row r="145" spans="1:26" hidden="1">
      <c r="A145" t="s">
        <v>707</v>
      </c>
      <c r="B145" s="6">
        <v>44287</v>
      </c>
      <c r="C145" s="6">
        <v>44651</v>
      </c>
      <c r="D145">
        <v>20210401</v>
      </c>
      <c r="E145">
        <v>20220331</v>
      </c>
      <c r="F145" t="s">
        <v>1169</v>
      </c>
      <c r="G145" t="s">
        <v>1170</v>
      </c>
      <c r="H145" t="s">
        <v>613</v>
      </c>
      <c r="I145" t="s">
        <v>1166</v>
      </c>
      <c r="J145">
        <v>168</v>
      </c>
      <c r="K145">
        <v>32499.85</v>
      </c>
      <c r="N145">
        <v>-168</v>
      </c>
      <c r="O145">
        <v>-22651.21</v>
      </c>
      <c r="Y145">
        <v>9848.64</v>
      </c>
      <c r="Z145" s="3">
        <f t="shared" si="2"/>
        <v>134.82863095238093</v>
      </c>
    </row>
    <row r="146" spans="1:26">
      <c r="A146" t="s">
        <v>707</v>
      </c>
      <c r="B146" s="6">
        <v>44287</v>
      </c>
      <c r="C146" s="6">
        <v>44651</v>
      </c>
      <c r="D146">
        <v>20210401</v>
      </c>
      <c r="E146">
        <v>20220331</v>
      </c>
      <c r="F146" t="s">
        <v>1174</v>
      </c>
      <c r="G146" t="s">
        <v>1175</v>
      </c>
      <c r="H146" t="s">
        <v>613</v>
      </c>
      <c r="I146" t="s">
        <v>846</v>
      </c>
      <c r="J146">
        <v>153.80000000000001</v>
      </c>
      <c r="K146">
        <v>5536.77</v>
      </c>
      <c r="L146">
        <v>1076</v>
      </c>
      <c r="M146">
        <v>38736</v>
      </c>
      <c r="N146">
        <v>-1182</v>
      </c>
      <c r="O146">
        <v>-42552</v>
      </c>
      <c r="X146">
        <v>47.8</v>
      </c>
      <c r="Y146">
        <v>1720.77</v>
      </c>
      <c r="Z146" s="3">
        <f t="shared" si="2"/>
        <v>36</v>
      </c>
    </row>
    <row r="147" spans="1:26" hidden="1">
      <c r="A147" t="s">
        <v>707</v>
      </c>
      <c r="B147" s="6">
        <v>44287</v>
      </c>
      <c r="C147" s="6">
        <v>44651</v>
      </c>
      <c r="D147">
        <v>20210401</v>
      </c>
      <c r="E147">
        <v>20220331</v>
      </c>
      <c r="F147" t="s">
        <v>1178</v>
      </c>
      <c r="G147" t="s">
        <v>736</v>
      </c>
      <c r="H147" t="s">
        <v>613</v>
      </c>
      <c r="I147" t="s">
        <v>837</v>
      </c>
      <c r="J147">
        <v>167</v>
      </c>
      <c r="K147">
        <v>8350</v>
      </c>
      <c r="L147">
        <v>4716</v>
      </c>
      <c r="M147">
        <v>235800</v>
      </c>
      <c r="N147">
        <v>-4842</v>
      </c>
      <c r="O147">
        <v>-242100</v>
      </c>
      <c r="X147">
        <v>41</v>
      </c>
      <c r="Y147">
        <v>2050</v>
      </c>
      <c r="Z147" s="3">
        <f t="shared" si="2"/>
        <v>50</v>
      </c>
    </row>
    <row r="148" spans="1:26" hidden="1">
      <c r="A148" t="s">
        <v>707</v>
      </c>
      <c r="B148" s="6">
        <v>44287</v>
      </c>
      <c r="C148" s="6">
        <v>44651</v>
      </c>
      <c r="D148">
        <v>20210401</v>
      </c>
      <c r="E148">
        <v>20220331</v>
      </c>
      <c r="F148" t="s">
        <v>1189</v>
      </c>
      <c r="G148" t="s">
        <v>1190</v>
      </c>
      <c r="H148" t="s">
        <v>613</v>
      </c>
      <c r="I148" t="s">
        <v>1191</v>
      </c>
      <c r="J148">
        <v>1600</v>
      </c>
      <c r="K148">
        <v>175200</v>
      </c>
      <c r="L148">
        <v>8100</v>
      </c>
      <c r="M148">
        <v>925094.03</v>
      </c>
      <c r="N148">
        <v>-9700</v>
      </c>
      <c r="O148">
        <v>-1100294.1599999999</v>
      </c>
      <c r="Y148">
        <v>-0.13</v>
      </c>
      <c r="Z148" s="3">
        <f t="shared" si="2"/>
        <v>113.43238762886597</v>
      </c>
    </row>
    <row r="149" spans="1:26" hidden="1">
      <c r="A149" t="s">
        <v>707</v>
      </c>
      <c r="B149" s="6">
        <v>44287</v>
      </c>
      <c r="C149" s="6">
        <v>44651</v>
      </c>
      <c r="D149">
        <v>20210401</v>
      </c>
      <c r="E149">
        <v>20220331</v>
      </c>
      <c r="F149" t="s">
        <v>1192</v>
      </c>
      <c r="G149" t="s">
        <v>1193</v>
      </c>
      <c r="H149" t="s">
        <v>613</v>
      </c>
      <c r="I149" t="s">
        <v>1191</v>
      </c>
      <c r="J149">
        <v>18975</v>
      </c>
      <c r="K149">
        <v>502839.03</v>
      </c>
      <c r="L149">
        <v>244000</v>
      </c>
      <c r="M149">
        <v>7102000</v>
      </c>
      <c r="N149">
        <v>-262525</v>
      </c>
      <c r="O149">
        <v>-7591562.5</v>
      </c>
      <c r="X149">
        <v>450</v>
      </c>
      <c r="Y149">
        <v>13276.53</v>
      </c>
      <c r="Z149" s="3">
        <f t="shared" si="2"/>
        <v>28.917484049138178</v>
      </c>
    </row>
    <row r="150" spans="1:26" hidden="1">
      <c r="A150" t="s">
        <v>707</v>
      </c>
      <c r="B150" s="6">
        <v>44287</v>
      </c>
      <c r="C150" s="6">
        <v>44651</v>
      </c>
      <c r="D150">
        <v>20210401</v>
      </c>
      <c r="E150">
        <v>20220331</v>
      </c>
      <c r="F150" t="s">
        <v>1198</v>
      </c>
      <c r="G150" t="s">
        <v>1199</v>
      </c>
      <c r="H150" t="s">
        <v>613</v>
      </c>
      <c r="I150" t="s">
        <v>1191</v>
      </c>
      <c r="J150">
        <v>13400</v>
      </c>
      <c r="K150">
        <v>187600.5</v>
      </c>
      <c r="N150">
        <v>-13400</v>
      </c>
      <c r="O150">
        <v>-187600</v>
      </c>
      <c r="Y150">
        <v>0.5</v>
      </c>
      <c r="Z150" s="3">
        <f t="shared" si="2"/>
        <v>14</v>
      </c>
    </row>
    <row r="151" spans="1:26" hidden="1">
      <c r="A151" t="s">
        <v>707</v>
      </c>
      <c r="B151" s="6">
        <v>44287</v>
      </c>
      <c r="C151" s="6">
        <v>44651</v>
      </c>
      <c r="D151">
        <v>20210401</v>
      </c>
      <c r="E151">
        <v>20220331</v>
      </c>
      <c r="F151" t="s">
        <v>1200</v>
      </c>
      <c r="G151" t="s">
        <v>1201</v>
      </c>
      <c r="H151" t="s">
        <v>613</v>
      </c>
      <c r="I151" t="s">
        <v>1191</v>
      </c>
      <c r="J151">
        <v>29120</v>
      </c>
      <c r="K151">
        <v>407680</v>
      </c>
      <c r="N151">
        <v>-29120</v>
      </c>
      <c r="O151">
        <v>-407680</v>
      </c>
      <c r="Z151" s="3">
        <f t="shared" si="2"/>
        <v>14</v>
      </c>
    </row>
    <row r="152" spans="1:26" hidden="1">
      <c r="A152" t="s">
        <v>707</v>
      </c>
      <c r="B152" s="6">
        <v>44287</v>
      </c>
      <c r="C152" s="6">
        <v>44651</v>
      </c>
      <c r="D152">
        <v>20210401</v>
      </c>
      <c r="E152">
        <v>20220331</v>
      </c>
      <c r="F152" t="s">
        <v>1202</v>
      </c>
      <c r="G152" t="s">
        <v>1203</v>
      </c>
      <c r="H152" t="s">
        <v>613</v>
      </c>
      <c r="I152" t="s">
        <v>1191</v>
      </c>
      <c r="L152">
        <v>13200</v>
      </c>
      <c r="M152">
        <v>1539120</v>
      </c>
      <c r="N152">
        <v>-13200</v>
      </c>
      <c r="O152">
        <v>-1539120</v>
      </c>
      <c r="Z152" s="3">
        <f t="shared" si="2"/>
        <v>116.6</v>
      </c>
    </row>
    <row r="153" spans="1:26" hidden="1">
      <c r="A153" t="s">
        <v>707</v>
      </c>
      <c r="B153" s="6">
        <v>44287</v>
      </c>
      <c r="C153" s="6">
        <v>44651</v>
      </c>
      <c r="D153">
        <v>20210401</v>
      </c>
      <c r="E153">
        <v>20220331</v>
      </c>
      <c r="F153" t="s">
        <v>1204</v>
      </c>
      <c r="G153" t="s">
        <v>1205</v>
      </c>
      <c r="H153" t="s">
        <v>613</v>
      </c>
      <c r="I153" t="s">
        <v>1191</v>
      </c>
      <c r="L153">
        <v>94490</v>
      </c>
      <c r="M153">
        <v>1283840</v>
      </c>
      <c r="N153">
        <v>-92650</v>
      </c>
      <c r="O153">
        <v>-1259000.8999999999</v>
      </c>
      <c r="X153">
        <v>1840</v>
      </c>
      <c r="Y153">
        <v>24839.1</v>
      </c>
      <c r="Z153" s="3">
        <f t="shared" si="2"/>
        <v>13.588784673502428</v>
      </c>
    </row>
    <row r="154" spans="1:26" hidden="1">
      <c r="A154" t="s">
        <v>707</v>
      </c>
      <c r="B154" s="6">
        <v>44287</v>
      </c>
      <c r="C154" s="6">
        <v>44651</v>
      </c>
      <c r="D154">
        <v>20210401</v>
      </c>
      <c r="E154">
        <v>20220331</v>
      </c>
      <c r="F154" t="s">
        <v>1206</v>
      </c>
      <c r="G154" t="s">
        <v>1207</v>
      </c>
      <c r="H154" t="s">
        <v>613</v>
      </c>
      <c r="I154" t="s">
        <v>1191</v>
      </c>
      <c r="L154">
        <v>22010</v>
      </c>
      <c r="M154">
        <v>300660</v>
      </c>
      <c r="N154">
        <v>-20890</v>
      </c>
      <c r="O154">
        <v>-285540</v>
      </c>
      <c r="X154">
        <v>1120</v>
      </c>
      <c r="Y154">
        <v>15120</v>
      </c>
      <c r="Z154" s="3">
        <f t="shared" si="2"/>
        <v>13.668741024413595</v>
      </c>
    </row>
    <row r="155" spans="1:26" hidden="1">
      <c r="A155" t="s">
        <v>707</v>
      </c>
      <c r="B155" s="6">
        <v>44287</v>
      </c>
      <c r="C155" s="6">
        <v>44651</v>
      </c>
      <c r="D155">
        <v>20210401</v>
      </c>
      <c r="E155">
        <v>20220331</v>
      </c>
      <c r="F155" t="s">
        <v>1216</v>
      </c>
      <c r="G155" t="s">
        <v>1217</v>
      </c>
      <c r="H155" t="s">
        <v>590</v>
      </c>
      <c r="I155" t="s">
        <v>805</v>
      </c>
      <c r="L155">
        <v>70900</v>
      </c>
      <c r="M155">
        <v>2004399.2</v>
      </c>
      <c r="N155">
        <v>-70900</v>
      </c>
      <c r="O155">
        <v>-2004399.45</v>
      </c>
      <c r="Y155">
        <v>-0.25</v>
      </c>
      <c r="Z155" s="3">
        <f t="shared" si="2"/>
        <v>28.270796191819464</v>
      </c>
    </row>
    <row r="156" spans="1:26" hidden="1">
      <c r="A156" t="s">
        <v>707</v>
      </c>
      <c r="B156" s="6">
        <v>44287</v>
      </c>
      <c r="C156" s="6">
        <v>44651</v>
      </c>
      <c r="D156">
        <v>20210401</v>
      </c>
      <c r="E156">
        <v>20220331</v>
      </c>
      <c r="F156" t="s">
        <v>1222</v>
      </c>
      <c r="G156" t="s">
        <v>1223</v>
      </c>
      <c r="H156" t="s">
        <v>613</v>
      </c>
      <c r="I156" t="s">
        <v>1191</v>
      </c>
      <c r="N156">
        <v>-135785</v>
      </c>
      <c r="O156">
        <v>-363768.02</v>
      </c>
      <c r="V156">
        <v>135785</v>
      </c>
      <c r="W156">
        <v>363768.02</v>
      </c>
      <c r="Z156" s="3">
        <f t="shared" si="2"/>
        <v>2.6790000368229188</v>
      </c>
    </row>
    <row r="157" spans="1:26" hidden="1">
      <c r="A157" t="s">
        <v>707</v>
      </c>
      <c r="B157" s="6">
        <v>44287</v>
      </c>
      <c r="C157" s="6">
        <v>44651</v>
      </c>
      <c r="D157">
        <v>20210401</v>
      </c>
      <c r="E157">
        <v>20220331</v>
      </c>
      <c r="F157" t="s">
        <v>1224</v>
      </c>
      <c r="G157" t="s">
        <v>1225</v>
      </c>
      <c r="H157" t="s">
        <v>613</v>
      </c>
      <c r="I157" t="s">
        <v>1191</v>
      </c>
      <c r="J157">
        <v>13226.5</v>
      </c>
      <c r="K157">
        <v>65634.86</v>
      </c>
      <c r="N157">
        <v>-58780</v>
      </c>
      <c r="O157">
        <v>-291683.93</v>
      </c>
      <c r="V157">
        <v>50230</v>
      </c>
      <c r="W157">
        <v>249256.33</v>
      </c>
      <c r="X157">
        <v>4676.5</v>
      </c>
      <c r="Y157">
        <v>23207.26</v>
      </c>
      <c r="Z157" s="3">
        <f t="shared" si="2"/>
        <v>4.9622989111942832</v>
      </c>
    </row>
    <row r="158" spans="1:26" hidden="1">
      <c r="A158" t="s">
        <v>707</v>
      </c>
      <c r="B158" s="6">
        <v>44287</v>
      </c>
      <c r="C158" s="6">
        <v>44651</v>
      </c>
      <c r="D158">
        <v>20210401</v>
      </c>
      <c r="E158">
        <v>20220331</v>
      </c>
      <c r="F158" t="s">
        <v>1226</v>
      </c>
      <c r="G158" t="s">
        <v>1227</v>
      </c>
      <c r="H158" t="s">
        <v>613</v>
      </c>
      <c r="I158" t="s">
        <v>1191</v>
      </c>
      <c r="J158">
        <v>21175</v>
      </c>
      <c r="K158">
        <v>41736.519999999997</v>
      </c>
      <c r="N158">
        <v>-112525</v>
      </c>
      <c r="O158">
        <v>-222023.85</v>
      </c>
      <c r="V158">
        <v>98285</v>
      </c>
      <c r="W158">
        <v>193926.17</v>
      </c>
      <c r="X158">
        <v>6935</v>
      </c>
      <c r="Y158">
        <v>13638.84</v>
      </c>
      <c r="Z158" s="3">
        <f t="shared" si="2"/>
        <v>1.9731068651410799</v>
      </c>
    </row>
    <row r="159" spans="1:26" hidden="1">
      <c r="A159" t="s">
        <v>707</v>
      </c>
      <c r="B159" s="6">
        <v>44287</v>
      </c>
      <c r="C159" s="6">
        <v>44651</v>
      </c>
      <c r="D159">
        <v>20210401</v>
      </c>
      <c r="E159">
        <v>20220331</v>
      </c>
      <c r="F159" t="s">
        <v>1228</v>
      </c>
      <c r="G159" t="s">
        <v>1229</v>
      </c>
      <c r="H159" t="s">
        <v>613</v>
      </c>
      <c r="I159" t="s">
        <v>1191</v>
      </c>
      <c r="J159">
        <v>31650</v>
      </c>
      <c r="K159">
        <v>16123.39</v>
      </c>
      <c r="P159">
        <v>299010</v>
      </c>
      <c r="Q159">
        <v>152315.70000000001</v>
      </c>
      <c r="V159">
        <v>-284300</v>
      </c>
      <c r="W159">
        <v>-144822.45000000001</v>
      </c>
      <c r="X159">
        <v>46360</v>
      </c>
      <c r="Y159">
        <v>23616.639999999999</v>
      </c>
      <c r="Z159" s="3">
        <f t="shared" si="2"/>
        <v>0.50940002006621854</v>
      </c>
    </row>
    <row r="160" spans="1:26" hidden="1">
      <c r="A160" t="s">
        <v>707</v>
      </c>
      <c r="B160" s="6">
        <v>44287</v>
      </c>
      <c r="C160" s="6">
        <v>44651</v>
      </c>
      <c r="D160">
        <v>20210401</v>
      </c>
      <c r="E160">
        <v>20220331</v>
      </c>
      <c r="F160" t="s">
        <v>1238</v>
      </c>
      <c r="G160" t="s">
        <v>1239</v>
      </c>
      <c r="H160" t="s">
        <v>613</v>
      </c>
      <c r="I160" t="s">
        <v>1191</v>
      </c>
      <c r="J160">
        <v>4300</v>
      </c>
      <c r="K160">
        <v>524599.44999999995</v>
      </c>
      <c r="L160">
        <v>18900</v>
      </c>
      <c r="M160">
        <v>3503385.38</v>
      </c>
      <c r="N160">
        <v>-21547</v>
      </c>
      <c r="O160">
        <v>-3701554.17</v>
      </c>
      <c r="P160">
        <v>400</v>
      </c>
      <c r="Q160">
        <v>78991.240000000005</v>
      </c>
      <c r="X160">
        <v>2053</v>
      </c>
      <c r="Y160">
        <v>405421.9</v>
      </c>
      <c r="Z160" s="3">
        <f t="shared" si="2"/>
        <v>171.3038695796094</v>
      </c>
    </row>
    <row r="161" spans="1:26" hidden="1">
      <c r="A161" t="s">
        <v>707</v>
      </c>
      <c r="B161" s="6">
        <v>44287</v>
      </c>
      <c r="C161" s="6">
        <v>44651</v>
      </c>
      <c r="D161">
        <v>20210401</v>
      </c>
      <c r="E161">
        <v>20220331</v>
      </c>
      <c r="F161" t="s">
        <v>1240</v>
      </c>
      <c r="G161" t="s">
        <v>1241</v>
      </c>
      <c r="H161" t="s">
        <v>613</v>
      </c>
      <c r="I161" t="s">
        <v>1191</v>
      </c>
      <c r="J161">
        <v>8750</v>
      </c>
      <c r="K161">
        <v>1115624.24</v>
      </c>
      <c r="L161">
        <v>45500</v>
      </c>
      <c r="M161">
        <v>8617259.1999999993</v>
      </c>
      <c r="N161">
        <v>-53250</v>
      </c>
      <c r="O161">
        <v>-9605384.2100000009</v>
      </c>
      <c r="R161">
        <v>-1000</v>
      </c>
      <c r="S161">
        <v>-127500</v>
      </c>
      <c r="Y161">
        <v>-0.77</v>
      </c>
      <c r="Z161" s="3">
        <f t="shared" si="2"/>
        <v>180.3828020657277</v>
      </c>
    </row>
    <row r="162" spans="1:26" hidden="1">
      <c r="A162" t="s">
        <v>707</v>
      </c>
      <c r="B162" s="6">
        <v>44287</v>
      </c>
      <c r="C162" s="6">
        <v>44651</v>
      </c>
      <c r="D162">
        <v>20210401</v>
      </c>
      <c r="E162">
        <v>20220331</v>
      </c>
      <c r="F162" t="s">
        <v>1242</v>
      </c>
      <c r="G162" t="s">
        <v>1243</v>
      </c>
      <c r="H162" t="s">
        <v>613</v>
      </c>
      <c r="I162" t="s">
        <v>1221</v>
      </c>
      <c r="L162">
        <v>26000</v>
      </c>
      <c r="M162">
        <v>3105972.2</v>
      </c>
      <c r="N162">
        <v>-21450</v>
      </c>
      <c r="O162">
        <v>-2445852.98</v>
      </c>
      <c r="X162">
        <v>4550</v>
      </c>
      <c r="Y162">
        <v>660119.22</v>
      </c>
      <c r="Z162" s="3">
        <f t="shared" si="2"/>
        <v>114.02577995337995</v>
      </c>
    </row>
    <row r="163" spans="1:26" hidden="1">
      <c r="A163" t="s">
        <v>707</v>
      </c>
      <c r="B163" s="6">
        <v>44287</v>
      </c>
      <c r="C163" s="6">
        <v>44651</v>
      </c>
      <c r="D163">
        <v>20210401</v>
      </c>
      <c r="E163">
        <v>20220331</v>
      </c>
      <c r="F163" t="s">
        <v>1248</v>
      </c>
      <c r="G163" t="s">
        <v>1249</v>
      </c>
      <c r="H163" t="s">
        <v>613</v>
      </c>
      <c r="I163" t="s">
        <v>1191</v>
      </c>
      <c r="L163">
        <v>1000</v>
      </c>
      <c r="M163">
        <v>80000</v>
      </c>
      <c r="N163">
        <v>-250</v>
      </c>
      <c r="O163">
        <v>-20000</v>
      </c>
      <c r="P163">
        <v>233</v>
      </c>
      <c r="Q163">
        <v>18640</v>
      </c>
      <c r="X163">
        <v>983</v>
      </c>
      <c r="Y163">
        <v>78640</v>
      </c>
      <c r="Z163" s="3">
        <f t="shared" si="2"/>
        <v>80</v>
      </c>
    </row>
    <row r="164" spans="1:26" hidden="1">
      <c r="A164" t="s">
        <v>707</v>
      </c>
      <c r="B164" s="6">
        <v>44287</v>
      </c>
      <c r="C164" s="6">
        <v>44651</v>
      </c>
      <c r="D164">
        <v>20210401</v>
      </c>
      <c r="E164">
        <v>20220331</v>
      </c>
      <c r="F164" t="s">
        <v>1252</v>
      </c>
      <c r="G164" t="s">
        <v>1253</v>
      </c>
      <c r="H164" t="s">
        <v>613</v>
      </c>
      <c r="I164" t="s">
        <v>1191</v>
      </c>
      <c r="L164">
        <v>1000</v>
      </c>
      <c r="M164">
        <v>80000</v>
      </c>
      <c r="N164">
        <v>-375</v>
      </c>
      <c r="O164">
        <v>-30000</v>
      </c>
      <c r="X164">
        <v>625</v>
      </c>
      <c r="Y164">
        <v>50000</v>
      </c>
      <c r="Z164" s="3">
        <f t="shared" si="2"/>
        <v>80</v>
      </c>
    </row>
    <row r="165" spans="1:26" hidden="1">
      <c r="A165" t="s">
        <v>707</v>
      </c>
      <c r="B165" s="6">
        <v>44287</v>
      </c>
      <c r="C165" s="6">
        <v>44651</v>
      </c>
      <c r="D165">
        <v>20210401</v>
      </c>
      <c r="E165">
        <v>20220331</v>
      </c>
      <c r="F165" t="s">
        <v>5851</v>
      </c>
      <c r="G165" t="s">
        <v>1211</v>
      </c>
      <c r="H165" t="s">
        <v>613</v>
      </c>
      <c r="I165" t="s">
        <v>1191</v>
      </c>
      <c r="L165">
        <v>127615</v>
      </c>
      <c r="M165">
        <v>1641831.55</v>
      </c>
      <c r="N165">
        <v>-127615</v>
      </c>
      <c r="O165">
        <v>-1641831.05</v>
      </c>
      <c r="Y165">
        <v>0.5</v>
      </c>
      <c r="Z165" s="3">
        <f t="shared" si="2"/>
        <v>12.865502096148573</v>
      </c>
    </row>
    <row r="166" spans="1:26" hidden="1">
      <c r="A166" t="s">
        <v>707</v>
      </c>
      <c r="B166" s="6">
        <v>44287</v>
      </c>
      <c r="C166" s="6">
        <v>44651</v>
      </c>
      <c r="D166">
        <v>20210401</v>
      </c>
      <c r="E166">
        <v>20220331</v>
      </c>
      <c r="F166" t="s">
        <v>5852</v>
      </c>
      <c r="G166" t="s">
        <v>1213</v>
      </c>
      <c r="H166" t="s">
        <v>613</v>
      </c>
      <c r="I166" t="s">
        <v>1191</v>
      </c>
      <c r="L166">
        <v>28375</v>
      </c>
      <c r="M166">
        <v>329149.7</v>
      </c>
      <c r="N166">
        <v>-28375</v>
      </c>
      <c r="O166">
        <v>-329150</v>
      </c>
      <c r="Y166">
        <v>-0.3</v>
      </c>
      <c r="Z166" s="3">
        <f t="shared" si="2"/>
        <v>11.6</v>
      </c>
    </row>
    <row r="167" spans="1:26" hidden="1">
      <c r="A167" t="s">
        <v>707</v>
      </c>
      <c r="B167" s="6">
        <v>44287</v>
      </c>
      <c r="C167" s="6">
        <v>44651</v>
      </c>
      <c r="D167">
        <v>20210401</v>
      </c>
      <c r="E167">
        <v>20220331</v>
      </c>
      <c r="F167" t="s">
        <v>1259</v>
      </c>
      <c r="G167" t="s">
        <v>1243</v>
      </c>
      <c r="H167" t="s">
        <v>613</v>
      </c>
      <c r="I167" t="s">
        <v>1191</v>
      </c>
      <c r="L167">
        <v>6000</v>
      </c>
      <c r="M167">
        <v>702000</v>
      </c>
      <c r="N167">
        <v>-6000</v>
      </c>
      <c r="O167">
        <v>-702000</v>
      </c>
      <c r="Z167" s="3">
        <f t="shared" si="2"/>
        <v>117</v>
      </c>
    </row>
    <row r="168" spans="1:26" hidden="1">
      <c r="A168" t="s">
        <v>707</v>
      </c>
      <c r="B168" s="6">
        <v>44287</v>
      </c>
      <c r="C168" s="6">
        <v>44651</v>
      </c>
      <c r="D168">
        <v>20210401</v>
      </c>
      <c r="E168">
        <v>20220331</v>
      </c>
      <c r="F168" t="s">
        <v>1265</v>
      </c>
      <c r="G168" t="s">
        <v>1266</v>
      </c>
      <c r="H168" t="s">
        <v>613</v>
      </c>
      <c r="I168" t="s">
        <v>1191</v>
      </c>
      <c r="L168">
        <v>17025</v>
      </c>
      <c r="M168">
        <v>590122.1</v>
      </c>
      <c r="N168">
        <v>-17025</v>
      </c>
      <c r="O168">
        <v>-572599.65</v>
      </c>
      <c r="Y168">
        <v>17522.45</v>
      </c>
      <c r="Z168" s="3">
        <f t="shared" si="2"/>
        <v>33.632872246696039</v>
      </c>
    </row>
    <row r="169" spans="1:26" hidden="1">
      <c r="A169" t="s">
        <v>707</v>
      </c>
      <c r="B169" s="6">
        <v>44287</v>
      </c>
      <c r="C169" s="6">
        <v>44651</v>
      </c>
      <c r="D169">
        <v>20210401</v>
      </c>
      <c r="E169">
        <v>20220331</v>
      </c>
      <c r="F169" t="s">
        <v>5853</v>
      </c>
      <c r="G169" t="s">
        <v>5854</v>
      </c>
      <c r="H169" t="s">
        <v>613</v>
      </c>
      <c r="I169" t="s">
        <v>805</v>
      </c>
      <c r="J169">
        <v>300</v>
      </c>
      <c r="K169">
        <v>2186.73</v>
      </c>
      <c r="L169">
        <v>20760</v>
      </c>
      <c r="M169">
        <v>160891.24</v>
      </c>
      <c r="N169">
        <v>-138</v>
      </c>
      <c r="O169">
        <v>-1069.0999999999999</v>
      </c>
      <c r="R169">
        <v>-18402</v>
      </c>
      <c r="S169">
        <v>-142478.35999999999</v>
      </c>
      <c r="X169">
        <v>2520</v>
      </c>
      <c r="Y169">
        <v>19530.509999999998</v>
      </c>
      <c r="Z169" s="3">
        <f t="shared" si="2"/>
        <v>7.7471014492753616</v>
      </c>
    </row>
    <row r="170" spans="1:26" hidden="1">
      <c r="A170" t="s">
        <v>707</v>
      </c>
      <c r="B170" s="6">
        <v>44287</v>
      </c>
      <c r="C170" s="6">
        <v>44651</v>
      </c>
      <c r="D170">
        <v>20210401</v>
      </c>
      <c r="E170">
        <v>20220331</v>
      </c>
      <c r="F170" t="s">
        <v>1268</v>
      </c>
      <c r="G170" t="s">
        <v>1269</v>
      </c>
      <c r="H170" t="s">
        <v>613</v>
      </c>
      <c r="I170" t="s">
        <v>1191</v>
      </c>
      <c r="J170">
        <v>31000</v>
      </c>
      <c r="K170">
        <v>873207.09</v>
      </c>
      <c r="L170">
        <v>281750</v>
      </c>
      <c r="M170">
        <v>8344216.9100000001</v>
      </c>
      <c r="N170">
        <v>-305500</v>
      </c>
      <c r="O170">
        <v>-8982631.1799999997</v>
      </c>
      <c r="X170">
        <v>7250</v>
      </c>
      <c r="Y170">
        <v>234792.82</v>
      </c>
      <c r="Z170" s="3">
        <f t="shared" si="2"/>
        <v>29.403048052373158</v>
      </c>
    </row>
    <row r="171" spans="1:26" hidden="1">
      <c r="A171" t="s">
        <v>707</v>
      </c>
      <c r="B171" s="6">
        <v>44287</v>
      </c>
      <c r="C171" s="6">
        <v>44651</v>
      </c>
      <c r="D171">
        <v>20210401</v>
      </c>
      <c r="E171">
        <v>20220331</v>
      </c>
      <c r="F171" t="s">
        <v>1270</v>
      </c>
      <c r="G171" t="s">
        <v>1271</v>
      </c>
      <c r="H171" t="s">
        <v>613</v>
      </c>
      <c r="I171" t="s">
        <v>805</v>
      </c>
      <c r="L171">
        <v>1</v>
      </c>
      <c r="M171">
        <v>1020</v>
      </c>
      <c r="X171">
        <v>1</v>
      </c>
      <c r="Y171">
        <v>1020</v>
      </c>
      <c r="Z171" s="3">
        <f t="shared" si="2"/>
        <v>1020</v>
      </c>
    </row>
    <row r="172" spans="1:26" hidden="1">
      <c r="A172" t="s">
        <v>707</v>
      </c>
      <c r="B172" s="6">
        <v>44287</v>
      </c>
      <c r="C172" s="6">
        <v>44651</v>
      </c>
      <c r="D172">
        <v>20210401</v>
      </c>
      <c r="E172">
        <v>20220331</v>
      </c>
      <c r="F172" t="s">
        <v>1272</v>
      </c>
      <c r="G172" t="s">
        <v>1273</v>
      </c>
      <c r="H172" t="s">
        <v>613</v>
      </c>
      <c r="I172" t="s">
        <v>805</v>
      </c>
      <c r="L172">
        <v>1630</v>
      </c>
      <c r="M172">
        <v>166550</v>
      </c>
      <c r="N172">
        <v>-1340</v>
      </c>
      <c r="O172">
        <v>-137634.75</v>
      </c>
      <c r="R172">
        <v>-290</v>
      </c>
      <c r="S172">
        <v>-28915.56</v>
      </c>
      <c r="Y172">
        <v>-0.31</v>
      </c>
      <c r="Z172" s="3">
        <f t="shared" si="2"/>
        <v>102.71250000000001</v>
      </c>
    </row>
    <row r="173" spans="1:26" hidden="1">
      <c r="A173" t="s">
        <v>707</v>
      </c>
      <c r="B173" s="6">
        <v>44287</v>
      </c>
      <c r="C173" s="6">
        <v>44651</v>
      </c>
      <c r="D173">
        <v>20210401</v>
      </c>
      <c r="E173">
        <v>20220331</v>
      </c>
      <c r="F173" t="s">
        <v>5855</v>
      </c>
      <c r="G173" t="s">
        <v>5856</v>
      </c>
      <c r="H173" t="s">
        <v>613</v>
      </c>
      <c r="I173" t="s">
        <v>805</v>
      </c>
      <c r="J173">
        <v>270</v>
      </c>
      <c r="K173">
        <v>8644.23</v>
      </c>
      <c r="L173">
        <v>2090</v>
      </c>
      <c r="M173">
        <v>89170.4</v>
      </c>
      <c r="N173">
        <v>-2360</v>
      </c>
      <c r="O173">
        <v>-97814.63</v>
      </c>
      <c r="Z173" s="3">
        <f t="shared" si="2"/>
        <v>41.446877118644068</v>
      </c>
    </row>
    <row r="174" spans="1:26" hidden="1">
      <c r="A174" t="s">
        <v>707</v>
      </c>
      <c r="B174" s="6">
        <v>44287</v>
      </c>
      <c r="C174" s="6">
        <v>44651</v>
      </c>
      <c r="D174">
        <v>20210401</v>
      </c>
      <c r="E174">
        <v>20220331</v>
      </c>
      <c r="F174" t="s">
        <v>1274</v>
      </c>
      <c r="G174" t="s">
        <v>1275</v>
      </c>
      <c r="H174" t="s">
        <v>613</v>
      </c>
      <c r="I174" t="s">
        <v>1166</v>
      </c>
      <c r="J174">
        <v>150</v>
      </c>
      <c r="K174">
        <v>7199.44</v>
      </c>
      <c r="L174">
        <v>50</v>
      </c>
      <c r="M174">
        <v>2496.37</v>
      </c>
      <c r="N174">
        <v>-110</v>
      </c>
      <c r="O174">
        <v>-5279.55</v>
      </c>
      <c r="R174">
        <v>-40</v>
      </c>
      <c r="S174">
        <v>-1919.84</v>
      </c>
      <c r="X174">
        <v>50</v>
      </c>
      <c r="Y174">
        <v>2496.42</v>
      </c>
      <c r="Z174" s="3">
        <f t="shared" si="2"/>
        <v>47.995909090909095</v>
      </c>
    </row>
    <row r="175" spans="1:26" hidden="1">
      <c r="A175" t="s">
        <v>707</v>
      </c>
      <c r="B175" s="6">
        <v>44287</v>
      </c>
      <c r="C175" s="6">
        <v>44651</v>
      </c>
      <c r="D175">
        <v>20210401</v>
      </c>
      <c r="E175">
        <v>20220331</v>
      </c>
      <c r="F175" t="s">
        <v>1276</v>
      </c>
      <c r="G175" t="s">
        <v>1277</v>
      </c>
      <c r="I175" t="s">
        <v>805</v>
      </c>
      <c r="J175">
        <v>1</v>
      </c>
      <c r="K175">
        <v>883</v>
      </c>
      <c r="N175">
        <v>-1</v>
      </c>
      <c r="O175">
        <v>-883</v>
      </c>
      <c r="Z175" s="3">
        <f t="shared" si="2"/>
        <v>883</v>
      </c>
    </row>
    <row r="176" spans="1:26" hidden="1">
      <c r="A176" t="s">
        <v>707</v>
      </c>
      <c r="B176" s="6">
        <v>44287</v>
      </c>
      <c r="C176" s="6">
        <v>44651</v>
      </c>
      <c r="D176">
        <v>20210401</v>
      </c>
      <c r="E176">
        <v>20220331</v>
      </c>
      <c r="F176" t="s">
        <v>1280</v>
      </c>
      <c r="G176" t="s">
        <v>1281</v>
      </c>
      <c r="H176" t="s">
        <v>613</v>
      </c>
      <c r="I176" t="s">
        <v>805</v>
      </c>
      <c r="J176">
        <v>6.2</v>
      </c>
      <c r="K176">
        <v>3100</v>
      </c>
      <c r="L176">
        <v>72</v>
      </c>
      <c r="M176">
        <v>36450</v>
      </c>
      <c r="N176">
        <v>-60.2</v>
      </c>
      <c r="O176">
        <v>-30100</v>
      </c>
      <c r="X176">
        <v>18</v>
      </c>
      <c r="Y176">
        <v>9450</v>
      </c>
      <c r="Z176" s="3">
        <f t="shared" si="2"/>
        <v>500</v>
      </c>
    </row>
    <row r="177" spans="1:26" hidden="1">
      <c r="A177" t="s">
        <v>707</v>
      </c>
      <c r="B177" s="6">
        <v>44287</v>
      </c>
      <c r="C177" s="6">
        <v>44651</v>
      </c>
      <c r="D177">
        <v>20210401</v>
      </c>
      <c r="E177">
        <v>20220331</v>
      </c>
      <c r="F177" t="s">
        <v>1282</v>
      </c>
      <c r="G177" t="s">
        <v>1283</v>
      </c>
      <c r="H177" t="s">
        <v>613</v>
      </c>
      <c r="I177" t="s">
        <v>1191</v>
      </c>
      <c r="J177">
        <v>650</v>
      </c>
      <c r="K177">
        <v>57849.760000000002</v>
      </c>
      <c r="L177">
        <v>10800</v>
      </c>
      <c r="M177">
        <v>961200</v>
      </c>
      <c r="N177">
        <v>-11300</v>
      </c>
      <c r="O177">
        <v>-1005700</v>
      </c>
      <c r="X177">
        <v>150</v>
      </c>
      <c r="Y177">
        <v>13349.76</v>
      </c>
      <c r="Z177" s="3">
        <f t="shared" si="2"/>
        <v>89</v>
      </c>
    </row>
    <row r="178" spans="1:26" hidden="1">
      <c r="A178" t="s">
        <v>707</v>
      </c>
      <c r="B178" s="6">
        <v>44287</v>
      </c>
      <c r="C178" s="6">
        <v>44651</v>
      </c>
      <c r="D178">
        <v>20210401</v>
      </c>
      <c r="E178">
        <v>20220331</v>
      </c>
      <c r="F178" t="s">
        <v>1284</v>
      </c>
      <c r="G178" t="s">
        <v>1285</v>
      </c>
      <c r="H178" t="s">
        <v>613</v>
      </c>
      <c r="I178" t="s">
        <v>1191</v>
      </c>
      <c r="J178">
        <v>190</v>
      </c>
      <c r="K178">
        <v>28500</v>
      </c>
      <c r="P178">
        <v>26.5</v>
      </c>
      <c r="Q178">
        <v>3975</v>
      </c>
      <c r="R178">
        <v>-43</v>
      </c>
      <c r="S178">
        <v>-6450</v>
      </c>
      <c r="X178">
        <v>173.5</v>
      </c>
      <c r="Y178">
        <v>26025</v>
      </c>
      <c r="Z178" s="3">
        <f t="shared" si="2"/>
        <v>150</v>
      </c>
    </row>
    <row r="179" spans="1:26" hidden="1">
      <c r="A179" t="s">
        <v>707</v>
      </c>
      <c r="B179" s="6">
        <v>44287</v>
      </c>
      <c r="C179" s="6">
        <v>44651</v>
      </c>
      <c r="D179">
        <v>20210401</v>
      </c>
      <c r="E179">
        <v>20220331</v>
      </c>
      <c r="F179" t="s">
        <v>1286</v>
      </c>
      <c r="G179" t="s">
        <v>1287</v>
      </c>
      <c r="H179" t="s">
        <v>613</v>
      </c>
      <c r="I179" t="s">
        <v>1191</v>
      </c>
      <c r="L179">
        <v>55</v>
      </c>
      <c r="M179">
        <v>30650</v>
      </c>
      <c r="N179">
        <v>-45</v>
      </c>
      <c r="O179">
        <v>-25150</v>
      </c>
      <c r="X179">
        <v>10</v>
      </c>
      <c r="Y179">
        <v>5500</v>
      </c>
      <c r="Z179" s="3">
        <f t="shared" si="2"/>
        <v>558.88888888888891</v>
      </c>
    </row>
    <row r="180" spans="1:26" hidden="1">
      <c r="A180" t="s">
        <v>707</v>
      </c>
      <c r="B180" s="6">
        <v>44287</v>
      </c>
      <c r="C180" s="6">
        <v>44651</v>
      </c>
      <c r="D180">
        <v>20210401</v>
      </c>
      <c r="E180">
        <v>20220331</v>
      </c>
      <c r="F180" t="s">
        <v>1292</v>
      </c>
      <c r="G180" t="s">
        <v>737</v>
      </c>
      <c r="H180" t="s">
        <v>613</v>
      </c>
      <c r="I180" t="s">
        <v>1166</v>
      </c>
      <c r="J180">
        <v>541</v>
      </c>
      <c r="K180">
        <v>52555.46</v>
      </c>
      <c r="L180">
        <v>6160</v>
      </c>
      <c r="M180">
        <v>848898.31</v>
      </c>
      <c r="N180">
        <v>-6570.165</v>
      </c>
      <c r="O180">
        <v>-883692.09</v>
      </c>
      <c r="P180">
        <v>19.2</v>
      </c>
      <c r="Q180">
        <v>2879.79</v>
      </c>
      <c r="X180">
        <v>150.035</v>
      </c>
      <c r="Y180">
        <v>20641.47</v>
      </c>
      <c r="Z180" s="3">
        <f t="shared" si="2"/>
        <v>134.45535123451276</v>
      </c>
    </row>
    <row r="181" spans="1:26" hidden="1">
      <c r="A181" t="s">
        <v>707</v>
      </c>
      <c r="B181" s="6">
        <v>44287</v>
      </c>
      <c r="C181" s="6">
        <v>44651</v>
      </c>
      <c r="D181">
        <v>20210401</v>
      </c>
      <c r="E181">
        <v>20220331</v>
      </c>
      <c r="F181" t="s">
        <v>1293</v>
      </c>
      <c r="G181" t="s">
        <v>738</v>
      </c>
      <c r="H181" t="s">
        <v>613</v>
      </c>
      <c r="I181" t="s">
        <v>1166</v>
      </c>
      <c r="J181">
        <v>245</v>
      </c>
      <c r="K181">
        <v>21518.560000000001</v>
      </c>
      <c r="L181">
        <v>2485</v>
      </c>
      <c r="M181">
        <v>317575</v>
      </c>
      <c r="N181">
        <v>-2671.5</v>
      </c>
      <c r="O181">
        <v>-330348.73</v>
      </c>
      <c r="P181">
        <v>4.5</v>
      </c>
      <c r="Q181">
        <v>654.26</v>
      </c>
      <c r="X181">
        <v>63</v>
      </c>
      <c r="Y181">
        <v>9399.09</v>
      </c>
      <c r="Z181" s="3">
        <f t="shared" si="2"/>
        <v>123.61997375328083</v>
      </c>
    </row>
    <row r="182" spans="1:26" hidden="1">
      <c r="A182" t="s">
        <v>707</v>
      </c>
      <c r="B182" s="6">
        <v>44287</v>
      </c>
      <c r="C182" s="6">
        <v>44651</v>
      </c>
      <c r="D182">
        <v>20210401</v>
      </c>
      <c r="E182">
        <v>20220331</v>
      </c>
      <c r="F182" t="s">
        <v>1294</v>
      </c>
      <c r="G182" t="s">
        <v>1295</v>
      </c>
      <c r="H182" t="s">
        <v>613</v>
      </c>
      <c r="I182" t="s">
        <v>1166</v>
      </c>
      <c r="J182">
        <v>182</v>
      </c>
      <c r="K182">
        <v>77479.92</v>
      </c>
      <c r="L182">
        <v>1350</v>
      </c>
      <c r="M182">
        <v>567000.25</v>
      </c>
      <c r="N182">
        <v>-1492.1</v>
      </c>
      <c r="O182">
        <v>-627645.92000000004</v>
      </c>
      <c r="X182">
        <v>39.9</v>
      </c>
      <c r="Y182">
        <v>16834.25</v>
      </c>
      <c r="Z182" s="3">
        <f t="shared" si="2"/>
        <v>420.64601568259508</v>
      </c>
    </row>
    <row r="183" spans="1:26" hidden="1">
      <c r="A183" t="s">
        <v>707</v>
      </c>
      <c r="B183" s="6">
        <v>44287</v>
      </c>
      <c r="C183" s="6">
        <v>44651</v>
      </c>
      <c r="D183">
        <v>20210401</v>
      </c>
      <c r="E183">
        <v>20220331</v>
      </c>
      <c r="F183" t="s">
        <v>1296</v>
      </c>
      <c r="G183" t="s">
        <v>1297</v>
      </c>
      <c r="H183" t="s">
        <v>613</v>
      </c>
      <c r="I183" t="s">
        <v>1166</v>
      </c>
      <c r="J183">
        <v>53</v>
      </c>
      <c r="K183">
        <v>848</v>
      </c>
      <c r="L183">
        <v>2400</v>
      </c>
      <c r="M183">
        <v>38400</v>
      </c>
      <c r="N183">
        <v>-2329.4499999999998</v>
      </c>
      <c r="O183">
        <v>-37271.17</v>
      </c>
      <c r="P183">
        <v>9</v>
      </c>
      <c r="Q183">
        <v>144</v>
      </c>
      <c r="X183">
        <v>132.55000000000001</v>
      </c>
      <c r="Y183">
        <v>2120.83</v>
      </c>
      <c r="Z183" s="3">
        <f t="shared" si="2"/>
        <v>15.999987071473207</v>
      </c>
    </row>
    <row r="184" spans="1:26" hidden="1">
      <c r="A184" t="s">
        <v>707</v>
      </c>
      <c r="B184" s="6">
        <v>44287</v>
      </c>
      <c r="C184" s="6">
        <v>44651</v>
      </c>
      <c r="D184">
        <v>20210401</v>
      </c>
      <c r="E184">
        <v>20220331</v>
      </c>
      <c r="F184" t="s">
        <v>1298</v>
      </c>
      <c r="G184" t="s">
        <v>1299</v>
      </c>
      <c r="H184" t="s">
        <v>613</v>
      </c>
      <c r="I184" t="s">
        <v>1166</v>
      </c>
      <c r="J184">
        <v>1000</v>
      </c>
      <c r="K184">
        <v>159503.1</v>
      </c>
      <c r="L184">
        <v>17650</v>
      </c>
      <c r="M184">
        <v>2923748.02</v>
      </c>
      <c r="N184">
        <v>-18198.5</v>
      </c>
      <c r="O184">
        <v>-2978514.29</v>
      </c>
      <c r="X184">
        <v>451.5</v>
      </c>
      <c r="Y184">
        <v>104736.83</v>
      </c>
      <c r="Z184" s="3">
        <f t="shared" si="2"/>
        <v>163.66812044948759</v>
      </c>
    </row>
    <row r="185" spans="1:26" hidden="1">
      <c r="A185" t="s">
        <v>707</v>
      </c>
      <c r="B185" s="6">
        <v>44287</v>
      </c>
      <c r="C185" s="6">
        <v>44651</v>
      </c>
      <c r="D185">
        <v>20210401</v>
      </c>
      <c r="E185">
        <v>20220331</v>
      </c>
      <c r="F185" t="s">
        <v>1302</v>
      </c>
      <c r="G185" t="s">
        <v>1303</v>
      </c>
      <c r="H185" t="s">
        <v>613</v>
      </c>
      <c r="I185" t="s">
        <v>1166</v>
      </c>
      <c r="L185">
        <v>12050</v>
      </c>
      <c r="M185">
        <v>2530500</v>
      </c>
      <c r="N185">
        <v>-11072</v>
      </c>
      <c r="O185">
        <v>-2325119.96</v>
      </c>
      <c r="R185">
        <v>-500</v>
      </c>
      <c r="S185">
        <v>-105000</v>
      </c>
      <c r="X185">
        <v>478</v>
      </c>
      <c r="Y185">
        <v>100380.04</v>
      </c>
      <c r="Z185" s="3">
        <f t="shared" si="2"/>
        <v>209.99999638728323</v>
      </c>
    </row>
    <row r="186" spans="1:26" hidden="1">
      <c r="A186" t="s">
        <v>707</v>
      </c>
      <c r="B186" s="6">
        <v>44287</v>
      </c>
      <c r="C186" s="6">
        <v>44651</v>
      </c>
      <c r="D186">
        <v>20210401</v>
      </c>
      <c r="E186">
        <v>20220331</v>
      </c>
      <c r="F186" t="s">
        <v>5857</v>
      </c>
      <c r="G186" t="s">
        <v>5858</v>
      </c>
      <c r="H186" t="s">
        <v>613</v>
      </c>
      <c r="I186" t="s">
        <v>1166</v>
      </c>
      <c r="J186">
        <v>525</v>
      </c>
      <c r="K186">
        <v>71783.259999999995</v>
      </c>
      <c r="X186">
        <v>525</v>
      </c>
      <c r="Y186">
        <v>71783.259999999995</v>
      </c>
      <c r="Z186" s="3">
        <f t="shared" si="2"/>
        <v>136.73001904761904</v>
      </c>
    </row>
    <row r="187" spans="1:26" hidden="1">
      <c r="A187" t="s">
        <v>707</v>
      </c>
      <c r="B187" s="6">
        <v>44287</v>
      </c>
      <c r="C187" s="6">
        <v>44651</v>
      </c>
      <c r="D187">
        <v>20210401</v>
      </c>
      <c r="E187">
        <v>20220331</v>
      </c>
      <c r="F187" t="s">
        <v>1304</v>
      </c>
      <c r="G187" t="s">
        <v>1305</v>
      </c>
      <c r="H187" t="s">
        <v>613</v>
      </c>
      <c r="I187" t="s">
        <v>805</v>
      </c>
      <c r="J187">
        <v>50</v>
      </c>
      <c r="K187">
        <v>6553.63</v>
      </c>
      <c r="L187">
        <v>3900</v>
      </c>
      <c r="M187">
        <v>199419.47</v>
      </c>
      <c r="N187">
        <v>-3450</v>
      </c>
      <c r="O187">
        <v>-164501.96</v>
      </c>
      <c r="X187">
        <v>500</v>
      </c>
      <c r="Y187">
        <v>41471.14</v>
      </c>
      <c r="Z187" s="3">
        <f t="shared" si="2"/>
        <v>47.681727536231882</v>
      </c>
    </row>
    <row r="188" spans="1:26" hidden="1">
      <c r="A188" t="s">
        <v>707</v>
      </c>
      <c r="B188" s="6">
        <v>44287</v>
      </c>
      <c r="C188" s="6">
        <v>44651</v>
      </c>
      <c r="D188">
        <v>20210401</v>
      </c>
      <c r="E188">
        <v>20220331</v>
      </c>
      <c r="F188" t="s">
        <v>1308</v>
      </c>
      <c r="G188" t="s">
        <v>1309</v>
      </c>
      <c r="H188" t="s">
        <v>613</v>
      </c>
      <c r="I188" t="s">
        <v>1166</v>
      </c>
      <c r="J188">
        <v>950</v>
      </c>
      <c r="K188">
        <v>7029.44</v>
      </c>
      <c r="L188">
        <v>4000</v>
      </c>
      <c r="M188">
        <v>30200</v>
      </c>
      <c r="N188">
        <v>-4850</v>
      </c>
      <c r="O188">
        <v>-36460.1</v>
      </c>
      <c r="X188">
        <v>100</v>
      </c>
      <c r="Y188">
        <v>769.34</v>
      </c>
      <c r="Z188" s="3">
        <f t="shared" si="2"/>
        <v>7.5175463917525773</v>
      </c>
    </row>
    <row r="189" spans="1:26" hidden="1">
      <c r="A189" t="s">
        <v>707</v>
      </c>
      <c r="B189" s="6">
        <v>44287</v>
      </c>
      <c r="C189" s="6">
        <v>44651</v>
      </c>
      <c r="D189">
        <v>20210401</v>
      </c>
      <c r="E189">
        <v>20220331</v>
      </c>
      <c r="F189" t="s">
        <v>1316</v>
      </c>
      <c r="G189" t="s">
        <v>1317</v>
      </c>
      <c r="H189" t="s">
        <v>613</v>
      </c>
      <c r="I189" t="s">
        <v>1166</v>
      </c>
      <c r="J189">
        <v>109.5</v>
      </c>
      <c r="K189">
        <v>10923.69</v>
      </c>
      <c r="L189">
        <v>10750</v>
      </c>
      <c r="M189">
        <v>1490418.51</v>
      </c>
      <c r="N189">
        <v>-10609</v>
      </c>
      <c r="O189">
        <v>-1466738.71</v>
      </c>
      <c r="P189">
        <v>13.5</v>
      </c>
      <c r="Q189">
        <v>1900.91</v>
      </c>
      <c r="R189">
        <v>-25</v>
      </c>
      <c r="S189">
        <v>-2809.32</v>
      </c>
      <c r="X189">
        <v>239</v>
      </c>
      <c r="Y189">
        <v>33695.08</v>
      </c>
      <c r="Z189" s="3">
        <f t="shared" si="2"/>
        <v>138.25093671841819</v>
      </c>
    </row>
    <row r="190" spans="1:26" hidden="1">
      <c r="A190" t="s">
        <v>707</v>
      </c>
      <c r="B190" s="6">
        <v>44287</v>
      </c>
      <c r="C190" s="6">
        <v>44651</v>
      </c>
      <c r="D190">
        <v>20210401</v>
      </c>
      <c r="E190">
        <v>20220331</v>
      </c>
      <c r="F190" t="s">
        <v>1318</v>
      </c>
      <c r="G190" t="s">
        <v>1319</v>
      </c>
      <c r="H190" t="s">
        <v>613</v>
      </c>
      <c r="I190" t="s">
        <v>1166</v>
      </c>
      <c r="J190">
        <v>47</v>
      </c>
      <c r="K190">
        <v>107422.76</v>
      </c>
      <c r="L190">
        <v>650</v>
      </c>
      <c r="M190">
        <v>325364.36</v>
      </c>
      <c r="N190">
        <v>-664.5</v>
      </c>
      <c r="O190">
        <v>-328801.74</v>
      </c>
      <c r="X190">
        <v>32.5</v>
      </c>
      <c r="Y190">
        <v>103985.38</v>
      </c>
      <c r="Z190" s="3">
        <f t="shared" si="2"/>
        <v>494.81074492099322</v>
      </c>
    </row>
    <row r="191" spans="1:26" hidden="1">
      <c r="A191" t="s">
        <v>707</v>
      </c>
      <c r="B191" s="6">
        <v>44287</v>
      </c>
      <c r="C191" s="6">
        <v>44651</v>
      </c>
      <c r="D191">
        <v>20210401</v>
      </c>
      <c r="E191">
        <v>20220331</v>
      </c>
      <c r="F191" t="s">
        <v>1320</v>
      </c>
      <c r="G191" t="s">
        <v>1321</v>
      </c>
      <c r="H191" t="s">
        <v>613</v>
      </c>
      <c r="I191" t="s">
        <v>1166</v>
      </c>
      <c r="J191">
        <v>133</v>
      </c>
      <c r="K191">
        <v>4967.8900000000003</v>
      </c>
      <c r="L191">
        <v>10095</v>
      </c>
      <c r="M191">
        <v>377089.21</v>
      </c>
      <c r="N191">
        <v>-9841.18</v>
      </c>
      <c r="O191">
        <v>-367608.37</v>
      </c>
      <c r="X191">
        <v>386.82</v>
      </c>
      <c r="Y191">
        <v>14448.73</v>
      </c>
      <c r="Z191" s="3">
        <f t="shared" si="2"/>
        <v>37.354094732542237</v>
      </c>
    </row>
    <row r="192" spans="1:26" hidden="1">
      <c r="A192" t="s">
        <v>707</v>
      </c>
      <c r="B192" s="6">
        <v>44287</v>
      </c>
      <c r="C192" s="6">
        <v>44651</v>
      </c>
      <c r="D192">
        <v>20210401</v>
      </c>
      <c r="E192">
        <v>20220331</v>
      </c>
      <c r="F192" t="s">
        <v>1322</v>
      </c>
      <c r="G192" t="s">
        <v>1323</v>
      </c>
      <c r="H192" t="s">
        <v>613</v>
      </c>
      <c r="I192" t="s">
        <v>805</v>
      </c>
      <c r="J192">
        <v>400</v>
      </c>
      <c r="K192">
        <v>38000</v>
      </c>
      <c r="L192">
        <v>12400</v>
      </c>
      <c r="M192">
        <v>1178000</v>
      </c>
      <c r="N192">
        <v>-12000</v>
      </c>
      <c r="O192">
        <v>-1140000</v>
      </c>
      <c r="R192">
        <v>-600</v>
      </c>
      <c r="S192">
        <v>-57000</v>
      </c>
      <c r="X192">
        <v>200</v>
      </c>
      <c r="Y192">
        <v>19000</v>
      </c>
      <c r="Z192" s="3">
        <f t="shared" si="2"/>
        <v>95</v>
      </c>
    </row>
    <row r="193" spans="1:26" hidden="1">
      <c r="A193" t="s">
        <v>707</v>
      </c>
      <c r="B193" s="6">
        <v>44287</v>
      </c>
      <c r="C193" s="6">
        <v>44651</v>
      </c>
      <c r="D193">
        <v>20210401</v>
      </c>
      <c r="E193">
        <v>20220331</v>
      </c>
      <c r="F193" t="s">
        <v>1324</v>
      </c>
      <c r="G193" t="s">
        <v>1325</v>
      </c>
      <c r="H193" t="s">
        <v>613</v>
      </c>
      <c r="I193" t="s">
        <v>805</v>
      </c>
      <c r="J193">
        <v>22.5</v>
      </c>
      <c r="K193">
        <v>3600.78</v>
      </c>
      <c r="L193">
        <v>375</v>
      </c>
      <c r="M193">
        <v>59999.97</v>
      </c>
      <c r="N193">
        <v>-386.91</v>
      </c>
      <c r="O193">
        <v>-61906.06</v>
      </c>
      <c r="P193">
        <v>4</v>
      </c>
      <c r="Q193">
        <v>640</v>
      </c>
      <c r="X193">
        <v>14.59</v>
      </c>
      <c r="Y193">
        <v>2334.69</v>
      </c>
      <c r="Z193" s="3">
        <f t="shared" si="2"/>
        <v>160.00120132668249</v>
      </c>
    </row>
    <row r="194" spans="1:26" hidden="1">
      <c r="A194" t="s">
        <v>707</v>
      </c>
      <c r="B194" s="6">
        <v>44287</v>
      </c>
      <c r="C194" s="6">
        <v>44651</v>
      </c>
      <c r="D194">
        <v>20210401</v>
      </c>
      <c r="E194">
        <v>20220331</v>
      </c>
      <c r="F194" t="s">
        <v>5859</v>
      </c>
      <c r="G194" t="s">
        <v>1172</v>
      </c>
      <c r="H194" t="s">
        <v>1173</v>
      </c>
      <c r="I194" t="s">
        <v>1166</v>
      </c>
      <c r="J194">
        <v>7</v>
      </c>
      <c r="K194">
        <v>612.5</v>
      </c>
      <c r="X194">
        <v>7</v>
      </c>
      <c r="Y194">
        <v>612.5</v>
      </c>
      <c r="Z194" s="3">
        <f t="shared" si="2"/>
        <v>87.5</v>
      </c>
    </row>
    <row r="195" spans="1:26" hidden="1">
      <c r="A195" t="s">
        <v>707</v>
      </c>
      <c r="B195" s="6">
        <v>44287</v>
      </c>
      <c r="C195" s="6">
        <v>44651</v>
      </c>
      <c r="D195">
        <v>20210401</v>
      </c>
      <c r="E195">
        <v>20220331</v>
      </c>
      <c r="F195" t="s">
        <v>1342</v>
      </c>
      <c r="G195" t="s">
        <v>1343</v>
      </c>
      <c r="H195" t="s">
        <v>613</v>
      </c>
      <c r="I195" t="s">
        <v>1166</v>
      </c>
      <c r="L195">
        <v>225</v>
      </c>
      <c r="M195">
        <v>80937.17</v>
      </c>
      <c r="N195">
        <v>-225</v>
      </c>
      <c r="O195">
        <v>-80937.2</v>
      </c>
      <c r="Y195">
        <v>-0.03</v>
      </c>
      <c r="Z195" s="3">
        <f t="shared" ref="Z195:Z258" si="3">IFERROR((O195+Q195)/(N195+P195),Y195/X195)</f>
        <v>359.72088888888885</v>
      </c>
    </row>
    <row r="196" spans="1:26" hidden="1">
      <c r="A196" t="s">
        <v>707</v>
      </c>
      <c r="B196" s="6">
        <v>44287</v>
      </c>
      <c r="C196" s="6">
        <v>44651</v>
      </c>
      <c r="D196">
        <v>20210401</v>
      </c>
      <c r="E196">
        <v>20220331</v>
      </c>
      <c r="F196" t="s">
        <v>1352</v>
      </c>
      <c r="G196" t="s">
        <v>1353</v>
      </c>
      <c r="H196" t="s">
        <v>590</v>
      </c>
      <c r="I196" t="s">
        <v>774</v>
      </c>
      <c r="L196">
        <v>1</v>
      </c>
      <c r="M196">
        <v>1</v>
      </c>
      <c r="N196">
        <v>-1</v>
      </c>
      <c r="O196">
        <v>-1</v>
      </c>
      <c r="Z196" s="3">
        <f t="shared" si="3"/>
        <v>1</v>
      </c>
    </row>
    <row r="197" spans="1:26" hidden="1">
      <c r="A197" t="s">
        <v>707</v>
      </c>
      <c r="B197" s="6">
        <v>44287</v>
      </c>
      <c r="C197" s="6">
        <v>44651</v>
      </c>
      <c r="D197">
        <v>20210401</v>
      </c>
      <c r="E197">
        <v>20220331</v>
      </c>
      <c r="F197" t="s">
        <v>1354</v>
      </c>
      <c r="G197" t="s">
        <v>1355</v>
      </c>
      <c r="H197" t="s">
        <v>590</v>
      </c>
      <c r="I197" t="s">
        <v>774</v>
      </c>
      <c r="L197">
        <v>1</v>
      </c>
      <c r="M197">
        <v>1</v>
      </c>
      <c r="N197">
        <v>-1</v>
      </c>
      <c r="O197">
        <v>-1</v>
      </c>
      <c r="Z197" s="3">
        <f t="shared" si="3"/>
        <v>1</v>
      </c>
    </row>
    <row r="198" spans="1:26" hidden="1">
      <c r="A198" t="s">
        <v>707</v>
      </c>
      <c r="B198" s="6">
        <v>44287</v>
      </c>
      <c r="C198" s="6">
        <v>44651</v>
      </c>
      <c r="D198">
        <v>20210401</v>
      </c>
      <c r="E198">
        <v>20220331</v>
      </c>
      <c r="F198" t="s">
        <v>1356</v>
      </c>
      <c r="G198" t="s">
        <v>1357</v>
      </c>
      <c r="H198" t="s">
        <v>590</v>
      </c>
      <c r="I198" t="s">
        <v>774</v>
      </c>
      <c r="L198">
        <v>1</v>
      </c>
      <c r="M198">
        <v>1</v>
      </c>
      <c r="N198">
        <v>-1</v>
      </c>
      <c r="O198">
        <v>-1</v>
      </c>
      <c r="P198">
        <v>1</v>
      </c>
      <c r="Q198">
        <v>47792</v>
      </c>
      <c r="R198">
        <v>-1</v>
      </c>
      <c r="S198">
        <v>-47792</v>
      </c>
      <c r="Z198" s="3" t="e">
        <f t="shared" si="3"/>
        <v>#DIV/0!</v>
      </c>
    </row>
    <row r="199" spans="1:26" hidden="1">
      <c r="A199" t="s">
        <v>707</v>
      </c>
      <c r="B199" s="6">
        <v>44287</v>
      </c>
      <c r="C199" s="6">
        <v>44651</v>
      </c>
      <c r="D199">
        <v>20210401</v>
      </c>
      <c r="E199">
        <v>20220331</v>
      </c>
      <c r="F199" t="s">
        <v>1358</v>
      </c>
      <c r="G199" t="s">
        <v>1359</v>
      </c>
      <c r="H199" t="s">
        <v>613</v>
      </c>
      <c r="I199" t="s">
        <v>805</v>
      </c>
      <c r="J199">
        <v>128.696</v>
      </c>
      <c r="K199">
        <v>9450.02</v>
      </c>
      <c r="L199">
        <v>1235</v>
      </c>
      <c r="M199">
        <v>92097.31</v>
      </c>
      <c r="N199">
        <v>-1276.7729999999999</v>
      </c>
      <c r="O199">
        <v>-94965.119999999995</v>
      </c>
      <c r="P199">
        <v>9.5790000000000006</v>
      </c>
      <c r="Q199">
        <v>708.13</v>
      </c>
      <c r="X199">
        <v>96.501999999999995</v>
      </c>
      <c r="Y199">
        <v>7290.34</v>
      </c>
      <c r="Z199" s="3">
        <f t="shared" si="3"/>
        <v>74.38244657092757</v>
      </c>
    </row>
    <row r="200" spans="1:26" hidden="1">
      <c r="A200" t="s">
        <v>707</v>
      </c>
      <c r="B200" s="6">
        <v>44287</v>
      </c>
      <c r="C200" s="6">
        <v>44651</v>
      </c>
      <c r="D200">
        <v>20210401</v>
      </c>
      <c r="E200">
        <v>20220331</v>
      </c>
      <c r="F200" t="s">
        <v>1363</v>
      </c>
      <c r="G200" t="s">
        <v>1364</v>
      </c>
      <c r="H200" t="s">
        <v>613</v>
      </c>
      <c r="I200" t="s">
        <v>805</v>
      </c>
      <c r="J200">
        <v>800</v>
      </c>
      <c r="K200">
        <v>54016.62</v>
      </c>
      <c r="L200">
        <v>4910</v>
      </c>
      <c r="M200">
        <v>351998.09</v>
      </c>
      <c r="N200">
        <v>-4909</v>
      </c>
      <c r="O200">
        <v>-348280.57</v>
      </c>
      <c r="R200">
        <v>-200</v>
      </c>
      <c r="S200">
        <v>-14205.86</v>
      </c>
      <c r="X200">
        <v>601</v>
      </c>
      <c r="Y200">
        <v>43528.28</v>
      </c>
      <c r="Z200" s="3">
        <f t="shared" si="3"/>
        <v>70.947355876960685</v>
      </c>
    </row>
    <row r="201" spans="1:26" hidden="1">
      <c r="A201" t="s">
        <v>707</v>
      </c>
      <c r="B201" s="6">
        <v>44287</v>
      </c>
      <c r="C201" s="6">
        <v>44651</v>
      </c>
      <c r="D201">
        <v>20210401</v>
      </c>
      <c r="E201">
        <v>20220331</v>
      </c>
      <c r="F201" t="s">
        <v>1366</v>
      </c>
      <c r="G201" t="s">
        <v>1367</v>
      </c>
      <c r="H201" t="s">
        <v>590</v>
      </c>
      <c r="I201" t="s">
        <v>805</v>
      </c>
      <c r="J201">
        <v>169</v>
      </c>
      <c r="K201">
        <v>27790.87</v>
      </c>
      <c r="L201">
        <v>540</v>
      </c>
      <c r="M201">
        <v>101790</v>
      </c>
      <c r="N201">
        <v>-667</v>
      </c>
      <c r="O201">
        <v>-121484.97</v>
      </c>
      <c r="X201">
        <v>42</v>
      </c>
      <c r="Y201">
        <v>8095.9</v>
      </c>
      <c r="Z201" s="3">
        <f t="shared" si="3"/>
        <v>182.1363868065967</v>
      </c>
    </row>
    <row r="202" spans="1:26" hidden="1">
      <c r="A202" t="s">
        <v>707</v>
      </c>
      <c r="B202" s="6">
        <v>44287</v>
      </c>
      <c r="C202" s="6">
        <v>44651</v>
      </c>
      <c r="D202">
        <v>20210401</v>
      </c>
      <c r="E202">
        <v>20220331</v>
      </c>
      <c r="F202" t="s">
        <v>5860</v>
      </c>
      <c r="G202" t="s">
        <v>5861</v>
      </c>
      <c r="H202" t="s">
        <v>590</v>
      </c>
      <c r="I202" t="s">
        <v>805</v>
      </c>
      <c r="J202">
        <v>69</v>
      </c>
      <c r="K202">
        <v>3243</v>
      </c>
      <c r="L202">
        <v>310</v>
      </c>
      <c r="M202">
        <v>17753.400000000001</v>
      </c>
      <c r="N202">
        <v>-333</v>
      </c>
      <c r="O202">
        <v>-17769.23</v>
      </c>
      <c r="X202">
        <v>46</v>
      </c>
      <c r="Y202">
        <v>3227.17</v>
      </c>
      <c r="Z202" s="3">
        <f t="shared" si="3"/>
        <v>53.361051051051049</v>
      </c>
    </row>
    <row r="203" spans="1:26" hidden="1">
      <c r="A203" t="s">
        <v>707</v>
      </c>
      <c r="B203" s="6">
        <v>44287</v>
      </c>
      <c r="C203" s="6">
        <v>44651</v>
      </c>
      <c r="D203">
        <v>20210401</v>
      </c>
      <c r="E203">
        <v>20220331</v>
      </c>
      <c r="F203" t="s">
        <v>1368</v>
      </c>
      <c r="G203" t="s">
        <v>1369</v>
      </c>
      <c r="H203" t="s">
        <v>613</v>
      </c>
      <c r="I203" t="s">
        <v>805</v>
      </c>
      <c r="J203">
        <v>250</v>
      </c>
      <c r="K203">
        <v>4749.8999999999996</v>
      </c>
      <c r="L203">
        <v>2450</v>
      </c>
      <c r="M203">
        <v>47850</v>
      </c>
      <c r="N203">
        <v>-2100</v>
      </c>
      <c r="O203">
        <v>-40160.01</v>
      </c>
      <c r="X203">
        <v>600</v>
      </c>
      <c r="Y203">
        <v>12439.89</v>
      </c>
      <c r="Z203" s="3">
        <f t="shared" si="3"/>
        <v>19.123814285714285</v>
      </c>
    </row>
    <row r="204" spans="1:26" hidden="1">
      <c r="A204" t="s">
        <v>707</v>
      </c>
      <c r="B204" s="6">
        <v>44287</v>
      </c>
      <c r="C204" s="6">
        <v>44651</v>
      </c>
      <c r="D204">
        <v>20210401</v>
      </c>
      <c r="E204">
        <v>20220331</v>
      </c>
      <c r="F204" t="s">
        <v>5862</v>
      </c>
      <c r="G204" t="s">
        <v>5863</v>
      </c>
      <c r="H204" t="s">
        <v>590</v>
      </c>
      <c r="I204" t="s">
        <v>805</v>
      </c>
      <c r="J204">
        <v>166</v>
      </c>
      <c r="K204">
        <v>4667.92</v>
      </c>
      <c r="X204">
        <v>166</v>
      </c>
      <c r="Y204">
        <v>4667.92</v>
      </c>
      <c r="Z204" s="3">
        <f t="shared" si="3"/>
        <v>28.12</v>
      </c>
    </row>
    <row r="205" spans="1:26" hidden="1">
      <c r="A205" t="s">
        <v>707</v>
      </c>
      <c r="B205" s="6">
        <v>44287</v>
      </c>
      <c r="C205" s="6">
        <v>44651</v>
      </c>
      <c r="D205">
        <v>20210401</v>
      </c>
      <c r="E205">
        <v>20220331</v>
      </c>
      <c r="F205" t="s">
        <v>1370</v>
      </c>
      <c r="G205" t="s">
        <v>1371</v>
      </c>
      <c r="H205" t="s">
        <v>613</v>
      </c>
      <c r="I205" t="s">
        <v>805</v>
      </c>
      <c r="J205">
        <v>26.5</v>
      </c>
      <c r="K205">
        <v>775.65</v>
      </c>
      <c r="X205">
        <v>26.5</v>
      </c>
      <c r="Y205">
        <v>775.65</v>
      </c>
      <c r="Z205" s="3">
        <f t="shared" si="3"/>
        <v>29.269811320754716</v>
      </c>
    </row>
    <row r="206" spans="1:26" hidden="1">
      <c r="A206" t="s">
        <v>707</v>
      </c>
      <c r="B206" s="6">
        <v>44287</v>
      </c>
      <c r="C206" s="6">
        <v>44651</v>
      </c>
      <c r="D206">
        <v>20210401</v>
      </c>
      <c r="E206">
        <v>20220331</v>
      </c>
      <c r="F206" t="s">
        <v>5864</v>
      </c>
      <c r="G206" t="s">
        <v>5865</v>
      </c>
      <c r="H206" t="s">
        <v>590</v>
      </c>
      <c r="I206" t="s">
        <v>805</v>
      </c>
      <c r="L206">
        <v>347</v>
      </c>
      <c r="M206">
        <v>219800</v>
      </c>
      <c r="N206">
        <v>-343</v>
      </c>
      <c r="O206">
        <v>-217220</v>
      </c>
      <c r="X206">
        <v>4</v>
      </c>
      <c r="Y206">
        <v>2580</v>
      </c>
      <c r="Z206" s="3">
        <f t="shared" si="3"/>
        <v>633.29446064139938</v>
      </c>
    </row>
    <row r="207" spans="1:26" hidden="1">
      <c r="A207" t="s">
        <v>707</v>
      </c>
      <c r="B207" s="6">
        <v>44287</v>
      </c>
      <c r="C207" s="6">
        <v>44651</v>
      </c>
      <c r="D207">
        <v>20210401</v>
      </c>
      <c r="E207">
        <v>20220331</v>
      </c>
      <c r="F207" t="s">
        <v>1374</v>
      </c>
      <c r="G207" t="s">
        <v>1375</v>
      </c>
      <c r="H207" t="s">
        <v>590</v>
      </c>
      <c r="I207" t="s">
        <v>805</v>
      </c>
      <c r="J207">
        <v>24</v>
      </c>
      <c r="K207">
        <v>48844.95</v>
      </c>
      <c r="L207">
        <v>132</v>
      </c>
      <c r="M207">
        <v>289387.90999999997</v>
      </c>
      <c r="N207">
        <v>-146</v>
      </c>
      <c r="O207">
        <v>-312342.57</v>
      </c>
      <c r="X207">
        <v>10</v>
      </c>
      <c r="Y207">
        <v>25890.29</v>
      </c>
      <c r="Z207" s="3">
        <f t="shared" si="3"/>
        <v>2139.3326712328767</v>
      </c>
    </row>
    <row r="208" spans="1:26" hidden="1">
      <c r="A208" t="s">
        <v>707</v>
      </c>
      <c r="B208" s="6">
        <v>44287</v>
      </c>
      <c r="C208" s="6">
        <v>44651</v>
      </c>
      <c r="D208">
        <v>20210401</v>
      </c>
      <c r="E208">
        <v>20220331</v>
      </c>
      <c r="F208" t="s">
        <v>5866</v>
      </c>
      <c r="G208" t="s">
        <v>5867</v>
      </c>
      <c r="H208" t="s">
        <v>590</v>
      </c>
      <c r="I208" t="s">
        <v>805</v>
      </c>
      <c r="J208">
        <v>11</v>
      </c>
      <c r="K208">
        <v>462</v>
      </c>
      <c r="X208">
        <v>11</v>
      </c>
      <c r="Y208">
        <v>462</v>
      </c>
      <c r="Z208" s="3">
        <f t="shared" si="3"/>
        <v>42</v>
      </c>
    </row>
    <row r="209" spans="1:26" hidden="1">
      <c r="A209" t="s">
        <v>707</v>
      </c>
      <c r="B209" s="6">
        <v>44287</v>
      </c>
      <c r="C209" s="6">
        <v>44651</v>
      </c>
      <c r="D209">
        <v>20210401</v>
      </c>
      <c r="E209">
        <v>20220331</v>
      </c>
      <c r="F209" t="s">
        <v>5868</v>
      </c>
      <c r="G209" t="s">
        <v>5869</v>
      </c>
      <c r="H209" t="s">
        <v>590</v>
      </c>
      <c r="I209" t="s">
        <v>805</v>
      </c>
      <c r="J209">
        <v>18</v>
      </c>
      <c r="K209">
        <v>468</v>
      </c>
      <c r="X209">
        <v>18</v>
      </c>
      <c r="Y209">
        <v>468</v>
      </c>
      <c r="Z209" s="3">
        <f t="shared" si="3"/>
        <v>26</v>
      </c>
    </row>
    <row r="210" spans="1:26" hidden="1">
      <c r="A210" t="s">
        <v>707</v>
      </c>
      <c r="B210" s="6">
        <v>44287</v>
      </c>
      <c r="C210" s="6">
        <v>44651</v>
      </c>
      <c r="D210">
        <v>20210401</v>
      </c>
      <c r="E210">
        <v>20220331</v>
      </c>
      <c r="F210" t="s">
        <v>1378</v>
      </c>
      <c r="G210" t="s">
        <v>1379</v>
      </c>
      <c r="H210" t="s">
        <v>590</v>
      </c>
      <c r="I210" t="s">
        <v>805</v>
      </c>
      <c r="J210">
        <v>1610</v>
      </c>
      <c r="K210">
        <v>16764.259999999998</v>
      </c>
      <c r="R210">
        <v>-400</v>
      </c>
      <c r="S210">
        <v>-3965.76</v>
      </c>
      <c r="X210">
        <v>1210</v>
      </c>
      <c r="Y210">
        <v>12798.5</v>
      </c>
      <c r="Z210" s="3">
        <f t="shared" si="3"/>
        <v>10.577272727272728</v>
      </c>
    </row>
    <row r="211" spans="1:26" hidden="1">
      <c r="A211" t="s">
        <v>707</v>
      </c>
      <c r="B211" s="6">
        <v>44287</v>
      </c>
      <c r="C211" s="6">
        <v>44651</v>
      </c>
      <c r="D211">
        <v>20210401</v>
      </c>
      <c r="E211">
        <v>20220331</v>
      </c>
      <c r="F211" t="s">
        <v>1380</v>
      </c>
      <c r="G211" t="s">
        <v>1381</v>
      </c>
      <c r="H211" t="s">
        <v>613</v>
      </c>
      <c r="I211" t="s">
        <v>805</v>
      </c>
      <c r="J211">
        <v>850</v>
      </c>
      <c r="K211">
        <v>19513.53</v>
      </c>
      <c r="L211">
        <v>17650</v>
      </c>
      <c r="M211">
        <v>427808.94</v>
      </c>
      <c r="N211">
        <v>-18450</v>
      </c>
      <c r="O211">
        <v>-445948.85</v>
      </c>
      <c r="X211">
        <v>50</v>
      </c>
      <c r="Y211">
        <v>1373.62</v>
      </c>
      <c r="Z211" s="3">
        <f t="shared" si="3"/>
        <v>24.170669376693766</v>
      </c>
    </row>
    <row r="212" spans="1:26" hidden="1">
      <c r="A212" t="s">
        <v>707</v>
      </c>
      <c r="B212" s="6">
        <v>44287</v>
      </c>
      <c r="C212" s="6">
        <v>44651</v>
      </c>
      <c r="D212">
        <v>20210401</v>
      </c>
      <c r="E212">
        <v>20220331</v>
      </c>
      <c r="F212" t="s">
        <v>5870</v>
      </c>
      <c r="G212" t="s">
        <v>5871</v>
      </c>
      <c r="H212" t="s">
        <v>590</v>
      </c>
      <c r="I212" t="s">
        <v>805</v>
      </c>
      <c r="L212">
        <v>390</v>
      </c>
      <c r="M212">
        <v>254358.96</v>
      </c>
      <c r="N212">
        <v>-329</v>
      </c>
      <c r="O212">
        <v>-212887.46</v>
      </c>
      <c r="X212">
        <v>61</v>
      </c>
      <c r="Y212">
        <v>41471.5</v>
      </c>
      <c r="Z212" s="3">
        <f t="shared" si="3"/>
        <v>647.07434650455923</v>
      </c>
    </row>
    <row r="213" spans="1:26" hidden="1">
      <c r="A213" t="s">
        <v>707</v>
      </c>
      <c r="B213" s="6">
        <v>44287</v>
      </c>
      <c r="C213" s="6">
        <v>44651</v>
      </c>
      <c r="D213">
        <v>20210401</v>
      </c>
      <c r="E213">
        <v>20220331</v>
      </c>
      <c r="F213" t="s">
        <v>1382</v>
      </c>
      <c r="G213" t="s">
        <v>1383</v>
      </c>
      <c r="H213" t="s">
        <v>590</v>
      </c>
      <c r="I213" t="s">
        <v>805</v>
      </c>
      <c r="J213">
        <v>11</v>
      </c>
      <c r="K213">
        <v>30244.080000000002</v>
      </c>
      <c r="L213">
        <v>29</v>
      </c>
      <c r="M213">
        <v>89386.5</v>
      </c>
      <c r="N213">
        <v>-18</v>
      </c>
      <c r="O213">
        <v>-53744.77</v>
      </c>
      <c r="X213">
        <v>22</v>
      </c>
      <c r="Y213">
        <v>65885.81</v>
      </c>
      <c r="Z213" s="3">
        <f t="shared" si="3"/>
        <v>2985.8205555555555</v>
      </c>
    </row>
    <row r="214" spans="1:26" hidden="1">
      <c r="A214" t="s">
        <v>707</v>
      </c>
      <c r="B214" s="6">
        <v>44287</v>
      </c>
      <c r="C214" s="6">
        <v>44651</v>
      </c>
      <c r="D214">
        <v>20210401</v>
      </c>
      <c r="E214">
        <v>20220331</v>
      </c>
      <c r="F214" t="s">
        <v>1384</v>
      </c>
      <c r="G214" t="s">
        <v>1385</v>
      </c>
      <c r="H214" t="s">
        <v>613</v>
      </c>
      <c r="I214" t="s">
        <v>805</v>
      </c>
      <c r="J214">
        <v>4</v>
      </c>
      <c r="K214">
        <v>2200</v>
      </c>
      <c r="L214">
        <v>40</v>
      </c>
      <c r="M214">
        <v>18600</v>
      </c>
      <c r="N214">
        <v>-19</v>
      </c>
      <c r="O214">
        <v>-9175</v>
      </c>
      <c r="X214">
        <v>25</v>
      </c>
      <c r="Y214">
        <v>11625</v>
      </c>
      <c r="Z214" s="3">
        <f t="shared" si="3"/>
        <v>482.89473684210526</v>
      </c>
    </row>
    <row r="215" spans="1:26" hidden="1">
      <c r="A215" t="s">
        <v>707</v>
      </c>
      <c r="B215" s="6">
        <v>44287</v>
      </c>
      <c r="C215" s="6">
        <v>44651</v>
      </c>
      <c r="D215">
        <v>20210401</v>
      </c>
      <c r="E215">
        <v>20220331</v>
      </c>
      <c r="F215" t="s">
        <v>5872</v>
      </c>
      <c r="G215" t="s">
        <v>5873</v>
      </c>
      <c r="H215" t="s">
        <v>590</v>
      </c>
      <c r="I215" t="s">
        <v>805</v>
      </c>
      <c r="L215">
        <v>142</v>
      </c>
      <c r="M215">
        <v>70574</v>
      </c>
      <c r="N215">
        <v>-142</v>
      </c>
      <c r="O215">
        <v>-70574</v>
      </c>
      <c r="Z215" s="3">
        <f t="shared" si="3"/>
        <v>497</v>
      </c>
    </row>
    <row r="216" spans="1:26" hidden="1">
      <c r="A216" t="s">
        <v>707</v>
      </c>
      <c r="B216" s="6">
        <v>44287</v>
      </c>
      <c r="C216" s="6">
        <v>44651</v>
      </c>
      <c r="D216">
        <v>20210401</v>
      </c>
      <c r="E216">
        <v>20220331</v>
      </c>
      <c r="F216" t="s">
        <v>5874</v>
      </c>
      <c r="G216" t="s">
        <v>5875</v>
      </c>
      <c r="H216" t="s">
        <v>590</v>
      </c>
      <c r="I216" t="s">
        <v>805</v>
      </c>
      <c r="L216">
        <v>2</v>
      </c>
      <c r="M216">
        <v>1526</v>
      </c>
      <c r="N216">
        <v>-2</v>
      </c>
      <c r="O216">
        <v>-1526</v>
      </c>
      <c r="Z216" s="3">
        <f t="shared" si="3"/>
        <v>763</v>
      </c>
    </row>
    <row r="217" spans="1:26" hidden="1">
      <c r="A217" t="s">
        <v>707</v>
      </c>
      <c r="B217" s="6">
        <v>44287</v>
      </c>
      <c r="C217" s="6">
        <v>44651</v>
      </c>
      <c r="D217">
        <v>20210401</v>
      </c>
      <c r="E217">
        <v>20220331</v>
      </c>
      <c r="F217" t="s">
        <v>5876</v>
      </c>
      <c r="G217" t="s">
        <v>5875</v>
      </c>
      <c r="H217" t="s">
        <v>590</v>
      </c>
      <c r="I217" t="s">
        <v>805</v>
      </c>
      <c r="L217">
        <v>10</v>
      </c>
      <c r="M217">
        <v>14760</v>
      </c>
      <c r="N217">
        <v>-5</v>
      </c>
      <c r="O217">
        <v>-7380</v>
      </c>
      <c r="X217">
        <v>5</v>
      </c>
      <c r="Y217">
        <v>7380</v>
      </c>
      <c r="Z217" s="3">
        <f t="shared" si="3"/>
        <v>1476</v>
      </c>
    </row>
    <row r="218" spans="1:26" hidden="1">
      <c r="A218" t="s">
        <v>707</v>
      </c>
      <c r="B218" s="6">
        <v>44287</v>
      </c>
      <c r="C218" s="6">
        <v>44651</v>
      </c>
      <c r="D218">
        <v>20210401</v>
      </c>
      <c r="E218">
        <v>20220331</v>
      </c>
      <c r="F218" t="s">
        <v>1424</v>
      </c>
      <c r="G218" t="s">
        <v>1425</v>
      </c>
      <c r="H218" t="s">
        <v>590</v>
      </c>
      <c r="I218" t="s">
        <v>805</v>
      </c>
      <c r="J218">
        <v>5</v>
      </c>
      <c r="K218">
        <v>1500</v>
      </c>
      <c r="X218">
        <v>5</v>
      </c>
      <c r="Y218">
        <v>1500</v>
      </c>
      <c r="Z218" s="3">
        <f t="shared" si="3"/>
        <v>300</v>
      </c>
    </row>
    <row r="219" spans="1:26" hidden="1">
      <c r="A219" t="s">
        <v>707</v>
      </c>
      <c r="B219" s="6">
        <v>44287</v>
      </c>
      <c r="C219" s="6">
        <v>44651</v>
      </c>
      <c r="D219">
        <v>20210401</v>
      </c>
      <c r="E219">
        <v>20220331</v>
      </c>
      <c r="F219" t="s">
        <v>5877</v>
      </c>
      <c r="G219" t="s">
        <v>5878</v>
      </c>
      <c r="H219" t="s">
        <v>613</v>
      </c>
      <c r="I219" t="s">
        <v>875</v>
      </c>
      <c r="L219">
        <v>34.9</v>
      </c>
      <c r="M219">
        <v>2059.1</v>
      </c>
      <c r="N219">
        <v>-34.9</v>
      </c>
      <c r="O219">
        <v>-2059.1</v>
      </c>
      <c r="Z219" s="3">
        <f t="shared" si="3"/>
        <v>59</v>
      </c>
    </row>
    <row r="220" spans="1:26" hidden="1">
      <c r="A220" t="s">
        <v>707</v>
      </c>
      <c r="B220" s="6">
        <v>44287</v>
      </c>
      <c r="C220" s="6">
        <v>44651</v>
      </c>
      <c r="D220">
        <v>20210401</v>
      </c>
      <c r="E220">
        <v>20220331</v>
      </c>
      <c r="F220" t="s">
        <v>5879</v>
      </c>
      <c r="G220" t="s">
        <v>5880</v>
      </c>
      <c r="H220" t="s">
        <v>590</v>
      </c>
      <c r="I220" t="s">
        <v>805</v>
      </c>
      <c r="N220">
        <v>-118</v>
      </c>
      <c r="O220">
        <v>-601671.38</v>
      </c>
      <c r="P220">
        <v>118</v>
      </c>
      <c r="Q220">
        <v>601671.38</v>
      </c>
      <c r="Z220" s="3" t="e">
        <f t="shared" si="3"/>
        <v>#DIV/0!</v>
      </c>
    </row>
    <row r="221" spans="1:26" hidden="1">
      <c r="A221" t="s">
        <v>707</v>
      </c>
      <c r="B221" s="6">
        <v>44287</v>
      </c>
      <c r="C221" s="6">
        <v>44651</v>
      </c>
      <c r="D221">
        <v>20210401</v>
      </c>
      <c r="E221">
        <v>20220331</v>
      </c>
      <c r="F221" t="s">
        <v>5881</v>
      </c>
      <c r="G221" t="s">
        <v>5882</v>
      </c>
      <c r="H221" t="s">
        <v>613</v>
      </c>
      <c r="I221" t="s">
        <v>805</v>
      </c>
      <c r="L221">
        <v>10</v>
      </c>
      <c r="M221">
        <v>1350</v>
      </c>
      <c r="N221">
        <v>-10</v>
      </c>
      <c r="O221">
        <v>-1350</v>
      </c>
      <c r="Z221" s="3">
        <f t="shared" si="3"/>
        <v>135</v>
      </c>
    </row>
    <row r="222" spans="1:26" hidden="1">
      <c r="A222" t="s">
        <v>707</v>
      </c>
      <c r="B222" s="6">
        <v>44287</v>
      </c>
      <c r="C222" s="6">
        <v>44651</v>
      </c>
      <c r="D222">
        <v>20210401</v>
      </c>
      <c r="E222">
        <v>20220331</v>
      </c>
      <c r="F222" t="s">
        <v>5883</v>
      </c>
      <c r="G222" t="s">
        <v>5884</v>
      </c>
      <c r="H222" t="s">
        <v>613</v>
      </c>
      <c r="I222" t="s">
        <v>805</v>
      </c>
      <c r="L222">
        <v>119.7</v>
      </c>
      <c r="M222">
        <v>10888.46</v>
      </c>
      <c r="N222">
        <v>-109.7</v>
      </c>
      <c r="O222">
        <v>-9938.4599999999991</v>
      </c>
      <c r="X222">
        <v>10</v>
      </c>
      <c r="Y222">
        <v>950</v>
      </c>
      <c r="Z222" s="3">
        <f t="shared" si="3"/>
        <v>90.596718322698251</v>
      </c>
    </row>
    <row r="223" spans="1:26" hidden="1">
      <c r="A223" t="s">
        <v>707</v>
      </c>
      <c r="B223" s="6">
        <v>44287</v>
      </c>
      <c r="C223" s="6">
        <v>44651</v>
      </c>
      <c r="D223">
        <v>20210401</v>
      </c>
      <c r="E223">
        <v>20220331</v>
      </c>
      <c r="F223" t="s">
        <v>5885</v>
      </c>
      <c r="G223" t="s">
        <v>5886</v>
      </c>
      <c r="H223" t="s">
        <v>590</v>
      </c>
      <c r="I223" t="s">
        <v>805</v>
      </c>
      <c r="J223">
        <v>2</v>
      </c>
      <c r="K223">
        <v>1100</v>
      </c>
      <c r="L223">
        <v>1</v>
      </c>
      <c r="M223">
        <v>551.98</v>
      </c>
      <c r="N223">
        <v>-3</v>
      </c>
      <c r="O223">
        <v>-1651.98</v>
      </c>
      <c r="Z223" s="3">
        <f t="shared" si="3"/>
        <v>550.66</v>
      </c>
    </row>
    <row r="224" spans="1:26" hidden="1">
      <c r="A224" t="s">
        <v>707</v>
      </c>
      <c r="B224" s="6">
        <v>44287</v>
      </c>
      <c r="C224" s="6">
        <v>44651</v>
      </c>
      <c r="D224">
        <v>20210401</v>
      </c>
      <c r="E224">
        <v>20220331</v>
      </c>
      <c r="F224" t="s">
        <v>5887</v>
      </c>
      <c r="G224" t="s">
        <v>5888</v>
      </c>
      <c r="H224" t="s">
        <v>590</v>
      </c>
      <c r="I224" t="s">
        <v>805</v>
      </c>
      <c r="L224">
        <v>1</v>
      </c>
      <c r="M224">
        <v>652</v>
      </c>
      <c r="N224">
        <v>-1</v>
      </c>
      <c r="O224">
        <v>-652</v>
      </c>
      <c r="Z224" s="3">
        <f t="shared" si="3"/>
        <v>652</v>
      </c>
    </row>
    <row r="225" spans="1:26" hidden="1">
      <c r="A225" t="s">
        <v>707</v>
      </c>
      <c r="B225" s="6">
        <v>44287</v>
      </c>
      <c r="C225" s="6">
        <v>44651</v>
      </c>
      <c r="D225">
        <v>20210401</v>
      </c>
      <c r="E225">
        <v>20220331</v>
      </c>
      <c r="F225" t="s">
        <v>5889</v>
      </c>
      <c r="G225" t="s">
        <v>5890</v>
      </c>
      <c r="H225" t="s">
        <v>590</v>
      </c>
      <c r="I225" t="s">
        <v>1462</v>
      </c>
      <c r="L225">
        <v>1</v>
      </c>
      <c r="M225">
        <v>227</v>
      </c>
      <c r="N225">
        <v>-1</v>
      </c>
      <c r="O225">
        <v>-227</v>
      </c>
      <c r="Z225" s="3">
        <f t="shared" si="3"/>
        <v>227</v>
      </c>
    </row>
    <row r="226" spans="1:26" hidden="1">
      <c r="A226" t="s">
        <v>707</v>
      </c>
      <c r="B226" s="6">
        <v>44287</v>
      </c>
      <c r="C226" s="6">
        <v>44651</v>
      </c>
      <c r="D226">
        <v>20210401</v>
      </c>
      <c r="E226">
        <v>20220331</v>
      </c>
      <c r="F226" t="s">
        <v>5891</v>
      </c>
      <c r="G226" t="s">
        <v>5892</v>
      </c>
      <c r="H226" t="s">
        <v>590</v>
      </c>
      <c r="I226" t="s">
        <v>1462</v>
      </c>
      <c r="L226">
        <v>1</v>
      </c>
      <c r="M226">
        <v>36</v>
      </c>
      <c r="N226">
        <v>-1</v>
      </c>
      <c r="O226">
        <v>-36</v>
      </c>
      <c r="Z226" s="3">
        <f t="shared" si="3"/>
        <v>36</v>
      </c>
    </row>
    <row r="227" spans="1:26" hidden="1">
      <c r="A227" t="s">
        <v>707</v>
      </c>
      <c r="B227" s="6">
        <v>44287</v>
      </c>
      <c r="C227" s="6">
        <v>44651</v>
      </c>
      <c r="D227">
        <v>20210401</v>
      </c>
      <c r="E227">
        <v>20220331</v>
      </c>
      <c r="F227" t="s">
        <v>5893</v>
      </c>
      <c r="G227" t="s">
        <v>5894</v>
      </c>
      <c r="H227" t="s">
        <v>590</v>
      </c>
      <c r="I227" t="s">
        <v>805</v>
      </c>
      <c r="J227">
        <v>2</v>
      </c>
      <c r="K227">
        <v>2100</v>
      </c>
      <c r="X227">
        <v>2</v>
      </c>
      <c r="Y227">
        <v>2100</v>
      </c>
      <c r="Z227" s="3">
        <f t="shared" si="3"/>
        <v>1050</v>
      </c>
    </row>
    <row r="228" spans="1:26" hidden="1">
      <c r="A228" t="s">
        <v>707</v>
      </c>
      <c r="B228" s="6">
        <v>44287</v>
      </c>
      <c r="C228" s="6">
        <v>44651</v>
      </c>
      <c r="D228">
        <v>20210401</v>
      </c>
      <c r="E228">
        <v>20220331</v>
      </c>
      <c r="F228" t="s">
        <v>1479</v>
      </c>
      <c r="G228" t="s">
        <v>1480</v>
      </c>
      <c r="H228" t="s">
        <v>590</v>
      </c>
      <c r="I228" t="s">
        <v>805</v>
      </c>
      <c r="J228">
        <v>4</v>
      </c>
      <c r="K228">
        <v>5400</v>
      </c>
      <c r="X228">
        <v>4</v>
      </c>
      <c r="Y228">
        <v>5400</v>
      </c>
      <c r="Z228" s="3">
        <f t="shared" si="3"/>
        <v>1350</v>
      </c>
    </row>
    <row r="229" spans="1:26" hidden="1">
      <c r="A229" t="s">
        <v>707</v>
      </c>
      <c r="B229" s="6">
        <v>44287</v>
      </c>
      <c r="C229" s="6">
        <v>44651</v>
      </c>
      <c r="D229">
        <v>20210401</v>
      </c>
      <c r="E229">
        <v>20220331</v>
      </c>
      <c r="F229" t="s">
        <v>5895</v>
      </c>
      <c r="G229" t="s">
        <v>5896</v>
      </c>
      <c r="H229" t="s">
        <v>590</v>
      </c>
      <c r="I229" t="s">
        <v>1462</v>
      </c>
      <c r="L229">
        <v>50</v>
      </c>
      <c r="M229">
        <v>175</v>
      </c>
      <c r="X229">
        <v>50</v>
      </c>
      <c r="Y229">
        <v>175</v>
      </c>
      <c r="Z229" s="3">
        <f t="shared" si="3"/>
        <v>3.5</v>
      </c>
    </row>
    <row r="230" spans="1:26" hidden="1">
      <c r="A230" t="s">
        <v>707</v>
      </c>
      <c r="B230" s="6">
        <v>44287</v>
      </c>
      <c r="C230" s="6">
        <v>44651</v>
      </c>
      <c r="D230">
        <v>20210401</v>
      </c>
      <c r="E230">
        <v>20220331</v>
      </c>
      <c r="F230" t="s">
        <v>5897</v>
      </c>
      <c r="G230" t="s">
        <v>5898</v>
      </c>
      <c r="H230" t="s">
        <v>613</v>
      </c>
      <c r="I230" t="s">
        <v>805</v>
      </c>
      <c r="J230">
        <v>321</v>
      </c>
      <c r="K230">
        <v>17866.2</v>
      </c>
      <c r="N230">
        <v>-163</v>
      </c>
      <c r="O230">
        <v>-9072.27</v>
      </c>
      <c r="X230">
        <v>158</v>
      </c>
      <c r="Y230">
        <v>8793.93</v>
      </c>
      <c r="Z230" s="3">
        <f t="shared" si="3"/>
        <v>55.658098159509208</v>
      </c>
    </row>
    <row r="231" spans="1:26" hidden="1">
      <c r="A231" t="s">
        <v>707</v>
      </c>
      <c r="B231" s="6">
        <v>44287</v>
      </c>
      <c r="C231" s="6">
        <v>44651</v>
      </c>
      <c r="D231">
        <v>20210401</v>
      </c>
      <c r="E231">
        <v>20220331</v>
      </c>
      <c r="F231" t="s">
        <v>5899</v>
      </c>
      <c r="G231" t="s">
        <v>5900</v>
      </c>
      <c r="H231" t="s">
        <v>613</v>
      </c>
      <c r="I231" t="s">
        <v>805</v>
      </c>
      <c r="L231">
        <v>5.5</v>
      </c>
      <c r="M231">
        <v>550</v>
      </c>
      <c r="N231">
        <v>-5.5</v>
      </c>
      <c r="O231">
        <v>-550</v>
      </c>
      <c r="Z231" s="3">
        <f t="shared" si="3"/>
        <v>100</v>
      </c>
    </row>
    <row r="232" spans="1:26" hidden="1">
      <c r="A232" t="s">
        <v>707</v>
      </c>
      <c r="B232" s="6">
        <v>44287</v>
      </c>
      <c r="C232" s="6">
        <v>44651</v>
      </c>
      <c r="D232">
        <v>20210401</v>
      </c>
      <c r="E232">
        <v>20220331</v>
      </c>
      <c r="F232" t="s">
        <v>5901</v>
      </c>
      <c r="G232" t="s">
        <v>5902</v>
      </c>
      <c r="H232" t="s">
        <v>613</v>
      </c>
      <c r="I232" t="s">
        <v>805</v>
      </c>
      <c r="L232">
        <v>64</v>
      </c>
      <c r="M232">
        <v>7700</v>
      </c>
      <c r="X232">
        <v>64</v>
      </c>
      <c r="Y232">
        <v>7700</v>
      </c>
      <c r="Z232" s="3">
        <f t="shared" si="3"/>
        <v>120.3125</v>
      </c>
    </row>
    <row r="233" spans="1:26" hidden="1">
      <c r="A233" t="s">
        <v>707</v>
      </c>
      <c r="B233" s="6">
        <v>44287</v>
      </c>
      <c r="C233" s="6">
        <v>44651</v>
      </c>
      <c r="D233">
        <v>20210401</v>
      </c>
      <c r="E233">
        <v>20220331</v>
      </c>
      <c r="F233" t="s">
        <v>5903</v>
      </c>
      <c r="G233" t="s">
        <v>5904</v>
      </c>
      <c r="H233" t="s">
        <v>613</v>
      </c>
      <c r="I233" t="s">
        <v>805</v>
      </c>
      <c r="J233">
        <v>37</v>
      </c>
      <c r="K233">
        <v>2220</v>
      </c>
      <c r="L233">
        <v>116.5</v>
      </c>
      <c r="M233">
        <v>11575</v>
      </c>
      <c r="N233">
        <v>-153.5</v>
      </c>
      <c r="O233">
        <v>-13794.99</v>
      </c>
      <c r="Y233">
        <v>0.01</v>
      </c>
      <c r="Z233" s="3">
        <f t="shared" si="3"/>
        <v>89.869641693811076</v>
      </c>
    </row>
    <row r="234" spans="1:26" hidden="1">
      <c r="A234" t="s">
        <v>707</v>
      </c>
      <c r="B234" s="6">
        <v>44287</v>
      </c>
      <c r="C234" s="6">
        <v>44651</v>
      </c>
      <c r="D234">
        <v>20210401</v>
      </c>
      <c r="E234">
        <v>20220331</v>
      </c>
      <c r="F234" t="s">
        <v>1489</v>
      </c>
      <c r="G234" t="s">
        <v>1490</v>
      </c>
      <c r="H234" t="s">
        <v>590</v>
      </c>
      <c r="I234" t="s">
        <v>805</v>
      </c>
      <c r="L234">
        <v>100</v>
      </c>
      <c r="M234">
        <v>1800</v>
      </c>
      <c r="X234">
        <v>100</v>
      </c>
      <c r="Y234">
        <v>1800</v>
      </c>
      <c r="Z234" s="3">
        <f t="shared" si="3"/>
        <v>18</v>
      </c>
    </row>
    <row r="235" spans="1:26" hidden="1">
      <c r="A235" t="s">
        <v>707</v>
      </c>
      <c r="B235" s="6">
        <v>44287</v>
      </c>
      <c r="C235" s="6">
        <v>44651</v>
      </c>
      <c r="D235">
        <v>20210401</v>
      </c>
      <c r="E235">
        <v>20220331</v>
      </c>
      <c r="F235" t="s">
        <v>5905</v>
      </c>
      <c r="G235" t="s">
        <v>5906</v>
      </c>
      <c r="H235" t="s">
        <v>613</v>
      </c>
      <c r="I235" t="s">
        <v>805</v>
      </c>
      <c r="J235">
        <v>19.399999999999999</v>
      </c>
      <c r="K235">
        <v>12610.2</v>
      </c>
      <c r="X235">
        <v>19.399999999999999</v>
      </c>
      <c r="Y235">
        <v>12610.2</v>
      </c>
      <c r="Z235" s="3">
        <f t="shared" si="3"/>
        <v>650.01030927835063</v>
      </c>
    </row>
    <row r="236" spans="1:26" hidden="1">
      <c r="A236" t="s">
        <v>707</v>
      </c>
      <c r="B236" s="6">
        <v>44287</v>
      </c>
      <c r="C236" s="6">
        <v>44651</v>
      </c>
      <c r="D236">
        <v>20210401</v>
      </c>
      <c r="E236">
        <v>20220331</v>
      </c>
      <c r="F236" t="s">
        <v>5907</v>
      </c>
      <c r="G236" t="s">
        <v>5908</v>
      </c>
      <c r="H236" t="s">
        <v>613</v>
      </c>
      <c r="I236" t="s">
        <v>805</v>
      </c>
      <c r="L236">
        <v>12.7</v>
      </c>
      <c r="M236">
        <v>6590.5</v>
      </c>
      <c r="N236">
        <v>-12.7</v>
      </c>
      <c r="O236">
        <v>-6590.5</v>
      </c>
      <c r="Z236" s="3">
        <f t="shared" si="3"/>
        <v>518.93700787401576</v>
      </c>
    </row>
    <row r="237" spans="1:26" hidden="1">
      <c r="A237" t="s">
        <v>707</v>
      </c>
      <c r="B237" s="6">
        <v>44287</v>
      </c>
      <c r="C237" s="6">
        <v>44651</v>
      </c>
      <c r="D237">
        <v>20210401</v>
      </c>
      <c r="E237">
        <v>20220331</v>
      </c>
      <c r="F237" t="s">
        <v>5909</v>
      </c>
      <c r="G237" t="s">
        <v>5910</v>
      </c>
      <c r="H237" t="s">
        <v>590</v>
      </c>
      <c r="I237" t="s">
        <v>805</v>
      </c>
      <c r="J237">
        <v>1</v>
      </c>
      <c r="K237">
        <v>3970</v>
      </c>
      <c r="N237">
        <v>-1</v>
      </c>
      <c r="O237">
        <v>-3970</v>
      </c>
      <c r="Z237" s="3">
        <f t="shared" si="3"/>
        <v>3970</v>
      </c>
    </row>
    <row r="238" spans="1:26" hidden="1">
      <c r="A238" t="s">
        <v>707</v>
      </c>
      <c r="B238" s="6">
        <v>44287</v>
      </c>
      <c r="C238" s="6">
        <v>44651</v>
      </c>
      <c r="D238">
        <v>20210401</v>
      </c>
      <c r="E238">
        <v>20220331</v>
      </c>
      <c r="F238" t="s">
        <v>5911</v>
      </c>
      <c r="G238" t="s">
        <v>5912</v>
      </c>
      <c r="H238" t="s">
        <v>590</v>
      </c>
      <c r="I238" t="s">
        <v>805</v>
      </c>
      <c r="J238">
        <v>1</v>
      </c>
      <c r="K238">
        <v>3695.23</v>
      </c>
      <c r="N238">
        <v>-1</v>
      </c>
      <c r="O238">
        <v>-3695.23</v>
      </c>
      <c r="Z238" s="3">
        <f t="shared" si="3"/>
        <v>3695.23</v>
      </c>
    </row>
    <row r="239" spans="1:26" hidden="1">
      <c r="A239" t="s">
        <v>707</v>
      </c>
      <c r="B239" s="6">
        <v>44287</v>
      </c>
      <c r="C239" s="6">
        <v>44651</v>
      </c>
      <c r="D239">
        <v>20210401</v>
      </c>
      <c r="E239">
        <v>20220331</v>
      </c>
      <c r="F239" t="s">
        <v>5913</v>
      </c>
      <c r="G239" t="s">
        <v>5914</v>
      </c>
      <c r="H239" t="s">
        <v>590</v>
      </c>
      <c r="I239" t="s">
        <v>805</v>
      </c>
      <c r="J239">
        <v>27</v>
      </c>
      <c r="K239">
        <v>864</v>
      </c>
      <c r="X239">
        <v>27</v>
      </c>
      <c r="Y239">
        <v>864</v>
      </c>
      <c r="Z239" s="3">
        <f t="shared" si="3"/>
        <v>32</v>
      </c>
    </row>
    <row r="240" spans="1:26" hidden="1">
      <c r="A240" t="s">
        <v>707</v>
      </c>
      <c r="B240" s="6">
        <v>44287</v>
      </c>
      <c r="C240" s="6">
        <v>44651</v>
      </c>
      <c r="D240">
        <v>20210401</v>
      </c>
      <c r="E240">
        <v>20220331</v>
      </c>
      <c r="F240" t="s">
        <v>5915</v>
      </c>
      <c r="G240" t="s">
        <v>5916</v>
      </c>
      <c r="H240" t="s">
        <v>590</v>
      </c>
      <c r="I240" t="s">
        <v>805</v>
      </c>
      <c r="J240">
        <v>11</v>
      </c>
      <c r="K240">
        <v>3181.83</v>
      </c>
      <c r="N240">
        <v>-2</v>
      </c>
      <c r="O240">
        <v>-578.52</v>
      </c>
      <c r="X240">
        <v>9</v>
      </c>
      <c r="Y240">
        <v>2603.31</v>
      </c>
      <c r="Z240" s="3">
        <f t="shared" si="3"/>
        <v>289.26</v>
      </c>
    </row>
    <row r="241" spans="1:26" hidden="1">
      <c r="A241" t="s">
        <v>707</v>
      </c>
      <c r="B241" s="6">
        <v>44287</v>
      </c>
      <c r="C241" s="6">
        <v>44651</v>
      </c>
      <c r="D241">
        <v>20210401</v>
      </c>
      <c r="E241">
        <v>20220331</v>
      </c>
      <c r="F241" t="s">
        <v>5917</v>
      </c>
      <c r="G241" t="s">
        <v>5918</v>
      </c>
      <c r="H241" t="s">
        <v>590</v>
      </c>
      <c r="I241" t="s">
        <v>805</v>
      </c>
      <c r="J241">
        <v>1</v>
      </c>
      <c r="K241">
        <v>175</v>
      </c>
      <c r="N241">
        <v>-1</v>
      </c>
      <c r="O241">
        <v>-175</v>
      </c>
      <c r="Z241" s="3">
        <f t="shared" si="3"/>
        <v>175</v>
      </c>
    </row>
    <row r="242" spans="1:26" hidden="1">
      <c r="A242" t="s">
        <v>707</v>
      </c>
      <c r="B242" s="6">
        <v>44287</v>
      </c>
      <c r="C242" s="6">
        <v>44651</v>
      </c>
      <c r="D242">
        <v>20210401</v>
      </c>
      <c r="E242">
        <v>20220331</v>
      </c>
      <c r="F242" t="s">
        <v>5919</v>
      </c>
      <c r="G242" t="s">
        <v>5920</v>
      </c>
      <c r="H242" t="s">
        <v>590</v>
      </c>
      <c r="I242" t="s">
        <v>805</v>
      </c>
      <c r="J242">
        <v>3</v>
      </c>
      <c r="K242">
        <v>7500</v>
      </c>
      <c r="L242">
        <v>2</v>
      </c>
      <c r="M242">
        <v>5200</v>
      </c>
      <c r="X242">
        <v>5</v>
      </c>
      <c r="Y242">
        <v>12700</v>
      </c>
      <c r="Z242" s="3">
        <f t="shared" si="3"/>
        <v>2540</v>
      </c>
    </row>
    <row r="243" spans="1:26" hidden="1">
      <c r="A243" t="s">
        <v>707</v>
      </c>
      <c r="B243" s="6">
        <v>44287</v>
      </c>
      <c r="C243" s="6">
        <v>44651</v>
      </c>
      <c r="D243">
        <v>20210401</v>
      </c>
      <c r="E243">
        <v>20220331</v>
      </c>
      <c r="F243" t="s">
        <v>1515</v>
      </c>
      <c r="G243" t="s">
        <v>1516</v>
      </c>
      <c r="H243" t="s">
        <v>590</v>
      </c>
      <c r="I243" t="s">
        <v>805</v>
      </c>
      <c r="J243">
        <v>2</v>
      </c>
      <c r="K243">
        <v>340</v>
      </c>
      <c r="N243">
        <v>-1</v>
      </c>
      <c r="O243">
        <v>-170</v>
      </c>
      <c r="X243">
        <v>1</v>
      </c>
      <c r="Y243">
        <v>170</v>
      </c>
      <c r="Z243" s="3">
        <f t="shared" si="3"/>
        <v>170</v>
      </c>
    </row>
    <row r="244" spans="1:26" hidden="1">
      <c r="A244" t="s">
        <v>707</v>
      </c>
      <c r="B244" s="6">
        <v>44287</v>
      </c>
      <c r="C244" s="6">
        <v>44651</v>
      </c>
      <c r="D244">
        <v>20210401</v>
      </c>
      <c r="E244">
        <v>20220331</v>
      </c>
      <c r="F244" t="s">
        <v>5921</v>
      </c>
      <c r="G244" t="s">
        <v>5922</v>
      </c>
      <c r="H244" t="s">
        <v>1173</v>
      </c>
      <c r="I244" t="s">
        <v>805</v>
      </c>
      <c r="L244">
        <v>6</v>
      </c>
      <c r="M244">
        <v>1169.5999999999999</v>
      </c>
      <c r="N244">
        <v>-3</v>
      </c>
      <c r="O244">
        <v>-584.82000000000005</v>
      </c>
      <c r="X244">
        <v>3</v>
      </c>
      <c r="Y244">
        <v>584.78</v>
      </c>
      <c r="Z244" s="3">
        <f t="shared" si="3"/>
        <v>194.94000000000003</v>
      </c>
    </row>
    <row r="245" spans="1:26" hidden="1">
      <c r="A245" t="s">
        <v>707</v>
      </c>
      <c r="B245" s="6">
        <v>44287</v>
      </c>
      <c r="C245" s="6">
        <v>44651</v>
      </c>
      <c r="D245">
        <v>20210401</v>
      </c>
      <c r="E245">
        <v>20220331</v>
      </c>
      <c r="F245" t="s">
        <v>1524</v>
      </c>
      <c r="G245" t="s">
        <v>1525</v>
      </c>
      <c r="H245" t="s">
        <v>1173</v>
      </c>
      <c r="I245" t="s">
        <v>805</v>
      </c>
      <c r="J245">
        <v>28</v>
      </c>
      <c r="K245">
        <v>3904.8</v>
      </c>
      <c r="L245">
        <v>440</v>
      </c>
      <c r="M245">
        <v>64640.03</v>
      </c>
      <c r="N245">
        <v>-408</v>
      </c>
      <c r="O245">
        <v>-59545.15</v>
      </c>
      <c r="X245">
        <v>60</v>
      </c>
      <c r="Y245">
        <v>8999.68</v>
      </c>
      <c r="Z245" s="3">
        <f t="shared" si="3"/>
        <v>145.94399509803921</v>
      </c>
    </row>
    <row r="246" spans="1:26" hidden="1">
      <c r="A246" t="s">
        <v>707</v>
      </c>
      <c r="B246" s="6">
        <v>44287</v>
      </c>
      <c r="C246" s="6">
        <v>44651</v>
      </c>
      <c r="D246">
        <v>20210401</v>
      </c>
      <c r="E246">
        <v>20220331</v>
      </c>
      <c r="F246" t="s">
        <v>5923</v>
      </c>
      <c r="G246" t="s">
        <v>5924</v>
      </c>
      <c r="H246" t="s">
        <v>590</v>
      </c>
      <c r="I246" t="s">
        <v>805</v>
      </c>
      <c r="J246">
        <v>1</v>
      </c>
      <c r="K246">
        <v>5320</v>
      </c>
      <c r="X246">
        <v>1</v>
      </c>
      <c r="Y246">
        <v>5320</v>
      </c>
      <c r="Z246" s="3">
        <f t="shared" si="3"/>
        <v>5320</v>
      </c>
    </row>
    <row r="247" spans="1:26" hidden="1">
      <c r="A247" t="s">
        <v>707</v>
      </c>
      <c r="B247" s="6">
        <v>44287</v>
      </c>
      <c r="C247" s="6">
        <v>44651</v>
      </c>
      <c r="D247">
        <v>20210401</v>
      </c>
      <c r="E247">
        <v>20220331</v>
      </c>
      <c r="F247" t="s">
        <v>1534</v>
      </c>
      <c r="G247" t="s">
        <v>1535</v>
      </c>
      <c r="H247" t="s">
        <v>590</v>
      </c>
      <c r="I247" t="s">
        <v>805</v>
      </c>
      <c r="J247">
        <v>1</v>
      </c>
      <c r="K247">
        <v>290</v>
      </c>
      <c r="X247">
        <v>1</v>
      </c>
      <c r="Y247">
        <v>290</v>
      </c>
      <c r="Z247" s="3">
        <f t="shared" si="3"/>
        <v>290</v>
      </c>
    </row>
    <row r="248" spans="1:26" hidden="1">
      <c r="A248" t="s">
        <v>707</v>
      </c>
      <c r="B248" s="6">
        <v>44287</v>
      </c>
      <c r="C248" s="6">
        <v>44651</v>
      </c>
      <c r="D248">
        <v>20210401</v>
      </c>
      <c r="E248">
        <v>20220331</v>
      </c>
      <c r="F248" t="s">
        <v>5925</v>
      </c>
      <c r="G248" t="s">
        <v>5926</v>
      </c>
      <c r="H248" t="s">
        <v>590</v>
      </c>
      <c r="I248" t="s">
        <v>1462</v>
      </c>
      <c r="J248">
        <v>1</v>
      </c>
      <c r="K248">
        <v>275</v>
      </c>
      <c r="N248">
        <v>-1</v>
      </c>
      <c r="O248">
        <v>-275</v>
      </c>
      <c r="Z248" s="3">
        <f t="shared" si="3"/>
        <v>275</v>
      </c>
    </row>
    <row r="249" spans="1:26" hidden="1">
      <c r="A249" t="s">
        <v>707</v>
      </c>
      <c r="B249" s="6">
        <v>44287</v>
      </c>
      <c r="C249" s="6">
        <v>44651</v>
      </c>
      <c r="D249">
        <v>20210401</v>
      </c>
      <c r="E249">
        <v>20220331</v>
      </c>
      <c r="F249" t="s">
        <v>5927</v>
      </c>
      <c r="G249" t="s">
        <v>5928</v>
      </c>
      <c r="H249" t="s">
        <v>590</v>
      </c>
      <c r="I249" t="s">
        <v>805</v>
      </c>
      <c r="L249">
        <v>5</v>
      </c>
      <c r="M249">
        <v>430</v>
      </c>
      <c r="N249">
        <v>-1</v>
      </c>
      <c r="O249">
        <v>-86</v>
      </c>
      <c r="X249">
        <v>4</v>
      </c>
      <c r="Y249">
        <v>344</v>
      </c>
      <c r="Z249" s="3">
        <f t="shared" si="3"/>
        <v>86</v>
      </c>
    </row>
    <row r="250" spans="1:26" hidden="1">
      <c r="A250" t="s">
        <v>707</v>
      </c>
      <c r="B250" s="6">
        <v>44287</v>
      </c>
      <c r="C250" s="6">
        <v>44651</v>
      </c>
      <c r="D250">
        <v>20210401</v>
      </c>
      <c r="E250">
        <v>20220331</v>
      </c>
      <c r="F250" t="s">
        <v>5929</v>
      </c>
      <c r="G250" t="s">
        <v>5930</v>
      </c>
      <c r="H250" t="s">
        <v>590</v>
      </c>
      <c r="I250" t="s">
        <v>1462</v>
      </c>
      <c r="L250">
        <v>5</v>
      </c>
      <c r="M250">
        <v>8400</v>
      </c>
      <c r="N250">
        <v>-4</v>
      </c>
      <c r="O250">
        <v>-6500</v>
      </c>
      <c r="X250">
        <v>1</v>
      </c>
      <c r="Y250">
        <v>1900</v>
      </c>
      <c r="Z250" s="3">
        <f t="shared" si="3"/>
        <v>1625</v>
      </c>
    </row>
    <row r="251" spans="1:26" hidden="1">
      <c r="A251" t="s">
        <v>707</v>
      </c>
      <c r="B251" s="6">
        <v>44287</v>
      </c>
      <c r="C251" s="6">
        <v>44651</v>
      </c>
      <c r="D251">
        <v>20210401</v>
      </c>
      <c r="E251">
        <v>20220331</v>
      </c>
      <c r="F251" t="s">
        <v>5931</v>
      </c>
      <c r="G251" t="s">
        <v>5932</v>
      </c>
      <c r="H251" t="s">
        <v>1173</v>
      </c>
      <c r="I251" t="s">
        <v>805</v>
      </c>
      <c r="J251">
        <v>2</v>
      </c>
      <c r="K251">
        <v>2432</v>
      </c>
      <c r="X251">
        <v>2</v>
      </c>
      <c r="Y251">
        <v>2432</v>
      </c>
      <c r="Z251" s="3">
        <f t="shared" si="3"/>
        <v>1216</v>
      </c>
    </row>
    <row r="252" spans="1:26" hidden="1">
      <c r="A252" t="s">
        <v>707</v>
      </c>
      <c r="B252" s="6">
        <v>44287</v>
      </c>
      <c r="C252" s="6">
        <v>44651</v>
      </c>
      <c r="D252">
        <v>20210401</v>
      </c>
      <c r="E252">
        <v>20220331</v>
      </c>
      <c r="F252" t="s">
        <v>5933</v>
      </c>
      <c r="G252" t="s">
        <v>5934</v>
      </c>
      <c r="H252" t="s">
        <v>590</v>
      </c>
      <c r="I252" t="s">
        <v>1462</v>
      </c>
      <c r="J252">
        <v>5</v>
      </c>
      <c r="K252">
        <v>3793.23</v>
      </c>
      <c r="X252">
        <v>5</v>
      </c>
      <c r="Y252">
        <v>3793.23</v>
      </c>
      <c r="Z252" s="3">
        <f t="shared" si="3"/>
        <v>758.64599999999996</v>
      </c>
    </row>
    <row r="253" spans="1:26" hidden="1">
      <c r="A253" t="s">
        <v>707</v>
      </c>
      <c r="B253" s="6">
        <v>44287</v>
      </c>
      <c r="C253" s="6">
        <v>44651</v>
      </c>
      <c r="D253">
        <v>20210401</v>
      </c>
      <c r="E253">
        <v>20220331</v>
      </c>
      <c r="F253" t="s">
        <v>1581</v>
      </c>
      <c r="G253" t="s">
        <v>1582</v>
      </c>
      <c r="H253" t="s">
        <v>613</v>
      </c>
      <c r="I253" t="s">
        <v>805</v>
      </c>
      <c r="L253">
        <v>7523</v>
      </c>
      <c r="M253">
        <v>40308</v>
      </c>
      <c r="N253">
        <v>-7523</v>
      </c>
      <c r="O253">
        <v>-40440.019999999997</v>
      </c>
      <c r="Y253">
        <v>-132.02000000000001</v>
      </c>
      <c r="Z253" s="3">
        <f t="shared" si="3"/>
        <v>5.3755177455802201</v>
      </c>
    </row>
    <row r="254" spans="1:26" hidden="1">
      <c r="A254" t="s">
        <v>707</v>
      </c>
      <c r="B254" s="6">
        <v>44287</v>
      </c>
      <c r="C254" s="6">
        <v>44651</v>
      </c>
      <c r="D254">
        <v>20210401</v>
      </c>
      <c r="E254">
        <v>20220331</v>
      </c>
      <c r="F254" t="s">
        <v>1586</v>
      </c>
      <c r="G254" t="s">
        <v>1587</v>
      </c>
      <c r="H254" t="s">
        <v>590</v>
      </c>
      <c r="I254" t="s">
        <v>805</v>
      </c>
      <c r="J254">
        <v>73</v>
      </c>
      <c r="K254">
        <v>13139.54</v>
      </c>
      <c r="L254">
        <v>32</v>
      </c>
      <c r="M254">
        <v>5760</v>
      </c>
      <c r="N254">
        <v>-69</v>
      </c>
      <c r="O254">
        <v>-12419.64</v>
      </c>
      <c r="X254">
        <v>36</v>
      </c>
      <c r="Y254">
        <v>6479.9</v>
      </c>
      <c r="Z254" s="3">
        <f t="shared" si="3"/>
        <v>179.99478260869563</v>
      </c>
    </row>
    <row r="255" spans="1:26" hidden="1">
      <c r="A255" t="s">
        <v>707</v>
      </c>
      <c r="B255" s="6">
        <v>44287</v>
      </c>
      <c r="C255" s="6">
        <v>44651</v>
      </c>
      <c r="D255">
        <v>20210401</v>
      </c>
      <c r="E255">
        <v>20220331</v>
      </c>
      <c r="F255" t="s">
        <v>1588</v>
      </c>
      <c r="G255" t="s">
        <v>1589</v>
      </c>
      <c r="H255" t="s">
        <v>590</v>
      </c>
      <c r="I255" t="s">
        <v>805</v>
      </c>
      <c r="J255">
        <v>72</v>
      </c>
      <c r="K255">
        <v>13995.07</v>
      </c>
      <c r="L255">
        <v>32</v>
      </c>
      <c r="M255">
        <v>6240</v>
      </c>
      <c r="N255">
        <v>-52</v>
      </c>
      <c r="O255">
        <v>-10115.91</v>
      </c>
      <c r="R255">
        <v>-26</v>
      </c>
      <c r="S255">
        <v>-5056.79</v>
      </c>
      <c r="X255">
        <v>26</v>
      </c>
      <c r="Y255">
        <v>5062.37</v>
      </c>
      <c r="Z255" s="3">
        <f t="shared" si="3"/>
        <v>194.53673076923076</v>
      </c>
    </row>
    <row r="256" spans="1:26" hidden="1">
      <c r="A256" t="s">
        <v>707</v>
      </c>
      <c r="B256" s="6">
        <v>44287</v>
      </c>
      <c r="C256" s="6">
        <v>44651</v>
      </c>
      <c r="D256">
        <v>20210401</v>
      </c>
      <c r="E256">
        <v>20220331</v>
      </c>
      <c r="F256" t="s">
        <v>5935</v>
      </c>
      <c r="G256" t="s">
        <v>5936</v>
      </c>
      <c r="H256" t="s">
        <v>1585</v>
      </c>
      <c r="I256" t="s">
        <v>805</v>
      </c>
      <c r="J256">
        <v>153</v>
      </c>
      <c r="K256">
        <v>10415.629999999999</v>
      </c>
      <c r="L256">
        <v>150</v>
      </c>
      <c r="M256">
        <v>10500</v>
      </c>
      <c r="N256">
        <v>-129</v>
      </c>
      <c r="O256">
        <v>-8883.27</v>
      </c>
      <c r="R256">
        <v>-114</v>
      </c>
      <c r="S256">
        <v>-7840.78</v>
      </c>
      <c r="X256">
        <v>60</v>
      </c>
      <c r="Y256">
        <v>4191.58</v>
      </c>
      <c r="Z256" s="3">
        <f t="shared" si="3"/>
        <v>68.862558139534883</v>
      </c>
    </row>
    <row r="257" spans="1:26" hidden="1">
      <c r="A257" t="s">
        <v>707</v>
      </c>
      <c r="B257" s="6">
        <v>44287</v>
      </c>
      <c r="C257" s="6">
        <v>44651</v>
      </c>
      <c r="D257">
        <v>20210401</v>
      </c>
      <c r="E257">
        <v>20220331</v>
      </c>
      <c r="F257" t="s">
        <v>5937</v>
      </c>
      <c r="G257" t="s">
        <v>5938</v>
      </c>
      <c r="H257" t="s">
        <v>590</v>
      </c>
      <c r="I257" t="s">
        <v>805</v>
      </c>
      <c r="J257">
        <v>8</v>
      </c>
      <c r="K257">
        <v>1919.81</v>
      </c>
      <c r="L257">
        <v>25</v>
      </c>
      <c r="M257">
        <v>4375</v>
      </c>
      <c r="N257">
        <v>-20</v>
      </c>
      <c r="O257">
        <v>-4019.82</v>
      </c>
      <c r="X257">
        <v>13</v>
      </c>
      <c r="Y257">
        <v>2274.9899999999998</v>
      </c>
      <c r="Z257" s="3">
        <f t="shared" si="3"/>
        <v>200.99100000000001</v>
      </c>
    </row>
    <row r="258" spans="1:26" hidden="1">
      <c r="A258" t="s">
        <v>707</v>
      </c>
      <c r="B258" s="6">
        <v>44287</v>
      </c>
      <c r="C258" s="6">
        <v>44651</v>
      </c>
      <c r="D258">
        <v>20210401</v>
      </c>
      <c r="E258">
        <v>20220331</v>
      </c>
      <c r="F258" t="s">
        <v>5939</v>
      </c>
      <c r="G258" t="s">
        <v>5940</v>
      </c>
      <c r="H258" t="s">
        <v>1585</v>
      </c>
      <c r="I258" t="s">
        <v>805</v>
      </c>
      <c r="J258">
        <v>294</v>
      </c>
      <c r="K258">
        <v>5589.44</v>
      </c>
      <c r="L258">
        <v>3259</v>
      </c>
      <c r="M258">
        <v>61897.58</v>
      </c>
      <c r="N258">
        <v>-2485</v>
      </c>
      <c r="O258">
        <v>-47186.95</v>
      </c>
      <c r="R258">
        <v>-663</v>
      </c>
      <c r="S258">
        <v>-12589.68</v>
      </c>
      <c r="X258">
        <v>405</v>
      </c>
      <c r="Y258">
        <v>7710.39</v>
      </c>
      <c r="Z258" s="3">
        <f t="shared" si="3"/>
        <v>18.988712273641848</v>
      </c>
    </row>
    <row r="259" spans="1:26" hidden="1">
      <c r="A259" t="s">
        <v>707</v>
      </c>
      <c r="B259" s="6">
        <v>44287</v>
      </c>
      <c r="C259" s="6">
        <v>44651</v>
      </c>
      <c r="D259">
        <v>20210401</v>
      </c>
      <c r="E259">
        <v>20220331</v>
      </c>
      <c r="F259" t="s">
        <v>5941</v>
      </c>
      <c r="G259" t="s">
        <v>5942</v>
      </c>
      <c r="H259" t="s">
        <v>1585</v>
      </c>
      <c r="I259" t="s">
        <v>805</v>
      </c>
      <c r="J259">
        <v>20</v>
      </c>
      <c r="K259">
        <v>3599.61</v>
      </c>
      <c r="L259">
        <v>658</v>
      </c>
      <c r="M259">
        <v>118439.8</v>
      </c>
      <c r="N259">
        <v>-597</v>
      </c>
      <c r="O259">
        <v>-107360.07</v>
      </c>
      <c r="X259">
        <v>81</v>
      </c>
      <c r="Y259">
        <v>14679.34</v>
      </c>
      <c r="Z259" s="3">
        <f t="shared" ref="Z259:Z322" si="4">IFERROR((O259+Q259)/(N259+P259),Y259/X259)</f>
        <v>179.83261306532665</v>
      </c>
    </row>
    <row r="260" spans="1:26" hidden="1">
      <c r="A260" t="s">
        <v>707</v>
      </c>
      <c r="B260" s="6">
        <v>44287</v>
      </c>
      <c r="C260" s="6">
        <v>44651</v>
      </c>
      <c r="D260">
        <v>20210401</v>
      </c>
      <c r="E260">
        <v>20220331</v>
      </c>
      <c r="F260" t="s">
        <v>1602</v>
      </c>
      <c r="G260" t="s">
        <v>1603</v>
      </c>
      <c r="H260" t="s">
        <v>1585</v>
      </c>
      <c r="I260" t="s">
        <v>805</v>
      </c>
      <c r="J260">
        <v>545</v>
      </c>
      <c r="K260">
        <v>66274.95</v>
      </c>
      <c r="L260">
        <v>8688</v>
      </c>
      <c r="M260">
        <v>1051070.28</v>
      </c>
      <c r="N260">
        <v>-8850</v>
      </c>
      <c r="O260">
        <v>-1070727.92</v>
      </c>
      <c r="X260">
        <v>383</v>
      </c>
      <c r="Y260">
        <v>46617.31</v>
      </c>
      <c r="Z260" s="3">
        <f t="shared" si="4"/>
        <v>120.9862056497175</v>
      </c>
    </row>
    <row r="261" spans="1:26" hidden="1">
      <c r="A261" t="s">
        <v>707</v>
      </c>
      <c r="B261" s="6">
        <v>44287</v>
      </c>
      <c r="C261" s="6">
        <v>44651</v>
      </c>
      <c r="D261">
        <v>20210401</v>
      </c>
      <c r="E261">
        <v>20220331</v>
      </c>
      <c r="F261" t="s">
        <v>1604</v>
      </c>
      <c r="G261" t="s">
        <v>1605</v>
      </c>
      <c r="H261" t="s">
        <v>1585</v>
      </c>
      <c r="I261" t="s">
        <v>805</v>
      </c>
      <c r="J261">
        <v>60</v>
      </c>
      <c r="K261">
        <v>480</v>
      </c>
      <c r="L261">
        <v>250</v>
      </c>
      <c r="M261">
        <v>2500</v>
      </c>
      <c r="N261">
        <v>-238</v>
      </c>
      <c r="O261">
        <v>-2260</v>
      </c>
      <c r="X261">
        <v>72</v>
      </c>
      <c r="Y261">
        <v>720</v>
      </c>
      <c r="Z261" s="3">
        <f t="shared" si="4"/>
        <v>9.4957983193277311</v>
      </c>
    </row>
    <row r="262" spans="1:26" hidden="1">
      <c r="A262" t="s">
        <v>707</v>
      </c>
      <c r="B262" s="6">
        <v>44287</v>
      </c>
      <c r="C262" s="6">
        <v>44651</v>
      </c>
      <c r="D262">
        <v>20210401</v>
      </c>
      <c r="E262">
        <v>20220331</v>
      </c>
      <c r="F262" t="s">
        <v>1610</v>
      </c>
      <c r="G262" t="s">
        <v>1611</v>
      </c>
      <c r="H262" t="s">
        <v>590</v>
      </c>
      <c r="I262" t="s">
        <v>805</v>
      </c>
      <c r="J262">
        <v>50</v>
      </c>
      <c r="K262">
        <v>500</v>
      </c>
      <c r="L262">
        <v>475</v>
      </c>
      <c r="M262">
        <v>4750</v>
      </c>
      <c r="N262">
        <v>-350</v>
      </c>
      <c r="O262">
        <v>-3500</v>
      </c>
      <c r="X262">
        <v>175</v>
      </c>
      <c r="Y262">
        <v>1750</v>
      </c>
      <c r="Z262" s="3">
        <f t="shared" si="4"/>
        <v>10</v>
      </c>
    </row>
    <row r="263" spans="1:26" hidden="1">
      <c r="A263" t="s">
        <v>707</v>
      </c>
      <c r="B263" s="6">
        <v>44287</v>
      </c>
      <c r="C263" s="6">
        <v>44651</v>
      </c>
      <c r="D263">
        <v>20210401</v>
      </c>
      <c r="E263">
        <v>20220331</v>
      </c>
      <c r="F263" t="s">
        <v>5943</v>
      </c>
      <c r="G263" t="s">
        <v>5944</v>
      </c>
      <c r="H263" t="s">
        <v>590</v>
      </c>
      <c r="I263" t="s">
        <v>805</v>
      </c>
      <c r="J263">
        <v>141</v>
      </c>
      <c r="K263">
        <v>9870.0499999999993</v>
      </c>
      <c r="L263">
        <v>300</v>
      </c>
      <c r="M263">
        <v>27000</v>
      </c>
      <c r="N263">
        <v>-261</v>
      </c>
      <c r="O263">
        <v>-21224.3</v>
      </c>
      <c r="X263">
        <v>180</v>
      </c>
      <c r="Y263">
        <v>15645.75</v>
      </c>
      <c r="Z263" s="3">
        <f t="shared" si="4"/>
        <v>81.319157088122608</v>
      </c>
    </row>
    <row r="264" spans="1:26" hidden="1">
      <c r="A264" t="s">
        <v>707</v>
      </c>
      <c r="B264" s="6">
        <v>44287</v>
      </c>
      <c r="C264" s="6">
        <v>44651</v>
      </c>
      <c r="D264">
        <v>20210401</v>
      </c>
      <c r="E264">
        <v>20220331</v>
      </c>
      <c r="F264" t="s">
        <v>1618</v>
      </c>
      <c r="G264" t="s">
        <v>1619</v>
      </c>
      <c r="H264" t="s">
        <v>590</v>
      </c>
      <c r="I264" t="s">
        <v>805</v>
      </c>
      <c r="J264">
        <v>61</v>
      </c>
      <c r="K264">
        <v>1830</v>
      </c>
      <c r="L264">
        <v>200</v>
      </c>
      <c r="M264">
        <v>9000</v>
      </c>
      <c r="N264">
        <v>-180</v>
      </c>
      <c r="O264">
        <v>-7188.81</v>
      </c>
      <c r="X264">
        <v>81</v>
      </c>
      <c r="Y264">
        <v>3641.19</v>
      </c>
      <c r="Z264" s="3">
        <f t="shared" si="4"/>
        <v>39.937833333333337</v>
      </c>
    </row>
    <row r="265" spans="1:26" hidden="1">
      <c r="A265" t="s">
        <v>707</v>
      </c>
      <c r="B265" s="6">
        <v>44287</v>
      </c>
      <c r="C265" s="6">
        <v>44651</v>
      </c>
      <c r="D265">
        <v>20210401</v>
      </c>
      <c r="E265">
        <v>20220331</v>
      </c>
      <c r="F265" t="s">
        <v>5945</v>
      </c>
      <c r="G265" t="s">
        <v>5946</v>
      </c>
      <c r="H265" t="s">
        <v>590</v>
      </c>
      <c r="I265" t="s">
        <v>805</v>
      </c>
      <c r="L265">
        <v>1000</v>
      </c>
      <c r="M265">
        <v>10000</v>
      </c>
      <c r="N265">
        <v>-301</v>
      </c>
      <c r="O265">
        <v>-3010</v>
      </c>
      <c r="X265">
        <v>699</v>
      </c>
      <c r="Y265">
        <v>6990</v>
      </c>
      <c r="Z265" s="3">
        <f t="shared" si="4"/>
        <v>10</v>
      </c>
    </row>
    <row r="266" spans="1:26" hidden="1">
      <c r="A266" t="s">
        <v>707</v>
      </c>
      <c r="B266" s="6">
        <v>44287</v>
      </c>
      <c r="C266" s="6">
        <v>44651</v>
      </c>
      <c r="D266">
        <v>20210401</v>
      </c>
      <c r="E266">
        <v>20220331</v>
      </c>
      <c r="F266" t="s">
        <v>1626</v>
      </c>
      <c r="G266" t="s">
        <v>1627</v>
      </c>
      <c r="H266" t="s">
        <v>590</v>
      </c>
      <c r="I266" t="s">
        <v>805</v>
      </c>
      <c r="J266">
        <v>300</v>
      </c>
      <c r="K266">
        <v>14099.04</v>
      </c>
      <c r="L266">
        <v>18400</v>
      </c>
      <c r="M266">
        <v>868450</v>
      </c>
      <c r="N266">
        <v>-310</v>
      </c>
      <c r="O266">
        <v>-14579.3</v>
      </c>
      <c r="P266">
        <v>15</v>
      </c>
      <c r="Q266">
        <v>705</v>
      </c>
      <c r="R266">
        <v>-17655</v>
      </c>
      <c r="S266">
        <v>-833472.22</v>
      </c>
      <c r="V266">
        <v>50</v>
      </c>
      <c r="W266">
        <v>2396.48</v>
      </c>
      <c r="X266">
        <v>800</v>
      </c>
      <c r="Y266">
        <v>37599</v>
      </c>
      <c r="Z266" s="3">
        <f t="shared" si="4"/>
        <v>47.031525423728809</v>
      </c>
    </row>
    <row r="267" spans="1:26" hidden="1">
      <c r="A267" t="s">
        <v>707</v>
      </c>
      <c r="B267" s="6">
        <v>44287</v>
      </c>
      <c r="C267" s="6">
        <v>44651</v>
      </c>
      <c r="D267">
        <v>20210401</v>
      </c>
      <c r="E267">
        <v>20220331</v>
      </c>
      <c r="F267" t="s">
        <v>1634</v>
      </c>
      <c r="G267" t="s">
        <v>1635</v>
      </c>
      <c r="H267" t="s">
        <v>590</v>
      </c>
      <c r="I267" t="s">
        <v>805</v>
      </c>
      <c r="J267">
        <v>240</v>
      </c>
      <c r="K267">
        <v>16439.79</v>
      </c>
      <c r="L267">
        <v>1000</v>
      </c>
      <c r="M267">
        <v>66750</v>
      </c>
      <c r="N267">
        <v>-1009</v>
      </c>
      <c r="O267">
        <v>-68174.28</v>
      </c>
      <c r="X267">
        <v>231</v>
      </c>
      <c r="Y267">
        <v>15015.51</v>
      </c>
      <c r="Z267" s="3">
        <f t="shared" si="4"/>
        <v>67.566184340931613</v>
      </c>
    </row>
    <row r="268" spans="1:26" hidden="1">
      <c r="A268" t="s">
        <v>707</v>
      </c>
      <c r="B268" s="6">
        <v>44287</v>
      </c>
      <c r="C268" s="6">
        <v>44651</v>
      </c>
      <c r="D268">
        <v>20210401</v>
      </c>
      <c r="E268">
        <v>20220331</v>
      </c>
      <c r="F268" t="s">
        <v>5947</v>
      </c>
      <c r="G268" t="s">
        <v>5948</v>
      </c>
      <c r="H268" t="s">
        <v>590</v>
      </c>
      <c r="I268" t="s">
        <v>805</v>
      </c>
      <c r="L268">
        <v>2</v>
      </c>
      <c r="M268">
        <v>1210</v>
      </c>
      <c r="N268">
        <v>-2</v>
      </c>
      <c r="O268">
        <v>-1210</v>
      </c>
      <c r="Z268" s="3">
        <f t="shared" si="4"/>
        <v>605</v>
      </c>
    </row>
    <row r="269" spans="1:26" hidden="1">
      <c r="A269" t="s">
        <v>707</v>
      </c>
      <c r="B269" s="6">
        <v>44287</v>
      </c>
      <c r="C269" s="6">
        <v>44651</v>
      </c>
      <c r="D269">
        <v>20210401</v>
      </c>
      <c r="E269">
        <v>20220331</v>
      </c>
      <c r="F269" t="s">
        <v>5949</v>
      </c>
      <c r="G269" t="s">
        <v>5950</v>
      </c>
      <c r="H269" t="s">
        <v>590</v>
      </c>
      <c r="I269" t="s">
        <v>805</v>
      </c>
      <c r="J269">
        <v>180</v>
      </c>
      <c r="K269">
        <v>57668.36</v>
      </c>
      <c r="L269">
        <v>210</v>
      </c>
      <c r="M269">
        <v>70644</v>
      </c>
      <c r="N269">
        <v>-125</v>
      </c>
      <c r="O269">
        <v>-40791.29</v>
      </c>
      <c r="R269">
        <v>-200</v>
      </c>
      <c r="S269">
        <v>-65906.880000000005</v>
      </c>
      <c r="X269">
        <v>65</v>
      </c>
      <c r="Y269">
        <v>21614.19</v>
      </c>
      <c r="Z269" s="3">
        <f t="shared" si="4"/>
        <v>326.33032000000003</v>
      </c>
    </row>
    <row r="270" spans="1:26" hidden="1">
      <c r="A270" t="s">
        <v>707</v>
      </c>
      <c r="B270" s="6">
        <v>44287</v>
      </c>
      <c r="C270" s="6">
        <v>44651</v>
      </c>
      <c r="D270">
        <v>20210401</v>
      </c>
      <c r="E270">
        <v>20220331</v>
      </c>
      <c r="F270" t="s">
        <v>1650</v>
      </c>
      <c r="G270" t="s">
        <v>1651</v>
      </c>
      <c r="H270" t="s">
        <v>590</v>
      </c>
      <c r="I270" t="s">
        <v>805</v>
      </c>
      <c r="J270">
        <v>130</v>
      </c>
      <c r="K270">
        <v>20140.78</v>
      </c>
      <c r="L270">
        <v>14503</v>
      </c>
      <c r="M270">
        <v>2033830.6</v>
      </c>
      <c r="N270">
        <v>-214</v>
      </c>
      <c r="O270">
        <v>-26413.31</v>
      </c>
      <c r="R270">
        <v>-13220</v>
      </c>
      <c r="S270">
        <v>-1808141.79</v>
      </c>
      <c r="X270">
        <v>1199</v>
      </c>
      <c r="Y270">
        <v>219416.28</v>
      </c>
      <c r="Z270" s="3">
        <f t="shared" si="4"/>
        <v>123.42668224299067</v>
      </c>
    </row>
    <row r="271" spans="1:26" hidden="1">
      <c r="A271" t="s">
        <v>707</v>
      </c>
      <c r="B271" s="6">
        <v>44287</v>
      </c>
      <c r="C271" s="6">
        <v>44651</v>
      </c>
      <c r="D271">
        <v>20210401</v>
      </c>
      <c r="E271">
        <v>20220331</v>
      </c>
      <c r="F271" t="s">
        <v>5951</v>
      </c>
      <c r="G271" t="s">
        <v>5952</v>
      </c>
      <c r="H271" t="s">
        <v>590</v>
      </c>
      <c r="I271" t="s">
        <v>805</v>
      </c>
      <c r="J271">
        <v>66</v>
      </c>
      <c r="K271">
        <v>3391.08</v>
      </c>
      <c r="X271">
        <v>66</v>
      </c>
      <c r="Y271">
        <v>3391.08</v>
      </c>
      <c r="Z271" s="3">
        <f t="shared" si="4"/>
        <v>51.379999999999995</v>
      </c>
    </row>
    <row r="272" spans="1:26" hidden="1">
      <c r="A272" t="s">
        <v>707</v>
      </c>
      <c r="B272" s="6">
        <v>44287</v>
      </c>
      <c r="C272" s="6">
        <v>44651</v>
      </c>
      <c r="D272">
        <v>20210401</v>
      </c>
      <c r="E272">
        <v>20220331</v>
      </c>
      <c r="F272" t="s">
        <v>5953</v>
      </c>
      <c r="G272" t="s">
        <v>5954</v>
      </c>
      <c r="H272" t="s">
        <v>590</v>
      </c>
      <c r="I272" t="s">
        <v>805</v>
      </c>
      <c r="J272">
        <v>78</v>
      </c>
      <c r="K272">
        <v>5469.8</v>
      </c>
      <c r="X272">
        <v>78</v>
      </c>
      <c r="Y272">
        <v>5469.8</v>
      </c>
      <c r="Z272" s="3">
        <f t="shared" si="4"/>
        <v>70.125641025641031</v>
      </c>
    </row>
    <row r="273" spans="1:26" hidden="1">
      <c r="A273" t="s">
        <v>707</v>
      </c>
      <c r="B273" s="6">
        <v>44287</v>
      </c>
      <c r="C273" s="6">
        <v>44651</v>
      </c>
      <c r="D273">
        <v>20210401</v>
      </c>
      <c r="E273">
        <v>20220331</v>
      </c>
      <c r="F273" t="s">
        <v>5955</v>
      </c>
      <c r="G273" t="s">
        <v>5956</v>
      </c>
      <c r="H273" t="s">
        <v>590</v>
      </c>
      <c r="I273" t="s">
        <v>805</v>
      </c>
      <c r="J273">
        <v>118</v>
      </c>
      <c r="K273">
        <v>5900</v>
      </c>
      <c r="X273">
        <v>118</v>
      </c>
      <c r="Y273">
        <v>5900</v>
      </c>
      <c r="Z273" s="3">
        <f t="shared" si="4"/>
        <v>50</v>
      </c>
    </row>
    <row r="274" spans="1:26" hidden="1">
      <c r="A274" t="s">
        <v>707</v>
      </c>
      <c r="B274" s="6">
        <v>44287</v>
      </c>
      <c r="C274" s="6">
        <v>44651</v>
      </c>
      <c r="D274">
        <v>20210401</v>
      </c>
      <c r="E274">
        <v>20220331</v>
      </c>
      <c r="F274" t="s">
        <v>1658</v>
      </c>
      <c r="G274" t="s">
        <v>1659</v>
      </c>
      <c r="H274" t="s">
        <v>590</v>
      </c>
      <c r="I274" t="s">
        <v>805</v>
      </c>
      <c r="J274">
        <v>10</v>
      </c>
      <c r="K274">
        <v>400</v>
      </c>
      <c r="X274">
        <v>10</v>
      </c>
      <c r="Y274">
        <v>400</v>
      </c>
      <c r="Z274" s="3">
        <f t="shared" si="4"/>
        <v>40</v>
      </c>
    </row>
    <row r="275" spans="1:26" hidden="1">
      <c r="A275" t="s">
        <v>707</v>
      </c>
      <c r="B275" s="6">
        <v>44287</v>
      </c>
      <c r="C275" s="6">
        <v>44651</v>
      </c>
      <c r="D275">
        <v>20210401</v>
      </c>
      <c r="E275">
        <v>20220331</v>
      </c>
      <c r="F275" t="s">
        <v>1666</v>
      </c>
      <c r="G275" t="s">
        <v>1667</v>
      </c>
      <c r="H275" t="s">
        <v>590</v>
      </c>
      <c r="I275" t="s">
        <v>805</v>
      </c>
      <c r="J275">
        <v>299</v>
      </c>
      <c r="K275">
        <v>3587.81</v>
      </c>
      <c r="L275">
        <v>2752</v>
      </c>
      <c r="M275">
        <v>33024.28</v>
      </c>
      <c r="N275">
        <v>-204</v>
      </c>
      <c r="O275">
        <v>-2448</v>
      </c>
      <c r="R275">
        <v>-2350</v>
      </c>
      <c r="S275">
        <v>-28199.82</v>
      </c>
      <c r="X275">
        <v>497</v>
      </c>
      <c r="Y275">
        <v>5964.27</v>
      </c>
      <c r="Z275" s="3">
        <f t="shared" si="4"/>
        <v>12</v>
      </c>
    </row>
    <row r="276" spans="1:26" hidden="1">
      <c r="A276" t="s">
        <v>707</v>
      </c>
      <c r="B276" s="6">
        <v>44287</v>
      </c>
      <c r="C276" s="6">
        <v>44651</v>
      </c>
      <c r="D276">
        <v>20210401</v>
      </c>
      <c r="E276">
        <v>20220331</v>
      </c>
      <c r="F276" t="s">
        <v>1668</v>
      </c>
      <c r="G276" t="s">
        <v>1669</v>
      </c>
      <c r="H276" t="s">
        <v>590</v>
      </c>
      <c r="I276" t="s">
        <v>805</v>
      </c>
      <c r="J276">
        <v>150</v>
      </c>
      <c r="K276">
        <v>1799.73</v>
      </c>
      <c r="L276">
        <v>3715</v>
      </c>
      <c r="M276">
        <v>44580</v>
      </c>
      <c r="N276">
        <v>-462</v>
      </c>
      <c r="O276">
        <v>-5544</v>
      </c>
      <c r="R276">
        <v>-1900</v>
      </c>
      <c r="S276">
        <v>-22799.79</v>
      </c>
      <c r="X276">
        <v>1503</v>
      </c>
      <c r="Y276">
        <v>18035.939999999999</v>
      </c>
      <c r="Z276" s="3">
        <f t="shared" si="4"/>
        <v>12</v>
      </c>
    </row>
    <row r="277" spans="1:26" hidden="1">
      <c r="A277" t="s">
        <v>707</v>
      </c>
      <c r="B277" s="6">
        <v>44287</v>
      </c>
      <c r="C277" s="6">
        <v>44651</v>
      </c>
      <c r="D277">
        <v>20210401</v>
      </c>
      <c r="E277">
        <v>20220331</v>
      </c>
      <c r="F277" t="s">
        <v>1674</v>
      </c>
      <c r="G277" t="s">
        <v>1675</v>
      </c>
      <c r="H277" t="s">
        <v>590</v>
      </c>
      <c r="I277" t="s">
        <v>805</v>
      </c>
      <c r="L277">
        <v>25</v>
      </c>
      <c r="M277">
        <v>8580.1</v>
      </c>
      <c r="R277">
        <v>-9</v>
      </c>
      <c r="S277">
        <v>-3088.84</v>
      </c>
      <c r="X277">
        <v>16</v>
      </c>
      <c r="Y277">
        <v>5491.26</v>
      </c>
      <c r="Z277" s="3">
        <f t="shared" si="4"/>
        <v>343.20375000000001</v>
      </c>
    </row>
    <row r="278" spans="1:26" hidden="1">
      <c r="A278" t="s">
        <v>707</v>
      </c>
      <c r="B278" s="6">
        <v>44287</v>
      </c>
      <c r="C278" s="6">
        <v>44651</v>
      </c>
      <c r="D278">
        <v>20210401</v>
      </c>
      <c r="E278">
        <v>20220331</v>
      </c>
      <c r="F278" t="s">
        <v>5957</v>
      </c>
      <c r="G278" t="s">
        <v>5958</v>
      </c>
      <c r="H278" t="s">
        <v>590</v>
      </c>
      <c r="I278" t="s">
        <v>805</v>
      </c>
      <c r="J278">
        <v>94</v>
      </c>
      <c r="K278">
        <v>1081.45</v>
      </c>
      <c r="X278">
        <v>94</v>
      </c>
      <c r="Y278">
        <v>1081.45</v>
      </c>
      <c r="Z278" s="3">
        <f t="shared" si="4"/>
        <v>11.504787234042555</v>
      </c>
    </row>
    <row r="279" spans="1:26" hidden="1">
      <c r="A279" t="s">
        <v>707</v>
      </c>
      <c r="B279" s="6">
        <v>44287</v>
      </c>
      <c r="C279" s="6">
        <v>44651</v>
      </c>
      <c r="D279">
        <v>20210401</v>
      </c>
      <c r="E279">
        <v>20220331</v>
      </c>
      <c r="F279" t="s">
        <v>1676</v>
      </c>
      <c r="G279" t="s">
        <v>1677</v>
      </c>
      <c r="H279" t="s">
        <v>590</v>
      </c>
      <c r="I279" t="s">
        <v>805</v>
      </c>
      <c r="J279">
        <v>75</v>
      </c>
      <c r="K279">
        <v>17850</v>
      </c>
      <c r="L279">
        <v>235</v>
      </c>
      <c r="M279">
        <v>55930.1</v>
      </c>
      <c r="N279">
        <v>-271</v>
      </c>
      <c r="O279">
        <v>-64498.11</v>
      </c>
      <c r="R279">
        <v>-20</v>
      </c>
      <c r="S279">
        <v>-4760.01</v>
      </c>
      <c r="X279">
        <v>19</v>
      </c>
      <c r="Y279">
        <v>4521.9799999999996</v>
      </c>
      <c r="Z279" s="3">
        <f t="shared" si="4"/>
        <v>238.00040590405905</v>
      </c>
    </row>
    <row r="280" spans="1:26" hidden="1">
      <c r="A280" t="s">
        <v>707</v>
      </c>
      <c r="B280" s="6">
        <v>44287</v>
      </c>
      <c r="C280" s="6">
        <v>44651</v>
      </c>
      <c r="D280">
        <v>20210401</v>
      </c>
      <c r="E280">
        <v>20220331</v>
      </c>
      <c r="F280" t="s">
        <v>1678</v>
      </c>
      <c r="G280" t="s">
        <v>1679</v>
      </c>
      <c r="H280" t="s">
        <v>590</v>
      </c>
      <c r="I280" t="s">
        <v>805</v>
      </c>
      <c r="J280">
        <v>10</v>
      </c>
      <c r="K280">
        <v>1800</v>
      </c>
      <c r="L280">
        <v>125</v>
      </c>
      <c r="M280">
        <v>23750</v>
      </c>
      <c r="N280">
        <v>-118</v>
      </c>
      <c r="O280">
        <v>-22320</v>
      </c>
      <c r="R280">
        <v>-4</v>
      </c>
      <c r="S280">
        <v>-760</v>
      </c>
      <c r="X280">
        <v>13</v>
      </c>
      <c r="Y280">
        <v>2470</v>
      </c>
      <c r="Z280" s="3">
        <f t="shared" si="4"/>
        <v>189.15254237288136</v>
      </c>
    </row>
    <row r="281" spans="1:26" hidden="1">
      <c r="A281" t="s">
        <v>707</v>
      </c>
      <c r="B281" s="6">
        <v>44287</v>
      </c>
      <c r="C281" s="6">
        <v>44651</v>
      </c>
      <c r="D281">
        <v>20210401</v>
      </c>
      <c r="E281">
        <v>20220331</v>
      </c>
      <c r="F281" t="s">
        <v>1680</v>
      </c>
      <c r="G281" t="s">
        <v>1681</v>
      </c>
      <c r="H281" t="s">
        <v>590</v>
      </c>
      <c r="I281" t="s">
        <v>805</v>
      </c>
      <c r="L281">
        <v>10</v>
      </c>
      <c r="M281">
        <v>7110.2</v>
      </c>
      <c r="N281">
        <v>-7</v>
      </c>
      <c r="O281">
        <v>-4977.1400000000003</v>
      </c>
      <c r="X281">
        <v>3</v>
      </c>
      <c r="Y281">
        <v>2133.06</v>
      </c>
      <c r="Z281" s="3">
        <f t="shared" si="4"/>
        <v>711.0200000000001</v>
      </c>
    </row>
    <row r="282" spans="1:26" hidden="1">
      <c r="A282" t="s">
        <v>707</v>
      </c>
      <c r="B282" s="6">
        <v>44287</v>
      </c>
      <c r="C282" s="6">
        <v>44651</v>
      </c>
      <c r="D282">
        <v>20210401</v>
      </c>
      <c r="E282">
        <v>20220331</v>
      </c>
      <c r="F282" t="s">
        <v>1682</v>
      </c>
      <c r="G282" t="s">
        <v>1683</v>
      </c>
      <c r="H282" t="s">
        <v>590</v>
      </c>
      <c r="I282" t="s">
        <v>805</v>
      </c>
      <c r="L282">
        <v>25</v>
      </c>
      <c r="M282">
        <v>7575</v>
      </c>
      <c r="N282">
        <v>-6</v>
      </c>
      <c r="O282">
        <v>-1818</v>
      </c>
      <c r="R282">
        <v>-13</v>
      </c>
      <c r="S282">
        <v>-3939</v>
      </c>
      <c r="X282">
        <v>6</v>
      </c>
      <c r="Y282">
        <v>1818</v>
      </c>
      <c r="Z282" s="3">
        <f t="shared" si="4"/>
        <v>303</v>
      </c>
    </row>
    <row r="283" spans="1:26" hidden="1">
      <c r="A283" t="s">
        <v>707</v>
      </c>
      <c r="B283" s="6">
        <v>44287</v>
      </c>
      <c r="C283" s="6">
        <v>44651</v>
      </c>
      <c r="D283">
        <v>20210401</v>
      </c>
      <c r="E283">
        <v>20220331</v>
      </c>
      <c r="F283" t="s">
        <v>1684</v>
      </c>
      <c r="G283" t="s">
        <v>1685</v>
      </c>
      <c r="H283" t="s">
        <v>590</v>
      </c>
      <c r="I283" t="s">
        <v>805</v>
      </c>
      <c r="J283">
        <v>3</v>
      </c>
      <c r="K283">
        <v>705.13</v>
      </c>
      <c r="L283">
        <v>30</v>
      </c>
      <c r="M283">
        <v>9479.6</v>
      </c>
      <c r="N283">
        <v>-13</v>
      </c>
      <c r="O283">
        <v>-4036.98</v>
      </c>
      <c r="X283">
        <v>20</v>
      </c>
      <c r="Y283">
        <v>6147.75</v>
      </c>
      <c r="Z283" s="3">
        <f t="shared" si="4"/>
        <v>310.53692307692307</v>
      </c>
    </row>
    <row r="284" spans="1:26" hidden="1">
      <c r="A284" t="s">
        <v>707</v>
      </c>
      <c r="B284" s="6">
        <v>44287</v>
      </c>
      <c r="C284" s="6">
        <v>44651</v>
      </c>
      <c r="D284">
        <v>20210401</v>
      </c>
      <c r="E284">
        <v>20220331</v>
      </c>
      <c r="F284" t="s">
        <v>1692</v>
      </c>
      <c r="G284" t="s">
        <v>1693</v>
      </c>
      <c r="H284" t="s">
        <v>590</v>
      </c>
      <c r="I284" t="s">
        <v>805</v>
      </c>
      <c r="L284">
        <v>85</v>
      </c>
      <c r="M284">
        <v>39675.480000000003</v>
      </c>
      <c r="N284">
        <v>-18</v>
      </c>
      <c r="O284">
        <v>-9852.44</v>
      </c>
      <c r="R284">
        <v>-30</v>
      </c>
      <c r="S284">
        <v>-13878.43</v>
      </c>
      <c r="X284">
        <v>37</v>
      </c>
      <c r="Y284">
        <v>15944.61</v>
      </c>
      <c r="Z284" s="3">
        <f t="shared" si="4"/>
        <v>547.35777777777776</v>
      </c>
    </row>
    <row r="285" spans="1:26" hidden="1">
      <c r="A285" t="s">
        <v>707</v>
      </c>
      <c r="B285" s="6">
        <v>44287</v>
      </c>
      <c r="C285" s="6">
        <v>44651</v>
      </c>
      <c r="D285">
        <v>20210401</v>
      </c>
      <c r="E285">
        <v>20220331</v>
      </c>
      <c r="F285" t="s">
        <v>1708</v>
      </c>
      <c r="G285" t="s">
        <v>1709</v>
      </c>
      <c r="H285" t="s">
        <v>590</v>
      </c>
      <c r="I285" t="s">
        <v>805</v>
      </c>
      <c r="L285">
        <v>25</v>
      </c>
      <c r="M285">
        <v>14255</v>
      </c>
      <c r="N285">
        <v>-3</v>
      </c>
      <c r="O285">
        <v>-1710.6</v>
      </c>
      <c r="X285">
        <v>22</v>
      </c>
      <c r="Y285">
        <v>12544.4</v>
      </c>
      <c r="Z285" s="3">
        <f t="shared" si="4"/>
        <v>570.19999999999993</v>
      </c>
    </row>
    <row r="286" spans="1:26" hidden="1">
      <c r="A286" t="s">
        <v>707</v>
      </c>
      <c r="B286" s="6">
        <v>44287</v>
      </c>
      <c r="C286" s="6">
        <v>44651</v>
      </c>
      <c r="D286">
        <v>20210401</v>
      </c>
      <c r="E286">
        <v>20220331</v>
      </c>
      <c r="F286" t="s">
        <v>1724</v>
      </c>
      <c r="G286" t="s">
        <v>1725</v>
      </c>
      <c r="H286" t="s">
        <v>590</v>
      </c>
      <c r="I286" t="s">
        <v>805</v>
      </c>
      <c r="L286">
        <v>25</v>
      </c>
      <c r="M286">
        <v>7620</v>
      </c>
      <c r="X286">
        <v>25</v>
      </c>
      <c r="Y286">
        <v>7620</v>
      </c>
      <c r="Z286" s="3">
        <f t="shared" si="4"/>
        <v>304.8</v>
      </c>
    </row>
    <row r="287" spans="1:26" hidden="1">
      <c r="A287" t="s">
        <v>707</v>
      </c>
      <c r="B287" s="6">
        <v>44287</v>
      </c>
      <c r="C287" s="6">
        <v>44651</v>
      </c>
      <c r="D287">
        <v>20210401</v>
      </c>
      <c r="E287">
        <v>20220331</v>
      </c>
      <c r="F287" t="s">
        <v>5959</v>
      </c>
      <c r="G287" t="s">
        <v>5960</v>
      </c>
      <c r="H287" t="s">
        <v>590</v>
      </c>
      <c r="I287" t="s">
        <v>805</v>
      </c>
      <c r="L287">
        <v>25</v>
      </c>
      <c r="M287">
        <v>550</v>
      </c>
      <c r="N287">
        <v>-25</v>
      </c>
      <c r="O287">
        <v>-550</v>
      </c>
      <c r="Z287" s="3">
        <f t="shared" si="4"/>
        <v>22</v>
      </c>
    </row>
    <row r="288" spans="1:26" hidden="1">
      <c r="A288" t="s">
        <v>707</v>
      </c>
      <c r="B288" s="6">
        <v>44287</v>
      </c>
      <c r="C288" s="6">
        <v>44651</v>
      </c>
      <c r="D288">
        <v>20210401</v>
      </c>
      <c r="E288">
        <v>20220331</v>
      </c>
      <c r="F288" t="s">
        <v>5961</v>
      </c>
      <c r="G288" t="s">
        <v>5962</v>
      </c>
      <c r="H288" t="s">
        <v>590</v>
      </c>
      <c r="I288" t="s">
        <v>805</v>
      </c>
      <c r="L288">
        <v>25</v>
      </c>
      <c r="M288">
        <v>475</v>
      </c>
      <c r="N288">
        <v>-25</v>
      </c>
      <c r="O288">
        <v>-475</v>
      </c>
      <c r="Z288" s="3">
        <f t="shared" si="4"/>
        <v>19</v>
      </c>
    </row>
    <row r="289" spans="1:26" hidden="1">
      <c r="A289" t="s">
        <v>707</v>
      </c>
      <c r="B289" s="6">
        <v>44287</v>
      </c>
      <c r="C289" s="6">
        <v>44651</v>
      </c>
      <c r="D289">
        <v>20210401</v>
      </c>
      <c r="E289">
        <v>20220331</v>
      </c>
      <c r="F289" t="s">
        <v>5963</v>
      </c>
      <c r="G289" t="s">
        <v>5964</v>
      </c>
      <c r="H289" t="s">
        <v>590</v>
      </c>
      <c r="I289" t="s">
        <v>805</v>
      </c>
      <c r="J289">
        <v>50</v>
      </c>
      <c r="K289">
        <v>1300</v>
      </c>
      <c r="X289">
        <v>50</v>
      </c>
      <c r="Y289">
        <v>1300</v>
      </c>
      <c r="Z289" s="3">
        <f t="shared" si="4"/>
        <v>26</v>
      </c>
    </row>
    <row r="290" spans="1:26" hidden="1">
      <c r="A290" t="s">
        <v>707</v>
      </c>
      <c r="B290" s="6">
        <v>44287</v>
      </c>
      <c r="C290" s="6">
        <v>44651</v>
      </c>
      <c r="D290">
        <v>20210401</v>
      </c>
      <c r="E290">
        <v>20220331</v>
      </c>
      <c r="F290" t="s">
        <v>5965</v>
      </c>
      <c r="G290" t="s">
        <v>5966</v>
      </c>
      <c r="H290" t="s">
        <v>590</v>
      </c>
      <c r="I290" t="s">
        <v>805</v>
      </c>
      <c r="J290">
        <v>50</v>
      </c>
      <c r="K290">
        <v>1300</v>
      </c>
      <c r="X290">
        <v>50</v>
      </c>
      <c r="Y290">
        <v>1300</v>
      </c>
      <c r="Z290" s="3">
        <f t="shared" si="4"/>
        <v>26</v>
      </c>
    </row>
    <row r="291" spans="1:26" hidden="1">
      <c r="A291" t="s">
        <v>707</v>
      </c>
      <c r="B291" s="6">
        <v>44287</v>
      </c>
      <c r="C291" s="6">
        <v>44651</v>
      </c>
      <c r="D291">
        <v>20210401</v>
      </c>
      <c r="E291">
        <v>20220331</v>
      </c>
      <c r="F291" t="s">
        <v>5967</v>
      </c>
      <c r="G291" t="s">
        <v>5968</v>
      </c>
      <c r="H291" t="s">
        <v>590</v>
      </c>
      <c r="I291" t="s">
        <v>805</v>
      </c>
      <c r="J291">
        <v>50</v>
      </c>
      <c r="K291">
        <v>1300</v>
      </c>
      <c r="X291">
        <v>50</v>
      </c>
      <c r="Y291">
        <v>1300</v>
      </c>
      <c r="Z291" s="3">
        <f t="shared" si="4"/>
        <v>26</v>
      </c>
    </row>
    <row r="292" spans="1:26" hidden="1">
      <c r="A292" t="s">
        <v>707</v>
      </c>
      <c r="B292" s="6">
        <v>44287</v>
      </c>
      <c r="C292" s="6">
        <v>44651</v>
      </c>
      <c r="D292">
        <v>20210401</v>
      </c>
      <c r="E292">
        <v>20220331</v>
      </c>
      <c r="F292" t="s">
        <v>5969</v>
      </c>
      <c r="G292" t="s">
        <v>5970</v>
      </c>
      <c r="H292" t="s">
        <v>590</v>
      </c>
      <c r="I292" t="s">
        <v>805</v>
      </c>
      <c r="J292">
        <v>50</v>
      </c>
      <c r="K292">
        <v>1300</v>
      </c>
      <c r="X292">
        <v>50</v>
      </c>
      <c r="Y292">
        <v>1300</v>
      </c>
      <c r="Z292" s="3">
        <f t="shared" si="4"/>
        <v>26</v>
      </c>
    </row>
    <row r="293" spans="1:26" hidden="1">
      <c r="A293" t="s">
        <v>707</v>
      </c>
      <c r="B293" s="6">
        <v>44287</v>
      </c>
      <c r="C293" s="6">
        <v>44651</v>
      </c>
      <c r="D293">
        <v>20210401</v>
      </c>
      <c r="E293">
        <v>20220331</v>
      </c>
      <c r="F293" t="s">
        <v>5971</v>
      </c>
      <c r="G293" t="s">
        <v>5972</v>
      </c>
      <c r="H293" t="s">
        <v>590</v>
      </c>
      <c r="I293" t="s">
        <v>805</v>
      </c>
      <c r="L293">
        <v>25</v>
      </c>
      <c r="M293">
        <v>450</v>
      </c>
      <c r="N293">
        <v>-25</v>
      </c>
      <c r="O293">
        <v>-450</v>
      </c>
      <c r="Z293" s="3">
        <f t="shared" si="4"/>
        <v>18</v>
      </c>
    </row>
    <row r="294" spans="1:26" hidden="1">
      <c r="A294" t="s">
        <v>707</v>
      </c>
      <c r="B294" s="6">
        <v>44287</v>
      </c>
      <c r="C294" s="6">
        <v>44651</v>
      </c>
      <c r="D294">
        <v>20210401</v>
      </c>
      <c r="E294">
        <v>20220331</v>
      </c>
      <c r="F294" t="s">
        <v>5973</v>
      </c>
      <c r="G294" t="s">
        <v>5974</v>
      </c>
      <c r="H294" t="s">
        <v>590</v>
      </c>
      <c r="I294" t="s">
        <v>805</v>
      </c>
      <c r="L294">
        <v>25</v>
      </c>
      <c r="M294">
        <v>462.5</v>
      </c>
      <c r="N294">
        <v>-25</v>
      </c>
      <c r="O294">
        <v>-462.5</v>
      </c>
      <c r="Z294" s="3">
        <f t="shared" si="4"/>
        <v>18.5</v>
      </c>
    </row>
    <row r="295" spans="1:26" hidden="1">
      <c r="A295" t="s">
        <v>707</v>
      </c>
      <c r="B295" s="6">
        <v>44287</v>
      </c>
      <c r="C295" s="6">
        <v>44651</v>
      </c>
      <c r="D295">
        <v>20210401</v>
      </c>
      <c r="E295">
        <v>20220331</v>
      </c>
      <c r="F295" t="s">
        <v>5975</v>
      </c>
      <c r="G295" t="s">
        <v>5976</v>
      </c>
      <c r="H295" t="s">
        <v>590</v>
      </c>
      <c r="I295" t="s">
        <v>805</v>
      </c>
      <c r="L295">
        <v>15</v>
      </c>
      <c r="M295">
        <v>225</v>
      </c>
      <c r="N295">
        <v>-15</v>
      </c>
      <c r="O295">
        <v>-225</v>
      </c>
      <c r="Z295" s="3">
        <f t="shared" si="4"/>
        <v>15</v>
      </c>
    </row>
    <row r="296" spans="1:26" hidden="1">
      <c r="A296" t="s">
        <v>707</v>
      </c>
      <c r="B296" s="6">
        <v>44287</v>
      </c>
      <c r="C296" s="6">
        <v>44651</v>
      </c>
      <c r="D296">
        <v>20210401</v>
      </c>
      <c r="E296">
        <v>20220331</v>
      </c>
      <c r="F296" t="s">
        <v>1741</v>
      </c>
      <c r="G296" t="s">
        <v>1742</v>
      </c>
      <c r="H296" t="s">
        <v>590</v>
      </c>
      <c r="I296" t="s">
        <v>1740</v>
      </c>
      <c r="J296">
        <v>1</v>
      </c>
      <c r="K296">
        <v>366.61</v>
      </c>
      <c r="L296">
        <v>2</v>
      </c>
      <c r="M296">
        <v>750</v>
      </c>
      <c r="N296">
        <v>-1</v>
      </c>
      <c r="O296">
        <v>-372.2</v>
      </c>
      <c r="X296">
        <v>2</v>
      </c>
      <c r="Y296">
        <v>744.41</v>
      </c>
      <c r="Z296" s="3">
        <f t="shared" si="4"/>
        <v>372.2</v>
      </c>
    </row>
    <row r="297" spans="1:26" hidden="1">
      <c r="A297" t="s">
        <v>707</v>
      </c>
      <c r="B297" s="6">
        <v>44287</v>
      </c>
      <c r="C297" s="6">
        <v>44651</v>
      </c>
      <c r="D297">
        <v>20210401</v>
      </c>
      <c r="E297">
        <v>20220331</v>
      </c>
      <c r="F297" t="s">
        <v>5977</v>
      </c>
      <c r="G297" t="s">
        <v>5978</v>
      </c>
      <c r="H297" t="s">
        <v>590</v>
      </c>
      <c r="I297" t="s">
        <v>1740</v>
      </c>
      <c r="J297">
        <v>1</v>
      </c>
      <c r="K297">
        <v>450</v>
      </c>
      <c r="N297">
        <v>-1</v>
      </c>
      <c r="O297">
        <v>-450</v>
      </c>
      <c r="Z297" s="3">
        <f t="shared" si="4"/>
        <v>450</v>
      </c>
    </row>
    <row r="298" spans="1:26" hidden="1">
      <c r="A298" t="s">
        <v>707</v>
      </c>
      <c r="B298" s="6">
        <v>44287</v>
      </c>
      <c r="C298" s="6">
        <v>44651</v>
      </c>
      <c r="D298">
        <v>20210401</v>
      </c>
      <c r="E298">
        <v>20220331</v>
      </c>
      <c r="F298" t="s">
        <v>5979</v>
      </c>
      <c r="G298" t="s">
        <v>5980</v>
      </c>
      <c r="H298" t="s">
        <v>590</v>
      </c>
      <c r="I298" t="s">
        <v>1740</v>
      </c>
      <c r="J298">
        <v>1</v>
      </c>
      <c r="K298">
        <v>660</v>
      </c>
      <c r="X298">
        <v>1</v>
      </c>
      <c r="Y298">
        <v>660</v>
      </c>
      <c r="Z298" s="3">
        <f t="shared" si="4"/>
        <v>660</v>
      </c>
    </row>
    <row r="299" spans="1:26" hidden="1">
      <c r="A299" t="s">
        <v>707</v>
      </c>
      <c r="B299" s="6">
        <v>44287</v>
      </c>
      <c r="C299" s="6">
        <v>44651</v>
      </c>
      <c r="D299">
        <v>20210401</v>
      </c>
      <c r="E299">
        <v>20220331</v>
      </c>
      <c r="F299" t="s">
        <v>5981</v>
      </c>
      <c r="G299" t="s">
        <v>5982</v>
      </c>
      <c r="H299" t="s">
        <v>590</v>
      </c>
      <c r="I299" t="s">
        <v>805</v>
      </c>
      <c r="J299">
        <v>1</v>
      </c>
      <c r="K299">
        <v>278</v>
      </c>
      <c r="N299">
        <v>-1</v>
      </c>
      <c r="O299">
        <v>-278</v>
      </c>
      <c r="Z299" s="3">
        <f t="shared" si="4"/>
        <v>278</v>
      </c>
    </row>
    <row r="300" spans="1:26" hidden="1">
      <c r="A300" t="s">
        <v>707</v>
      </c>
      <c r="B300" s="6">
        <v>44287</v>
      </c>
      <c r="C300" s="6">
        <v>44651</v>
      </c>
      <c r="D300">
        <v>20210401</v>
      </c>
      <c r="E300">
        <v>20220331</v>
      </c>
      <c r="F300" t="s">
        <v>5983</v>
      </c>
      <c r="G300" t="s">
        <v>5984</v>
      </c>
      <c r="I300" t="s">
        <v>1740</v>
      </c>
      <c r="J300">
        <v>1</v>
      </c>
      <c r="K300">
        <v>175</v>
      </c>
      <c r="N300">
        <v>-1</v>
      </c>
      <c r="O300">
        <v>-175</v>
      </c>
      <c r="Z300" s="3">
        <f t="shared" si="4"/>
        <v>175</v>
      </c>
    </row>
    <row r="301" spans="1:26" hidden="1">
      <c r="A301" t="s">
        <v>707</v>
      </c>
      <c r="B301" s="6">
        <v>44287</v>
      </c>
      <c r="C301" s="6">
        <v>44651</v>
      </c>
      <c r="D301">
        <v>20210401</v>
      </c>
      <c r="E301">
        <v>20220331</v>
      </c>
      <c r="F301" t="s">
        <v>5985</v>
      </c>
      <c r="G301" t="s">
        <v>5986</v>
      </c>
      <c r="H301" t="s">
        <v>590</v>
      </c>
      <c r="I301" t="s">
        <v>805</v>
      </c>
      <c r="L301">
        <v>3</v>
      </c>
      <c r="M301">
        <v>1098</v>
      </c>
      <c r="X301">
        <v>3</v>
      </c>
      <c r="Y301">
        <v>1098</v>
      </c>
      <c r="Z301" s="3">
        <f t="shared" si="4"/>
        <v>366</v>
      </c>
    </row>
    <row r="302" spans="1:26" hidden="1">
      <c r="A302" t="s">
        <v>707</v>
      </c>
      <c r="B302" s="6">
        <v>44287</v>
      </c>
      <c r="C302" s="6">
        <v>44651</v>
      </c>
      <c r="D302">
        <v>20210401</v>
      </c>
      <c r="E302">
        <v>20220331</v>
      </c>
      <c r="F302" t="s">
        <v>5987</v>
      </c>
      <c r="G302" t="s">
        <v>5988</v>
      </c>
      <c r="H302" t="s">
        <v>590</v>
      </c>
      <c r="I302" t="s">
        <v>805</v>
      </c>
      <c r="J302">
        <v>1</v>
      </c>
      <c r="K302">
        <v>328.59</v>
      </c>
      <c r="N302">
        <v>-1</v>
      </c>
      <c r="O302">
        <v>-328.6</v>
      </c>
      <c r="Y302">
        <v>-0.01</v>
      </c>
      <c r="Z302" s="3">
        <f t="shared" si="4"/>
        <v>328.6</v>
      </c>
    </row>
    <row r="303" spans="1:26" hidden="1">
      <c r="A303" t="s">
        <v>707</v>
      </c>
      <c r="B303" s="6">
        <v>44287</v>
      </c>
      <c r="C303" s="6">
        <v>44651</v>
      </c>
      <c r="D303">
        <v>20210401</v>
      </c>
      <c r="E303">
        <v>20220331</v>
      </c>
      <c r="F303" t="s">
        <v>5989</v>
      </c>
      <c r="G303" t="s">
        <v>5990</v>
      </c>
      <c r="H303" t="s">
        <v>613</v>
      </c>
      <c r="I303" t="s">
        <v>805</v>
      </c>
      <c r="J303">
        <v>26</v>
      </c>
      <c r="K303">
        <v>1116.1300000000001</v>
      </c>
      <c r="N303">
        <v>-0.5</v>
      </c>
      <c r="O303">
        <v>-21.48</v>
      </c>
      <c r="X303">
        <v>25.5</v>
      </c>
      <c r="Y303">
        <v>1094.6500000000001</v>
      </c>
      <c r="Z303" s="3">
        <f t="shared" si="4"/>
        <v>42.96</v>
      </c>
    </row>
    <row r="304" spans="1:26" hidden="1">
      <c r="A304" t="s">
        <v>707</v>
      </c>
      <c r="B304" s="6">
        <v>44287</v>
      </c>
      <c r="C304" s="6">
        <v>44651</v>
      </c>
      <c r="D304">
        <v>20210401</v>
      </c>
      <c r="E304">
        <v>20220331</v>
      </c>
      <c r="F304" t="s">
        <v>5991</v>
      </c>
      <c r="G304" t="s">
        <v>5992</v>
      </c>
      <c r="H304" t="s">
        <v>613</v>
      </c>
      <c r="I304" t="s">
        <v>805</v>
      </c>
      <c r="J304">
        <v>29.2</v>
      </c>
      <c r="K304">
        <v>929.26</v>
      </c>
      <c r="N304">
        <v>-0.5</v>
      </c>
      <c r="O304">
        <v>-15.9</v>
      </c>
      <c r="X304">
        <v>28.7</v>
      </c>
      <c r="Y304">
        <v>913.36</v>
      </c>
      <c r="Z304" s="3">
        <f t="shared" si="4"/>
        <v>31.8</v>
      </c>
    </row>
    <row r="305" spans="1:26" hidden="1">
      <c r="A305" t="s">
        <v>707</v>
      </c>
      <c r="B305" s="6">
        <v>44287</v>
      </c>
      <c r="C305" s="6">
        <v>44651</v>
      </c>
      <c r="D305">
        <v>20210401</v>
      </c>
      <c r="E305">
        <v>20220331</v>
      </c>
      <c r="F305" t="s">
        <v>5993</v>
      </c>
      <c r="G305" t="s">
        <v>5994</v>
      </c>
      <c r="H305" t="s">
        <v>590</v>
      </c>
      <c r="I305" t="s">
        <v>1740</v>
      </c>
      <c r="J305">
        <v>2</v>
      </c>
      <c r="K305">
        <v>1200</v>
      </c>
      <c r="N305">
        <v>-2</v>
      </c>
      <c r="O305">
        <v>-1200</v>
      </c>
      <c r="Z305" s="3">
        <f t="shared" si="4"/>
        <v>600</v>
      </c>
    </row>
    <row r="306" spans="1:26" hidden="1">
      <c r="A306" t="s">
        <v>707</v>
      </c>
      <c r="B306" s="6">
        <v>44287</v>
      </c>
      <c r="C306" s="6">
        <v>44651</v>
      </c>
      <c r="D306">
        <v>20210401</v>
      </c>
      <c r="E306">
        <v>20220331</v>
      </c>
      <c r="F306" t="s">
        <v>5995</v>
      </c>
      <c r="G306" t="s">
        <v>5996</v>
      </c>
      <c r="H306" t="s">
        <v>590</v>
      </c>
      <c r="I306" t="s">
        <v>805</v>
      </c>
      <c r="L306">
        <v>2</v>
      </c>
      <c r="M306">
        <v>1200</v>
      </c>
      <c r="N306">
        <v>-1</v>
      </c>
      <c r="O306">
        <v>-600</v>
      </c>
      <c r="X306">
        <v>1</v>
      </c>
      <c r="Y306">
        <v>600</v>
      </c>
      <c r="Z306" s="3">
        <f t="shared" si="4"/>
        <v>600</v>
      </c>
    </row>
    <row r="307" spans="1:26" hidden="1">
      <c r="A307" t="s">
        <v>707</v>
      </c>
      <c r="B307" s="6">
        <v>44287</v>
      </c>
      <c r="C307" s="6">
        <v>44651</v>
      </c>
      <c r="D307">
        <v>20210401</v>
      </c>
      <c r="E307">
        <v>20220331</v>
      </c>
      <c r="F307" t="s">
        <v>5997</v>
      </c>
      <c r="G307" t="s">
        <v>5998</v>
      </c>
      <c r="H307" t="s">
        <v>590</v>
      </c>
      <c r="I307" t="s">
        <v>1740</v>
      </c>
      <c r="L307">
        <v>1</v>
      </c>
      <c r="M307">
        <v>770</v>
      </c>
      <c r="X307">
        <v>1</v>
      </c>
      <c r="Y307">
        <v>770</v>
      </c>
      <c r="Z307" s="3">
        <f t="shared" si="4"/>
        <v>770</v>
      </c>
    </row>
    <row r="308" spans="1:26" hidden="1">
      <c r="A308" t="s">
        <v>707</v>
      </c>
      <c r="B308" s="6">
        <v>44287</v>
      </c>
      <c r="C308" s="6">
        <v>44651</v>
      </c>
      <c r="D308">
        <v>20210401</v>
      </c>
      <c r="E308">
        <v>20220331</v>
      </c>
      <c r="F308" t="s">
        <v>5999</v>
      </c>
      <c r="G308" t="s">
        <v>6000</v>
      </c>
      <c r="H308" t="s">
        <v>590</v>
      </c>
      <c r="I308" t="s">
        <v>805</v>
      </c>
      <c r="J308">
        <v>1</v>
      </c>
      <c r="K308">
        <v>250</v>
      </c>
      <c r="X308">
        <v>1</v>
      </c>
      <c r="Y308">
        <v>250</v>
      </c>
      <c r="Z308" s="3">
        <f t="shared" si="4"/>
        <v>250</v>
      </c>
    </row>
    <row r="309" spans="1:26" hidden="1">
      <c r="A309" t="s">
        <v>707</v>
      </c>
      <c r="B309" s="6">
        <v>44287</v>
      </c>
      <c r="C309" s="6">
        <v>44651</v>
      </c>
      <c r="D309">
        <v>20210401</v>
      </c>
      <c r="E309">
        <v>20220331</v>
      </c>
      <c r="F309" t="s">
        <v>6001</v>
      </c>
      <c r="G309" t="s">
        <v>6002</v>
      </c>
      <c r="H309" t="s">
        <v>590</v>
      </c>
      <c r="I309" t="s">
        <v>805</v>
      </c>
      <c r="J309">
        <v>3</v>
      </c>
      <c r="K309">
        <v>3450</v>
      </c>
      <c r="N309">
        <v>-1</v>
      </c>
      <c r="O309">
        <v>-1150</v>
      </c>
      <c r="X309">
        <v>2</v>
      </c>
      <c r="Y309">
        <v>2300</v>
      </c>
      <c r="Z309" s="3">
        <f t="shared" si="4"/>
        <v>1150</v>
      </c>
    </row>
    <row r="310" spans="1:26" hidden="1">
      <c r="A310" t="s">
        <v>707</v>
      </c>
      <c r="B310" s="6">
        <v>44287</v>
      </c>
      <c r="C310" s="6">
        <v>44651</v>
      </c>
      <c r="D310">
        <v>20210401</v>
      </c>
      <c r="E310">
        <v>20220331</v>
      </c>
      <c r="F310" t="s">
        <v>6003</v>
      </c>
      <c r="G310" t="s">
        <v>6004</v>
      </c>
      <c r="H310" t="s">
        <v>590</v>
      </c>
      <c r="I310" t="s">
        <v>805</v>
      </c>
      <c r="L310">
        <v>2</v>
      </c>
      <c r="M310">
        <v>496</v>
      </c>
      <c r="N310">
        <v>-1</v>
      </c>
      <c r="O310">
        <v>-248</v>
      </c>
      <c r="X310">
        <v>1</v>
      </c>
      <c r="Y310">
        <v>248</v>
      </c>
      <c r="Z310" s="3">
        <f t="shared" si="4"/>
        <v>248</v>
      </c>
    </row>
    <row r="311" spans="1:26" hidden="1">
      <c r="A311" t="s">
        <v>707</v>
      </c>
      <c r="B311" s="6">
        <v>44287</v>
      </c>
      <c r="C311" s="6">
        <v>44651</v>
      </c>
      <c r="D311">
        <v>20210401</v>
      </c>
      <c r="E311">
        <v>20220331</v>
      </c>
      <c r="F311" t="s">
        <v>1753</v>
      </c>
      <c r="G311" t="s">
        <v>1754</v>
      </c>
      <c r="H311" t="s">
        <v>590</v>
      </c>
      <c r="I311" t="s">
        <v>1740</v>
      </c>
      <c r="L311">
        <v>1</v>
      </c>
      <c r="M311">
        <v>1039.68</v>
      </c>
      <c r="N311">
        <v>-1</v>
      </c>
      <c r="O311">
        <v>-1039.68</v>
      </c>
      <c r="Z311" s="3">
        <f t="shared" si="4"/>
        <v>1039.68</v>
      </c>
    </row>
    <row r="312" spans="1:26" hidden="1">
      <c r="A312" t="s">
        <v>707</v>
      </c>
      <c r="B312" s="6">
        <v>44287</v>
      </c>
      <c r="C312" s="6">
        <v>44651</v>
      </c>
      <c r="D312">
        <v>20210401</v>
      </c>
      <c r="E312">
        <v>20220331</v>
      </c>
      <c r="F312" t="s">
        <v>6005</v>
      </c>
      <c r="G312" t="s">
        <v>6006</v>
      </c>
      <c r="H312" t="s">
        <v>590</v>
      </c>
      <c r="I312" t="s">
        <v>1740</v>
      </c>
      <c r="L312">
        <v>1</v>
      </c>
      <c r="M312">
        <v>860</v>
      </c>
      <c r="X312">
        <v>1</v>
      </c>
      <c r="Y312">
        <v>860</v>
      </c>
      <c r="Z312" s="3">
        <f t="shared" si="4"/>
        <v>860</v>
      </c>
    </row>
    <row r="313" spans="1:26" hidden="1">
      <c r="A313" t="s">
        <v>707</v>
      </c>
      <c r="B313" s="6">
        <v>44287</v>
      </c>
      <c r="C313" s="6">
        <v>44651</v>
      </c>
      <c r="D313">
        <v>20210401</v>
      </c>
      <c r="E313">
        <v>20220331</v>
      </c>
      <c r="F313" t="s">
        <v>6007</v>
      </c>
      <c r="G313" t="s">
        <v>6008</v>
      </c>
      <c r="H313" t="s">
        <v>590</v>
      </c>
      <c r="I313" t="s">
        <v>805</v>
      </c>
      <c r="J313">
        <v>1</v>
      </c>
      <c r="K313">
        <v>3349.72</v>
      </c>
      <c r="X313">
        <v>1</v>
      </c>
      <c r="Y313">
        <v>3349.72</v>
      </c>
      <c r="Z313" s="3">
        <f t="shared" si="4"/>
        <v>3349.72</v>
      </c>
    </row>
    <row r="314" spans="1:26" hidden="1">
      <c r="A314" t="s">
        <v>707</v>
      </c>
      <c r="B314" s="6">
        <v>44287</v>
      </c>
      <c r="C314" s="6">
        <v>44651</v>
      </c>
      <c r="D314">
        <v>20210401</v>
      </c>
      <c r="E314">
        <v>20220331</v>
      </c>
      <c r="F314" t="s">
        <v>6009</v>
      </c>
      <c r="G314" t="s">
        <v>6010</v>
      </c>
      <c r="H314" t="s">
        <v>590</v>
      </c>
      <c r="I314" t="s">
        <v>805</v>
      </c>
      <c r="J314">
        <v>1</v>
      </c>
      <c r="K314">
        <v>320.39999999999998</v>
      </c>
      <c r="X314">
        <v>1</v>
      </c>
      <c r="Y314">
        <v>320.39999999999998</v>
      </c>
      <c r="Z314" s="3">
        <f t="shared" si="4"/>
        <v>320.39999999999998</v>
      </c>
    </row>
    <row r="315" spans="1:26" hidden="1">
      <c r="A315" t="s">
        <v>707</v>
      </c>
      <c r="B315" s="6">
        <v>44287</v>
      </c>
      <c r="C315" s="6">
        <v>44651</v>
      </c>
      <c r="D315">
        <v>20210401</v>
      </c>
      <c r="E315">
        <v>20220331</v>
      </c>
      <c r="F315" t="s">
        <v>1757</v>
      </c>
      <c r="G315" t="s">
        <v>1758</v>
      </c>
      <c r="H315" t="s">
        <v>590</v>
      </c>
      <c r="I315" t="s">
        <v>1740</v>
      </c>
      <c r="L315">
        <v>1</v>
      </c>
      <c r="M315">
        <v>1240.6199999999999</v>
      </c>
      <c r="X315">
        <v>1</v>
      </c>
      <c r="Y315">
        <v>1240.6199999999999</v>
      </c>
      <c r="Z315" s="3">
        <f t="shared" si="4"/>
        <v>1240.6199999999999</v>
      </c>
    </row>
    <row r="316" spans="1:26" hidden="1">
      <c r="A316" t="s">
        <v>707</v>
      </c>
      <c r="B316" s="6">
        <v>44287</v>
      </c>
      <c r="C316" s="6">
        <v>44651</v>
      </c>
      <c r="D316">
        <v>20210401</v>
      </c>
      <c r="E316">
        <v>20220331</v>
      </c>
      <c r="F316" t="s">
        <v>1759</v>
      </c>
      <c r="G316" t="s">
        <v>1760</v>
      </c>
      <c r="H316" t="s">
        <v>590</v>
      </c>
      <c r="I316" t="s">
        <v>805</v>
      </c>
      <c r="J316">
        <v>1</v>
      </c>
      <c r="K316">
        <v>121.5</v>
      </c>
      <c r="X316">
        <v>1</v>
      </c>
      <c r="Y316">
        <v>121.5</v>
      </c>
      <c r="Z316" s="3">
        <f t="shared" si="4"/>
        <v>121.5</v>
      </c>
    </row>
    <row r="317" spans="1:26" hidden="1">
      <c r="A317" t="s">
        <v>707</v>
      </c>
      <c r="B317" s="6">
        <v>44287</v>
      </c>
      <c r="C317" s="6">
        <v>44651</v>
      </c>
      <c r="D317">
        <v>20210401</v>
      </c>
      <c r="E317">
        <v>20220331</v>
      </c>
      <c r="F317" t="s">
        <v>6011</v>
      </c>
      <c r="G317" t="s">
        <v>6012</v>
      </c>
      <c r="H317" t="s">
        <v>590</v>
      </c>
      <c r="I317" t="s">
        <v>1740</v>
      </c>
      <c r="L317">
        <v>3</v>
      </c>
      <c r="M317">
        <v>354.08</v>
      </c>
      <c r="N317">
        <v>-2</v>
      </c>
      <c r="O317">
        <v>-236.06</v>
      </c>
      <c r="X317">
        <v>1</v>
      </c>
      <c r="Y317">
        <v>118.02</v>
      </c>
      <c r="Z317" s="3">
        <f t="shared" si="4"/>
        <v>118.03</v>
      </c>
    </row>
    <row r="318" spans="1:26" hidden="1">
      <c r="A318" t="s">
        <v>707</v>
      </c>
      <c r="B318" s="6">
        <v>44287</v>
      </c>
      <c r="C318" s="6">
        <v>44651</v>
      </c>
      <c r="D318">
        <v>20210401</v>
      </c>
      <c r="E318">
        <v>20220331</v>
      </c>
      <c r="F318" t="s">
        <v>1761</v>
      </c>
      <c r="G318" t="s">
        <v>1762</v>
      </c>
      <c r="H318" t="s">
        <v>590</v>
      </c>
      <c r="I318" t="s">
        <v>1740</v>
      </c>
      <c r="J318">
        <v>1</v>
      </c>
      <c r="K318">
        <v>839.78</v>
      </c>
      <c r="X318">
        <v>1</v>
      </c>
      <c r="Y318">
        <v>839.78</v>
      </c>
      <c r="Z318" s="3">
        <f t="shared" si="4"/>
        <v>839.78</v>
      </c>
    </row>
    <row r="319" spans="1:26" hidden="1">
      <c r="A319" t="s">
        <v>707</v>
      </c>
      <c r="B319" s="6">
        <v>44287</v>
      </c>
      <c r="C319" s="6">
        <v>44651</v>
      </c>
      <c r="D319">
        <v>20210401</v>
      </c>
      <c r="E319">
        <v>20220331</v>
      </c>
      <c r="F319" t="s">
        <v>6013</v>
      </c>
      <c r="G319" t="s">
        <v>6014</v>
      </c>
      <c r="H319" t="s">
        <v>590</v>
      </c>
      <c r="I319" t="s">
        <v>1740</v>
      </c>
      <c r="L319">
        <v>2</v>
      </c>
      <c r="M319">
        <v>1090</v>
      </c>
      <c r="N319">
        <v>-1</v>
      </c>
      <c r="O319">
        <v>-545</v>
      </c>
      <c r="X319">
        <v>1</v>
      </c>
      <c r="Y319">
        <v>545</v>
      </c>
      <c r="Z319" s="3">
        <f t="shared" si="4"/>
        <v>545</v>
      </c>
    </row>
    <row r="320" spans="1:26" hidden="1">
      <c r="A320" t="s">
        <v>707</v>
      </c>
      <c r="B320" s="6">
        <v>44287</v>
      </c>
      <c r="C320" s="6">
        <v>44651</v>
      </c>
      <c r="D320">
        <v>20210401</v>
      </c>
      <c r="E320">
        <v>20220331</v>
      </c>
      <c r="F320" t="s">
        <v>6015</v>
      </c>
      <c r="G320" t="s">
        <v>6016</v>
      </c>
      <c r="H320" t="s">
        <v>590</v>
      </c>
      <c r="I320" t="s">
        <v>1740</v>
      </c>
      <c r="J320">
        <v>2</v>
      </c>
      <c r="K320">
        <v>650</v>
      </c>
      <c r="L320">
        <v>6</v>
      </c>
      <c r="M320">
        <v>2676</v>
      </c>
      <c r="N320">
        <v>-3</v>
      </c>
      <c r="O320">
        <v>-1163.23</v>
      </c>
      <c r="X320">
        <v>5</v>
      </c>
      <c r="Y320">
        <v>2162.77</v>
      </c>
      <c r="Z320" s="3">
        <f t="shared" si="4"/>
        <v>387.74333333333334</v>
      </c>
    </row>
    <row r="321" spans="1:26" hidden="1">
      <c r="A321" t="s">
        <v>707</v>
      </c>
      <c r="B321" s="6">
        <v>44287</v>
      </c>
      <c r="C321" s="6">
        <v>44651</v>
      </c>
      <c r="D321">
        <v>20210401</v>
      </c>
      <c r="E321">
        <v>20220331</v>
      </c>
      <c r="F321" t="s">
        <v>6017</v>
      </c>
      <c r="G321" t="s">
        <v>6018</v>
      </c>
      <c r="H321" t="s">
        <v>590</v>
      </c>
      <c r="I321" t="s">
        <v>1740</v>
      </c>
      <c r="J321">
        <v>1</v>
      </c>
      <c r="K321">
        <v>102</v>
      </c>
      <c r="X321">
        <v>1</v>
      </c>
      <c r="Y321">
        <v>102</v>
      </c>
      <c r="Z321" s="3">
        <f t="shared" si="4"/>
        <v>102</v>
      </c>
    </row>
    <row r="322" spans="1:26" hidden="1">
      <c r="A322" t="s">
        <v>707</v>
      </c>
      <c r="B322" s="6">
        <v>44287</v>
      </c>
      <c r="C322" s="6">
        <v>44651</v>
      </c>
      <c r="D322">
        <v>20210401</v>
      </c>
      <c r="E322">
        <v>20220331</v>
      </c>
      <c r="F322" t="s">
        <v>1763</v>
      </c>
      <c r="G322" t="s">
        <v>1764</v>
      </c>
      <c r="H322" t="s">
        <v>590</v>
      </c>
      <c r="I322" t="s">
        <v>805</v>
      </c>
      <c r="J322">
        <v>2</v>
      </c>
      <c r="K322">
        <v>2495.9699999999998</v>
      </c>
      <c r="L322">
        <v>2</v>
      </c>
      <c r="M322">
        <v>3600.2</v>
      </c>
      <c r="N322">
        <v>-4</v>
      </c>
      <c r="O322">
        <v>-6096.17</v>
      </c>
      <c r="Z322" s="3">
        <f t="shared" si="4"/>
        <v>1524.0425</v>
      </c>
    </row>
    <row r="323" spans="1:26" hidden="1">
      <c r="A323" t="s">
        <v>707</v>
      </c>
      <c r="B323" s="6">
        <v>44287</v>
      </c>
      <c r="C323" s="6">
        <v>44651</v>
      </c>
      <c r="D323">
        <v>20210401</v>
      </c>
      <c r="E323">
        <v>20220331</v>
      </c>
      <c r="F323" t="s">
        <v>1765</v>
      </c>
      <c r="G323" t="s">
        <v>1766</v>
      </c>
      <c r="H323" t="s">
        <v>590</v>
      </c>
      <c r="I323" t="s">
        <v>1740</v>
      </c>
      <c r="J323">
        <v>1</v>
      </c>
      <c r="K323">
        <v>200</v>
      </c>
      <c r="X323">
        <v>1</v>
      </c>
      <c r="Y323">
        <v>200</v>
      </c>
      <c r="Z323" s="3">
        <f t="shared" ref="Z323:Z386" si="5">IFERROR((O323+Q323)/(N323+P323),Y323/X323)</f>
        <v>200</v>
      </c>
    </row>
    <row r="324" spans="1:26" hidden="1">
      <c r="A324" t="s">
        <v>707</v>
      </c>
      <c r="B324" s="6">
        <v>44287</v>
      </c>
      <c r="C324" s="6">
        <v>44651</v>
      </c>
      <c r="D324">
        <v>20210401</v>
      </c>
      <c r="E324">
        <v>20220331</v>
      </c>
      <c r="F324" t="s">
        <v>1769</v>
      </c>
      <c r="G324" t="s">
        <v>1770</v>
      </c>
      <c r="H324" t="s">
        <v>590</v>
      </c>
      <c r="I324" t="s">
        <v>1740</v>
      </c>
      <c r="L324">
        <v>2</v>
      </c>
      <c r="M324">
        <v>568</v>
      </c>
      <c r="X324">
        <v>2</v>
      </c>
      <c r="Y324">
        <v>568</v>
      </c>
      <c r="Z324" s="3">
        <f t="shared" si="5"/>
        <v>284</v>
      </c>
    </row>
    <row r="325" spans="1:26" hidden="1">
      <c r="A325" t="s">
        <v>707</v>
      </c>
      <c r="B325" s="6">
        <v>44287</v>
      </c>
      <c r="C325" s="6">
        <v>44651</v>
      </c>
      <c r="D325">
        <v>20210401</v>
      </c>
      <c r="E325">
        <v>20220331</v>
      </c>
      <c r="F325" t="s">
        <v>1771</v>
      </c>
      <c r="G325" t="s">
        <v>1772</v>
      </c>
      <c r="H325" t="s">
        <v>590</v>
      </c>
      <c r="I325" t="s">
        <v>1740</v>
      </c>
      <c r="J325">
        <v>1</v>
      </c>
      <c r="K325">
        <v>275.5</v>
      </c>
      <c r="L325">
        <v>2</v>
      </c>
      <c r="M325">
        <v>560</v>
      </c>
      <c r="N325">
        <v>-1</v>
      </c>
      <c r="O325">
        <v>-278.5</v>
      </c>
      <c r="X325">
        <v>2</v>
      </c>
      <c r="Y325">
        <v>557</v>
      </c>
      <c r="Z325" s="3">
        <f t="shared" si="5"/>
        <v>278.5</v>
      </c>
    </row>
    <row r="326" spans="1:26" hidden="1">
      <c r="A326" t="s">
        <v>707</v>
      </c>
      <c r="B326" s="6">
        <v>44287</v>
      </c>
      <c r="C326" s="6">
        <v>44651</v>
      </c>
      <c r="D326">
        <v>20210401</v>
      </c>
      <c r="E326">
        <v>20220331</v>
      </c>
      <c r="F326" t="s">
        <v>6019</v>
      </c>
      <c r="G326" t="s">
        <v>6020</v>
      </c>
      <c r="H326" t="s">
        <v>590</v>
      </c>
      <c r="I326" t="s">
        <v>805</v>
      </c>
      <c r="J326">
        <v>3</v>
      </c>
      <c r="K326">
        <v>1359.88</v>
      </c>
      <c r="X326">
        <v>3</v>
      </c>
      <c r="Y326">
        <v>1359.88</v>
      </c>
      <c r="Z326" s="3">
        <f t="shared" si="5"/>
        <v>453.29333333333335</v>
      </c>
    </row>
    <row r="327" spans="1:26" hidden="1">
      <c r="A327" t="s">
        <v>707</v>
      </c>
      <c r="B327" s="6">
        <v>44287</v>
      </c>
      <c r="C327" s="6">
        <v>44651</v>
      </c>
      <c r="D327">
        <v>20210401</v>
      </c>
      <c r="E327">
        <v>20220331</v>
      </c>
      <c r="F327" t="s">
        <v>6021</v>
      </c>
      <c r="G327" t="s">
        <v>6022</v>
      </c>
      <c r="H327" t="s">
        <v>590</v>
      </c>
      <c r="I327" t="s">
        <v>1740</v>
      </c>
      <c r="K327">
        <v>1.49</v>
      </c>
      <c r="L327">
        <v>1</v>
      </c>
      <c r="M327">
        <v>170</v>
      </c>
      <c r="X327">
        <v>1</v>
      </c>
      <c r="Y327">
        <v>171.49</v>
      </c>
      <c r="Z327" s="3">
        <f t="shared" si="5"/>
        <v>171.49</v>
      </c>
    </row>
    <row r="328" spans="1:26" hidden="1">
      <c r="A328" t="s">
        <v>707</v>
      </c>
      <c r="B328" s="6">
        <v>44287</v>
      </c>
      <c r="C328" s="6">
        <v>44651</v>
      </c>
      <c r="D328">
        <v>20210401</v>
      </c>
      <c r="E328">
        <v>20220331</v>
      </c>
      <c r="F328" t="s">
        <v>6023</v>
      </c>
      <c r="G328" t="s">
        <v>6024</v>
      </c>
      <c r="H328" t="s">
        <v>590</v>
      </c>
      <c r="I328" t="s">
        <v>1740</v>
      </c>
      <c r="J328">
        <v>1</v>
      </c>
      <c r="K328">
        <v>465</v>
      </c>
      <c r="X328">
        <v>1</v>
      </c>
      <c r="Y328">
        <v>465</v>
      </c>
      <c r="Z328" s="3">
        <f t="shared" si="5"/>
        <v>465</v>
      </c>
    </row>
    <row r="329" spans="1:26" hidden="1">
      <c r="A329" t="s">
        <v>707</v>
      </c>
      <c r="B329" s="6">
        <v>44287</v>
      </c>
      <c r="C329" s="6">
        <v>44651</v>
      </c>
      <c r="D329">
        <v>20210401</v>
      </c>
      <c r="E329">
        <v>20220331</v>
      </c>
      <c r="F329" t="s">
        <v>6025</v>
      </c>
      <c r="G329" t="s">
        <v>6026</v>
      </c>
      <c r="H329" t="s">
        <v>590</v>
      </c>
      <c r="I329" t="s">
        <v>805</v>
      </c>
      <c r="J329">
        <v>1</v>
      </c>
      <c r="K329">
        <v>200</v>
      </c>
      <c r="X329">
        <v>1</v>
      </c>
      <c r="Y329">
        <v>200</v>
      </c>
      <c r="Z329" s="3">
        <f t="shared" si="5"/>
        <v>200</v>
      </c>
    </row>
    <row r="330" spans="1:26" hidden="1">
      <c r="A330" t="s">
        <v>707</v>
      </c>
      <c r="B330" s="6">
        <v>44287</v>
      </c>
      <c r="C330" s="6">
        <v>44651</v>
      </c>
      <c r="D330">
        <v>20210401</v>
      </c>
      <c r="E330">
        <v>20220331</v>
      </c>
      <c r="F330" t="s">
        <v>6027</v>
      </c>
      <c r="G330" t="s">
        <v>6028</v>
      </c>
      <c r="H330" t="s">
        <v>590</v>
      </c>
      <c r="I330" t="s">
        <v>805</v>
      </c>
      <c r="J330">
        <v>1</v>
      </c>
      <c r="K330">
        <v>180</v>
      </c>
      <c r="X330">
        <v>1</v>
      </c>
      <c r="Y330">
        <v>180</v>
      </c>
      <c r="Z330" s="3">
        <f t="shared" si="5"/>
        <v>180</v>
      </c>
    </row>
    <row r="331" spans="1:26" hidden="1">
      <c r="A331" t="s">
        <v>707</v>
      </c>
      <c r="B331" s="6">
        <v>44287</v>
      </c>
      <c r="C331" s="6">
        <v>44651</v>
      </c>
      <c r="D331">
        <v>20210401</v>
      </c>
      <c r="E331">
        <v>20220331</v>
      </c>
      <c r="F331" t="s">
        <v>6029</v>
      </c>
      <c r="G331" t="s">
        <v>6030</v>
      </c>
      <c r="H331" t="s">
        <v>590</v>
      </c>
      <c r="I331" t="s">
        <v>805</v>
      </c>
      <c r="J331">
        <v>1</v>
      </c>
      <c r="K331">
        <v>1140.26</v>
      </c>
      <c r="X331">
        <v>1</v>
      </c>
      <c r="Y331">
        <v>1140.26</v>
      </c>
      <c r="Z331" s="3">
        <f t="shared" si="5"/>
        <v>1140.26</v>
      </c>
    </row>
    <row r="332" spans="1:26" hidden="1">
      <c r="A332" t="s">
        <v>707</v>
      </c>
      <c r="B332" s="6">
        <v>44287</v>
      </c>
      <c r="C332" s="6">
        <v>44651</v>
      </c>
      <c r="D332">
        <v>20210401</v>
      </c>
      <c r="E332">
        <v>20220331</v>
      </c>
      <c r="F332" t="s">
        <v>1781</v>
      </c>
      <c r="G332" t="s">
        <v>1782</v>
      </c>
      <c r="H332" t="s">
        <v>590</v>
      </c>
      <c r="I332" t="s">
        <v>1740</v>
      </c>
      <c r="L332">
        <v>6</v>
      </c>
      <c r="M332">
        <v>2446.3000000000002</v>
      </c>
      <c r="N332">
        <v>-3</v>
      </c>
      <c r="O332">
        <v>-1174.17</v>
      </c>
      <c r="X332">
        <v>3</v>
      </c>
      <c r="Y332">
        <v>1272.1300000000001</v>
      </c>
      <c r="Z332" s="3">
        <f t="shared" si="5"/>
        <v>391.39000000000004</v>
      </c>
    </row>
    <row r="333" spans="1:26" hidden="1">
      <c r="A333" t="s">
        <v>707</v>
      </c>
      <c r="B333" s="6">
        <v>44287</v>
      </c>
      <c r="C333" s="6">
        <v>44651</v>
      </c>
      <c r="D333">
        <v>20210401</v>
      </c>
      <c r="E333">
        <v>20220331</v>
      </c>
      <c r="F333" t="s">
        <v>6031</v>
      </c>
      <c r="G333" t="s">
        <v>6032</v>
      </c>
      <c r="H333" t="s">
        <v>590</v>
      </c>
      <c r="I333" t="s">
        <v>805</v>
      </c>
      <c r="J333">
        <v>1</v>
      </c>
      <c r="K333">
        <v>475</v>
      </c>
      <c r="X333">
        <v>1</v>
      </c>
      <c r="Y333">
        <v>475</v>
      </c>
      <c r="Z333" s="3">
        <f t="shared" si="5"/>
        <v>475</v>
      </c>
    </row>
    <row r="334" spans="1:26" hidden="1">
      <c r="A334" t="s">
        <v>707</v>
      </c>
      <c r="B334" s="6">
        <v>44287</v>
      </c>
      <c r="C334" s="6">
        <v>44651</v>
      </c>
      <c r="D334">
        <v>20210401</v>
      </c>
      <c r="E334">
        <v>20220331</v>
      </c>
      <c r="F334" t="s">
        <v>6033</v>
      </c>
      <c r="G334" t="s">
        <v>6034</v>
      </c>
      <c r="H334" t="s">
        <v>590</v>
      </c>
      <c r="I334" t="s">
        <v>1740</v>
      </c>
      <c r="J334">
        <v>2</v>
      </c>
      <c r="K334">
        <v>1349.52</v>
      </c>
      <c r="X334">
        <v>2</v>
      </c>
      <c r="Y334">
        <v>1349.52</v>
      </c>
      <c r="Z334" s="3">
        <f t="shared" si="5"/>
        <v>674.76</v>
      </c>
    </row>
    <row r="335" spans="1:26" hidden="1">
      <c r="A335" t="s">
        <v>707</v>
      </c>
      <c r="B335" s="6">
        <v>44287</v>
      </c>
      <c r="C335" s="6">
        <v>44651</v>
      </c>
      <c r="D335">
        <v>20210401</v>
      </c>
      <c r="E335">
        <v>20220331</v>
      </c>
      <c r="F335" t="s">
        <v>1789</v>
      </c>
      <c r="G335" t="s">
        <v>1790</v>
      </c>
      <c r="H335" t="s">
        <v>590</v>
      </c>
      <c r="I335" t="s">
        <v>1740</v>
      </c>
      <c r="J335">
        <v>1</v>
      </c>
      <c r="K335">
        <v>480</v>
      </c>
      <c r="N335">
        <v>-1</v>
      </c>
      <c r="O335">
        <v>-480</v>
      </c>
      <c r="Z335" s="3">
        <f t="shared" si="5"/>
        <v>480</v>
      </c>
    </row>
    <row r="336" spans="1:26" hidden="1">
      <c r="A336" t="s">
        <v>707</v>
      </c>
      <c r="B336" s="6">
        <v>44287</v>
      </c>
      <c r="C336" s="6">
        <v>44651</v>
      </c>
      <c r="D336">
        <v>20210401</v>
      </c>
      <c r="E336">
        <v>20220331</v>
      </c>
      <c r="F336" t="s">
        <v>1791</v>
      </c>
      <c r="G336" t="s">
        <v>1792</v>
      </c>
      <c r="H336" t="s">
        <v>590</v>
      </c>
      <c r="I336" t="s">
        <v>805</v>
      </c>
      <c r="L336">
        <v>4</v>
      </c>
      <c r="M336">
        <v>1947.96</v>
      </c>
      <c r="N336">
        <v>-1</v>
      </c>
      <c r="O336">
        <v>-352</v>
      </c>
      <c r="X336">
        <v>3</v>
      </c>
      <c r="Y336">
        <v>1595.96</v>
      </c>
      <c r="Z336" s="3">
        <f t="shared" si="5"/>
        <v>352</v>
      </c>
    </row>
    <row r="337" spans="1:26" hidden="1">
      <c r="A337" t="s">
        <v>707</v>
      </c>
      <c r="B337" s="6">
        <v>44287</v>
      </c>
      <c r="C337" s="6">
        <v>44651</v>
      </c>
      <c r="D337">
        <v>20210401</v>
      </c>
      <c r="E337">
        <v>20220331</v>
      </c>
      <c r="F337" t="s">
        <v>6035</v>
      </c>
      <c r="G337" t="s">
        <v>6036</v>
      </c>
      <c r="H337" t="s">
        <v>1267</v>
      </c>
      <c r="I337" t="s">
        <v>805</v>
      </c>
      <c r="L337">
        <v>1500</v>
      </c>
      <c r="M337">
        <v>217888.8</v>
      </c>
      <c r="N337">
        <v>-1500</v>
      </c>
      <c r="O337">
        <v>-214948.99</v>
      </c>
      <c r="Y337">
        <v>2939.81</v>
      </c>
      <c r="Z337" s="3">
        <f t="shared" si="5"/>
        <v>143.29932666666667</v>
      </c>
    </row>
    <row r="338" spans="1:26" hidden="1">
      <c r="A338" t="s">
        <v>707</v>
      </c>
      <c r="B338" s="6">
        <v>44287</v>
      </c>
      <c r="C338" s="6">
        <v>44651</v>
      </c>
      <c r="D338">
        <v>20210401</v>
      </c>
      <c r="E338">
        <v>20220331</v>
      </c>
      <c r="F338" t="s">
        <v>6037</v>
      </c>
      <c r="G338" t="s">
        <v>6038</v>
      </c>
      <c r="H338" t="s">
        <v>1267</v>
      </c>
      <c r="I338" t="s">
        <v>805</v>
      </c>
      <c r="J338">
        <v>1100</v>
      </c>
      <c r="K338">
        <v>36833.96</v>
      </c>
      <c r="L338">
        <v>131433</v>
      </c>
      <c r="M338">
        <v>6111565.3499999996</v>
      </c>
      <c r="N338">
        <v>-131433</v>
      </c>
      <c r="O338">
        <v>-6093026.2000000002</v>
      </c>
      <c r="X338">
        <v>1100</v>
      </c>
      <c r="Y338">
        <v>55373.11</v>
      </c>
      <c r="Z338" s="3">
        <f t="shared" si="5"/>
        <v>46.358419879330157</v>
      </c>
    </row>
    <row r="339" spans="1:26" hidden="1">
      <c r="A339" t="s">
        <v>707</v>
      </c>
      <c r="B339" s="6">
        <v>44287</v>
      </c>
      <c r="C339" s="6">
        <v>44651</v>
      </c>
      <c r="D339">
        <v>20210401</v>
      </c>
      <c r="E339">
        <v>20220331</v>
      </c>
      <c r="F339" t="s">
        <v>6039</v>
      </c>
      <c r="G339" t="s">
        <v>6040</v>
      </c>
      <c r="H339" t="s">
        <v>613</v>
      </c>
      <c r="I339" t="s">
        <v>805</v>
      </c>
      <c r="L339">
        <v>50</v>
      </c>
      <c r="M339">
        <v>2400</v>
      </c>
      <c r="N339">
        <v>-25</v>
      </c>
      <c r="O339">
        <v>-1200</v>
      </c>
      <c r="X339">
        <v>25</v>
      </c>
      <c r="Y339">
        <v>1200</v>
      </c>
      <c r="Z339" s="3">
        <f t="shared" si="5"/>
        <v>48</v>
      </c>
    </row>
    <row r="340" spans="1:26" hidden="1">
      <c r="A340" t="s">
        <v>707</v>
      </c>
      <c r="B340" s="6">
        <v>44287</v>
      </c>
      <c r="C340" s="6">
        <v>44651</v>
      </c>
      <c r="D340">
        <v>20210401</v>
      </c>
      <c r="E340">
        <v>20220331</v>
      </c>
      <c r="F340" t="s">
        <v>1805</v>
      </c>
      <c r="G340" t="s">
        <v>1806</v>
      </c>
      <c r="H340" t="s">
        <v>1267</v>
      </c>
      <c r="I340" t="s">
        <v>805</v>
      </c>
      <c r="J340">
        <v>140</v>
      </c>
      <c r="K340">
        <v>35140</v>
      </c>
      <c r="L340">
        <v>200</v>
      </c>
      <c r="M340">
        <v>53681.24</v>
      </c>
      <c r="N340">
        <v>-200</v>
      </c>
      <c r="O340">
        <v>-51742.84</v>
      </c>
      <c r="X340">
        <v>140</v>
      </c>
      <c r="Y340">
        <v>37078.400000000001</v>
      </c>
      <c r="Z340" s="3">
        <f t="shared" si="5"/>
        <v>258.71420000000001</v>
      </c>
    </row>
    <row r="341" spans="1:26" hidden="1">
      <c r="A341" t="s">
        <v>707</v>
      </c>
      <c r="B341" s="6">
        <v>44287</v>
      </c>
      <c r="C341" s="6">
        <v>44651</v>
      </c>
      <c r="D341">
        <v>20210401</v>
      </c>
      <c r="E341">
        <v>20220331</v>
      </c>
      <c r="F341" t="s">
        <v>6041</v>
      </c>
      <c r="G341" t="s">
        <v>6042</v>
      </c>
      <c r="H341" t="s">
        <v>613</v>
      </c>
      <c r="I341" t="s">
        <v>1462</v>
      </c>
      <c r="L341">
        <v>5</v>
      </c>
      <c r="M341">
        <v>1900</v>
      </c>
      <c r="N341">
        <v>-5</v>
      </c>
      <c r="O341">
        <v>-1900</v>
      </c>
      <c r="Z341" s="3">
        <f t="shared" si="5"/>
        <v>380</v>
      </c>
    </row>
    <row r="342" spans="1:26" hidden="1">
      <c r="A342" t="s">
        <v>707</v>
      </c>
      <c r="B342" s="6">
        <v>44287</v>
      </c>
      <c r="C342" s="6">
        <v>44651</v>
      </c>
      <c r="D342">
        <v>20210401</v>
      </c>
      <c r="E342">
        <v>20220331</v>
      </c>
      <c r="F342" t="s">
        <v>6043</v>
      </c>
      <c r="G342" t="s">
        <v>6044</v>
      </c>
      <c r="H342" t="s">
        <v>1267</v>
      </c>
      <c r="I342" t="s">
        <v>805</v>
      </c>
      <c r="J342">
        <v>14025</v>
      </c>
      <c r="K342">
        <v>666279.82999999996</v>
      </c>
      <c r="L342">
        <v>360000</v>
      </c>
      <c r="M342">
        <v>19250520.079999998</v>
      </c>
      <c r="N342">
        <v>-367150</v>
      </c>
      <c r="O342">
        <v>-19456920.870000001</v>
      </c>
      <c r="X342">
        <v>6875</v>
      </c>
      <c r="Y342">
        <v>459879.04</v>
      </c>
      <c r="Z342" s="3">
        <f t="shared" si="5"/>
        <v>52.99447329429389</v>
      </c>
    </row>
    <row r="343" spans="1:26" hidden="1">
      <c r="A343" t="s">
        <v>707</v>
      </c>
      <c r="B343" s="6">
        <v>44287</v>
      </c>
      <c r="C343" s="6">
        <v>44651</v>
      </c>
      <c r="D343">
        <v>20210401</v>
      </c>
      <c r="E343">
        <v>20220331</v>
      </c>
      <c r="F343" t="s">
        <v>6045</v>
      </c>
      <c r="G343" t="s">
        <v>6046</v>
      </c>
      <c r="H343" t="s">
        <v>1267</v>
      </c>
      <c r="I343" t="s">
        <v>805</v>
      </c>
      <c r="L343">
        <v>1785</v>
      </c>
      <c r="M343">
        <v>168983</v>
      </c>
      <c r="N343">
        <v>-1785</v>
      </c>
      <c r="O343">
        <v>-168983.01</v>
      </c>
      <c r="Y343">
        <v>-0.01</v>
      </c>
      <c r="Z343" s="3">
        <f t="shared" si="5"/>
        <v>94.668352941176479</v>
      </c>
    </row>
    <row r="344" spans="1:26" hidden="1">
      <c r="A344" t="s">
        <v>707</v>
      </c>
      <c r="B344" s="6">
        <v>44287</v>
      </c>
      <c r="C344" s="6">
        <v>44651</v>
      </c>
      <c r="D344">
        <v>20210401</v>
      </c>
      <c r="E344">
        <v>20220331</v>
      </c>
      <c r="F344" t="s">
        <v>1817</v>
      </c>
      <c r="G344" t="s">
        <v>1818</v>
      </c>
      <c r="H344" t="s">
        <v>1267</v>
      </c>
      <c r="I344" t="s">
        <v>805</v>
      </c>
      <c r="L344">
        <v>120</v>
      </c>
      <c r="M344">
        <v>22920</v>
      </c>
      <c r="N344">
        <v>-120</v>
      </c>
      <c r="O344">
        <v>-22920</v>
      </c>
      <c r="Z344" s="3">
        <f t="shared" si="5"/>
        <v>191</v>
      </c>
    </row>
    <row r="345" spans="1:26" hidden="1">
      <c r="A345" t="s">
        <v>707</v>
      </c>
      <c r="B345" s="6">
        <v>44287</v>
      </c>
      <c r="C345" s="6">
        <v>44651</v>
      </c>
      <c r="D345">
        <v>20210401</v>
      </c>
      <c r="E345">
        <v>20220331</v>
      </c>
      <c r="F345" t="s">
        <v>1827</v>
      </c>
      <c r="G345" t="s">
        <v>1828</v>
      </c>
      <c r="H345" t="s">
        <v>590</v>
      </c>
      <c r="I345" t="s">
        <v>805</v>
      </c>
      <c r="J345">
        <v>51</v>
      </c>
      <c r="K345">
        <v>4175.8999999999996</v>
      </c>
      <c r="L345">
        <v>1900</v>
      </c>
      <c r="M345">
        <v>133150.43</v>
      </c>
      <c r="N345">
        <v>-1911</v>
      </c>
      <c r="O345">
        <v>-133269.07</v>
      </c>
      <c r="X345">
        <v>40</v>
      </c>
      <c r="Y345">
        <v>4057.26</v>
      </c>
      <c r="Z345" s="3">
        <f t="shared" si="5"/>
        <v>69.737870225013083</v>
      </c>
    </row>
    <row r="346" spans="1:26" hidden="1">
      <c r="A346" t="s">
        <v>707</v>
      </c>
      <c r="B346" s="6">
        <v>44287</v>
      </c>
      <c r="C346" s="6">
        <v>44651</v>
      </c>
      <c r="D346">
        <v>20210401</v>
      </c>
      <c r="E346">
        <v>20220331</v>
      </c>
      <c r="F346" t="s">
        <v>6047</v>
      </c>
      <c r="G346" t="s">
        <v>6048</v>
      </c>
      <c r="H346" t="s">
        <v>590</v>
      </c>
      <c r="I346" t="s">
        <v>805</v>
      </c>
      <c r="L346">
        <v>3</v>
      </c>
      <c r="M346">
        <v>645</v>
      </c>
      <c r="N346">
        <v>-3</v>
      </c>
      <c r="O346">
        <v>-645</v>
      </c>
      <c r="Z346" s="3">
        <f t="shared" si="5"/>
        <v>215</v>
      </c>
    </row>
    <row r="347" spans="1:26" hidden="1">
      <c r="A347" t="s">
        <v>707</v>
      </c>
      <c r="B347" s="6">
        <v>44287</v>
      </c>
      <c r="C347" s="6">
        <v>44651</v>
      </c>
      <c r="D347">
        <v>20210401</v>
      </c>
      <c r="E347">
        <v>20220331</v>
      </c>
      <c r="F347" t="s">
        <v>1829</v>
      </c>
      <c r="G347" t="s">
        <v>1830</v>
      </c>
      <c r="H347" t="s">
        <v>613</v>
      </c>
      <c r="I347" t="s">
        <v>805</v>
      </c>
      <c r="L347">
        <v>0.5</v>
      </c>
      <c r="M347">
        <v>6583.5</v>
      </c>
      <c r="N347">
        <v>-0.5</v>
      </c>
      <c r="O347">
        <v>-6583.5</v>
      </c>
      <c r="Z347" s="3">
        <f t="shared" si="5"/>
        <v>13167</v>
      </c>
    </row>
    <row r="348" spans="1:26" hidden="1">
      <c r="A348" t="s">
        <v>707</v>
      </c>
      <c r="B348" s="6">
        <v>44287</v>
      </c>
      <c r="C348" s="6">
        <v>44651</v>
      </c>
      <c r="D348">
        <v>20210401</v>
      </c>
      <c r="E348">
        <v>20220331</v>
      </c>
      <c r="F348" t="s">
        <v>1831</v>
      </c>
      <c r="G348" t="s">
        <v>1832</v>
      </c>
      <c r="H348" t="s">
        <v>613</v>
      </c>
      <c r="I348" t="s">
        <v>805</v>
      </c>
      <c r="L348">
        <v>320</v>
      </c>
      <c r="M348">
        <v>28800</v>
      </c>
      <c r="N348">
        <v>-160</v>
      </c>
      <c r="O348">
        <v>-15680</v>
      </c>
      <c r="X348">
        <v>160</v>
      </c>
      <c r="Y348">
        <v>13120</v>
      </c>
      <c r="Z348" s="3">
        <f t="shared" si="5"/>
        <v>98</v>
      </c>
    </row>
    <row r="349" spans="1:26" hidden="1">
      <c r="A349" t="s">
        <v>707</v>
      </c>
      <c r="B349" s="6">
        <v>44287</v>
      </c>
      <c r="C349" s="6">
        <v>44651</v>
      </c>
      <c r="D349">
        <v>20210401</v>
      </c>
      <c r="E349">
        <v>20220331</v>
      </c>
      <c r="F349" t="s">
        <v>6049</v>
      </c>
      <c r="G349" t="s">
        <v>6050</v>
      </c>
      <c r="H349" t="s">
        <v>590</v>
      </c>
      <c r="I349" t="s">
        <v>805</v>
      </c>
      <c r="L349">
        <v>7</v>
      </c>
      <c r="M349">
        <v>1745</v>
      </c>
      <c r="N349">
        <v>-5</v>
      </c>
      <c r="O349">
        <v>-1195</v>
      </c>
      <c r="X349">
        <v>2</v>
      </c>
      <c r="Y349">
        <v>550</v>
      </c>
      <c r="Z349" s="3">
        <f t="shared" si="5"/>
        <v>239</v>
      </c>
    </row>
    <row r="350" spans="1:26" hidden="1">
      <c r="A350" t="s">
        <v>707</v>
      </c>
      <c r="B350" s="6">
        <v>44287</v>
      </c>
      <c r="C350" s="6">
        <v>44651</v>
      </c>
      <c r="D350">
        <v>20210401</v>
      </c>
      <c r="E350">
        <v>20220331</v>
      </c>
      <c r="F350" t="s">
        <v>1837</v>
      </c>
      <c r="G350" t="s">
        <v>1838</v>
      </c>
      <c r="H350" t="s">
        <v>590</v>
      </c>
      <c r="I350" t="s">
        <v>805</v>
      </c>
      <c r="J350">
        <v>127</v>
      </c>
      <c r="K350">
        <v>10153.83</v>
      </c>
      <c r="N350">
        <v>-20</v>
      </c>
      <c r="O350">
        <v>-1599</v>
      </c>
      <c r="R350">
        <v>-15</v>
      </c>
      <c r="S350">
        <v>-1199.28</v>
      </c>
      <c r="X350">
        <v>92</v>
      </c>
      <c r="Y350">
        <v>7355.55</v>
      </c>
      <c r="Z350" s="3">
        <f t="shared" si="5"/>
        <v>79.95</v>
      </c>
    </row>
    <row r="351" spans="1:26" hidden="1">
      <c r="A351" t="s">
        <v>707</v>
      </c>
      <c r="B351" s="6">
        <v>44287</v>
      </c>
      <c r="C351" s="6">
        <v>44651</v>
      </c>
      <c r="D351">
        <v>20210401</v>
      </c>
      <c r="E351">
        <v>20220331</v>
      </c>
      <c r="F351" t="s">
        <v>6051</v>
      </c>
      <c r="G351" t="s">
        <v>6052</v>
      </c>
      <c r="H351" t="s">
        <v>1267</v>
      </c>
      <c r="I351" t="s">
        <v>805</v>
      </c>
      <c r="L351">
        <v>3</v>
      </c>
      <c r="M351">
        <v>750</v>
      </c>
      <c r="N351">
        <v>-3</v>
      </c>
      <c r="O351">
        <v>-750</v>
      </c>
      <c r="Z351" s="3">
        <f t="shared" si="5"/>
        <v>250</v>
      </c>
    </row>
    <row r="352" spans="1:26" hidden="1">
      <c r="A352" t="s">
        <v>707</v>
      </c>
      <c r="B352" s="6">
        <v>44287</v>
      </c>
      <c r="C352" s="6">
        <v>44651</v>
      </c>
      <c r="D352">
        <v>20210401</v>
      </c>
      <c r="E352">
        <v>20220331</v>
      </c>
      <c r="F352" t="s">
        <v>6053</v>
      </c>
      <c r="G352" t="s">
        <v>6054</v>
      </c>
      <c r="H352" t="s">
        <v>590</v>
      </c>
      <c r="I352" t="s">
        <v>805</v>
      </c>
      <c r="L352">
        <v>3</v>
      </c>
      <c r="M352">
        <v>720</v>
      </c>
      <c r="N352">
        <v>-3</v>
      </c>
      <c r="O352">
        <v>-720</v>
      </c>
      <c r="Z352" s="3">
        <f t="shared" si="5"/>
        <v>240</v>
      </c>
    </row>
    <row r="353" spans="1:26" hidden="1">
      <c r="A353" t="s">
        <v>707</v>
      </c>
      <c r="B353" s="6">
        <v>44287</v>
      </c>
      <c r="C353" s="6">
        <v>44651</v>
      </c>
      <c r="D353">
        <v>20210401</v>
      </c>
      <c r="E353">
        <v>20220331</v>
      </c>
      <c r="F353" t="s">
        <v>1848</v>
      </c>
      <c r="G353" t="s">
        <v>1849</v>
      </c>
      <c r="H353" t="s">
        <v>590</v>
      </c>
      <c r="I353" t="s">
        <v>1845</v>
      </c>
      <c r="L353">
        <v>1080</v>
      </c>
      <c r="M353">
        <v>42118.9</v>
      </c>
      <c r="N353">
        <v>-1018</v>
      </c>
      <c r="O353">
        <v>-39700.99</v>
      </c>
      <c r="X353">
        <v>62</v>
      </c>
      <c r="Y353">
        <v>2417.91</v>
      </c>
      <c r="Z353" s="3">
        <f t="shared" si="5"/>
        <v>38.999007858546165</v>
      </c>
    </row>
    <row r="354" spans="1:26" hidden="1">
      <c r="A354" t="s">
        <v>707</v>
      </c>
      <c r="B354" s="6">
        <v>44287</v>
      </c>
      <c r="C354" s="6">
        <v>44651</v>
      </c>
      <c r="D354">
        <v>20210401</v>
      </c>
      <c r="E354">
        <v>20220331</v>
      </c>
      <c r="F354" t="s">
        <v>1850</v>
      </c>
      <c r="G354" t="s">
        <v>1851</v>
      </c>
      <c r="H354" t="s">
        <v>613</v>
      </c>
      <c r="I354" t="s">
        <v>1845</v>
      </c>
      <c r="L354">
        <v>70</v>
      </c>
      <c r="M354">
        <v>10359.799999999999</v>
      </c>
      <c r="X354">
        <v>70</v>
      </c>
      <c r="Y354">
        <v>10359.799999999999</v>
      </c>
      <c r="Z354" s="3">
        <f t="shared" si="5"/>
        <v>147.99714285714285</v>
      </c>
    </row>
    <row r="355" spans="1:26" hidden="1">
      <c r="A355" t="s">
        <v>707</v>
      </c>
      <c r="B355" s="6">
        <v>44287</v>
      </c>
      <c r="C355" s="6">
        <v>44651</v>
      </c>
      <c r="D355">
        <v>20210401</v>
      </c>
      <c r="E355">
        <v>20220331</v>
      </c>
      <c r="F355" t="s">
        <v>6055</v>
      </c>
      <c r="G355" t="s">
        <v>6056</v>
      </c>
      <c r="H355" t="s">
        <v>613</v>
      </c>
      <c r="I355" t="s">
        <v>805</v>
      </c>
      <c r="L355">
        <v>100</v>
      </c>
      <c r="M355">
        <v>14500</v>
      </c>
      <c r="N355">
        <v>-100</v>
      </c>
      <c r="O355">
        <v>-14500</v>
      </c>
      <c r="Z355" s="3">
        <f t="shared" si="5"/>
        <v>145</v>
      </c>
    </row>
    <row r="356" spans="1:26" hidden="1">
      <c r="A356" t="s">
        <v>707</v>
      </c>
      <c r="B356" s="6">
        <v>44287</v>
      </c>
      <c r="C356" s="6">
        <v>44651</v>
      </c>
      <c r="D356">
        <v>20210401</v>
      </c>
      <c r="E356">
        <v>20220331</v>
      </c>
      <c r="F356" t="s">
        <v>1852</v>
      </c>
      <c r="G356" t="s">
        <v>1853</v>
      </c>
      <c r="H356" t="s">
        <v>613</v>
      </c>
      <c r="I356" t="s">
        <v>1845</v>
      </c>
      <c r="L356">
        <v>203.7</v>
      </c>
      <c r="M356">
        <v>27991.5</v>
      </c>
      <c r="N356">
        <v>-203.7</v>
      </c>
      <c r="O356">
        <v>-27991.5</v>
      </c>
      <c r="Z356" s="3">
        <f t="shared" si="5"/>
        <v>137.41531664212079</v>
      </c>
    </row>
    <row r="357" spans="1:26" hidden="1">
      <c r="A357" t="s">
        <v>707</v>
      </c>
      <c r="B357" s="6">
        <v>44287</v>
      </c>
      <c r="C357" s="6">
        <v>44651</v>
      </c>
      <c r="D357">
        <v>20210401</v>
      </c>
      <c r="E357">
        <v>20220331</v>
      </c>
      <c r="F357" t="s">
        <v>1854</v>
      </c>
      <c r="G357" t="s">
        <v>1855</v>
      </c>
      <c r="H357" t="s">
        <v>613</v>
      </c>
      <c r="I357" t="s">
        <v>805</v>
      </c>
      <c r="L357">
        <v>684.3</v>
      </c>
      <c r="M357">
        <v>93459.6</v>
      </c>
      <c r="N357">
        <v>-684.3</v>
      </c>
      <c r="O357">
        <v>-93459.61</v>
      </c>
      <c r="Y357">
        <v>-0.01</v>
      </c>
      <c r="Z357" s="3">
        <f t="shared" si="5"/>
        <v>136.57695455209705</v>
      </c>
    </row>
    <row r="358" spans="1:26" hidden="1">
      <c r="A358" t="s">
        <v>707</v>
      </c>
      <c r="B358" s="6">
        <v>44287</v>
      </c>
      <c r="C358" s="6">
        <v>44651</v>
      </c>
      <c r="D358">
        <v>20210401</v>
      </c>
      <c r="E358">
        <v>20220331</v>
      </c>
      <c r="F358" t="s">
        <v>1862</v>
      </c>
      <c r="G358" t="s">
        <v>1863</v>
      </c>
      <c r="H358" t="s">
        <v>613</v>
      </c>
      <c r="I358" t="s">
        <v>1845</v>
      </c>
      <c r="L358">
        <v>1138.8</v>
      </c>
      <c r="M358">
        <v>155724.85999999999</v>
      </c>
      <c r="N358">
        <v>-1138.8</v>
      </c>
      <c r="O358">
        <v>-155724.87</v>
      </c>
      <c r="Y358">
        <v>-0.01</v>
      </c>
      <c r="Z358" s="3">
        <f t="shared" si="5"/>
        <v>136.74470495258166</v>
      </c>
    </row>
    <row r="359" spans="1:26" hidden="1">
      <c r="A359" t="s">
        <v>707</v>
      </c>
      <c r="B359" s="6">
        <v>44287</v>
      </c>
      <c r="C359" s="6">
        <v>44651</v>
      </c>
      <c r="D359">
        <v>20210401</v>
      </c>
      <c r="E359">
        <v>20220331</v>
      </c>
      <c r="F359" t="s">
        <v>1864</v>
      </c>
      <c r="G359" t="s">
        <v>1865</v>
      </c>
      <c r="H359" t="s">
        <v>590</v>
      </c>
      <c r="I359" t="s">
        <v>805</v>
      </c>
      <c r="L359">
        <v>2000</v>
      </c>
      <c r="M359">
        <v>29750</v>
      </c>
      <c r="N359">
        <v>-2000</v>
      </c>
      <c r="O359">
        <v>-29750</v>
      </c>
      <c r="Z359" s="3">
        <f t="shared" si="5"/>
        <v>14.875</v>
      </c>
    </row>
    <row r="360" spans="1:26" hidden="1">
      <c r="A360" t="s">
        <v>707</v>
      </c>
      <c r="B360" s="6">
        <v>44287</v>
      </c>
      <c r="C360" s="6">
        <v>44651</v>
      </c>
      <c r="D360">
        <v>20210401</v>
      </c>
      <c r="E360">
        <v>20220331</v>
      </c>
      <c r="F360" t="s">
        <v>6057</v>
      </c>
      <c r="G360" t="s">
        <v>6058</v>
      </c>
      <c r="H360" t="s">
        <v>613</v>
      </c>
      <c r="I360" t="s">
        <v>805</v>
      </c>
      <c r="L360">
        <v>4162.3100000000004</v>
      </c>
      <c r="M360">
        <v>199788.64</v>
      </c>
      <c r="N360">
        <v>-4162.3100000000004</v>
      </c>
      <c r="O360">
        <v>-199788.51</v>
      </c>
      <c r="Y360">
        <v>0.13</v>
      </c>
      <c r="Z360" s="3">
        <f t="shared" si="5"/>
        <v>47.99943060464021</v>
      </c>
    </row>
    <row r="361" spans="1:26" hidden="1">
      <c r="A361" t="s">
        <v>707</v>
      </c>
      <c r="B361" s="6">
        <v>44287</v>
      </c>
      <c r="C361" s="6">
        <v>44651</v>
      </c>
      <c r="D361">
        <v>20210401</v>
      </c>
      <c r="E361">
        <v>20220331</v>
      </c>
      <c r="F361" t="s">
        <v>1917</v>
      </c>
      <c r="G361" t="s">
        <v>1918</v>
      </c>
      <c r="H361" t="s">
        <v>1882</v>
      </c>
      <c r="I361" t="s">
        <v>1845</v>
      </c>
      <c r="J361">
        <v>16</v>
      </c>
      <c r="K361">
        <v>8800</v>
      </c>
      <c r="L361">
        <v>200</v>
      </c>
      <c r="M361">
        <v>110000</v>
      </c>
      <c r="N361">
        <v>-196</v>
      </c>
      <c r="O361">
        <v>-107800</v>
      </c>
      <c r="X361">
        <v>20</v>
      </c>
      <c r="Y361">
        <v>11000</v>
      </c>
      <c r="Z361" s="3">
        <f t="shared" si="5"/>
        <v>550</v>
      </c>
    </row>
    <row r="362" spans="1:26" hidden="1">
      <c r="A362" t="s">
        <v>707</v>
      </c>
      <c r="B362" s="6">
        <v>44287</v>
      </c>
      <c r="C362" s="6">
        <v>44651</v>
      </c>
      <c r="D362">
        <v>20210401</v>
      </c>
      <c r="E362">
        <v>20220331</v>
      </c>
      <c r="F362" t="s">
        <v>1929</v>
      </c>
      <c r="G362" t="s">
        <v>1930</v>
      </c>
      <c r="H362" t="s">
        <v>590</v>
      </c>
      <c r="I362" t="s">
        <v>1845</v>
      </c>
      <c r="L362">
        <v>75</v>
      </c>
      <c r="M362">
        <v>129191.8</v>
      </c>
      <c r="N362">
        <v>-68</v>
      </c>
      <c r="O362">
        <v>-117151.8</v>
      </c>
      <c r="X362">
        <v>7</v>
      </c>
      <c r="Y362">
        <v>12040</v>
      </c>
      <c r="Z362" s="3">
        <f t="shared" si="5"/>
        <v>1722.8205882352941</v>
      </c>
    </row>
    <row r="363" spans="1:26" hidden="1">
      <c r="A363" t="s">
        <v>707</v>
      </c>
      <c r="B363" s="6">
        <v>44287</v>
      </c>
      <c r="C363" s="6">
        <v>44651</v>
      </c>
      <c r="D363">
        <v>20210401</v>
      </c>
      <c r="E363">
        <v>20220331</v>
      </c>
      <c r="F363" t="s">
        <v>1931</v>
      </c>
      <c r="G363" t="s">
        <v>1932</v>
      </c>
      <c r="H363" t="s">
        <v>590</v>
      </c>
      <c r="I363" t="s">
        <v>1845</v>
      </c>
      <c r="L363">
        <v>222</v>
      </c>
      <c r="M363">
        <v>179175.4</v>
      </c>
      <c r="N363">
        <v>-201</v>
      </c>
      <c r="O363">
        <v>-161745.79999999999</v>
      </c>
      <c r="X363">
        <v>21</v>
      </c>
      <c r="Y363">
        <v>17429.599999999999</v>
      </c>
      <c r="Z363" s="3">
        <f t="shared" si="5"/>
        <v>804.7054726368159</v>
      </c>
    </row>
    <row r="364" spans="1:26" hidden="1">
      <c r="A364" t="s">
        <v>707</v>
      </c>
      <c r="B364" s="6">
        <v>44287</v>
      </c>
      <c r="C364" s="6">
        <v>44651</v>
      </c>
      <c r="D364">
        <v>20210401</v>
      </c>
      <c r="E364">
        <v>20220331</v>
      </c>
      <c r="F364" t="s">
        <v>1933</v>
      </c>
      <c r="G364" t="s">
        <v>1934</v>
      </c>
      <c r="H364" t="s">
        <v>590</v>
      </c>
      <c r="I364" t="s">
        <v>1845</v>
      </c>
      <c r="L364">
        <v>75</v>
      </c>
      <c r="M364">
        <v>44010</v>
      </c>
      <c r="N364">
        <v>-68</v>
      </c>
      <c r="O364">
        <v>-39810</v>
      </c>
      <c r="X364">
        <v>7</v>
      </c>
      <c r="Y364">
        <v>4200</v>
      </c>
      <c r="Z364" s="3">
        <f t="shared" si="5"/>
        <v>585.44117647058829</v>
      </c>
    </row>
    <row r="365" spans="1:26" hidden="1">
      <c r="A365" t="s">
        <v>707</v>
      </c>
      <c r="B365" s="6">
        <v>44287</v>
      </c>
      <c r="C365" s="6">
        <v>44651</v>
      </c>
      <c r="D365">
        <v>20210401</v>
      </c>
      <c r="E365">
        <v>20220331</v>
      </c>
      <c r="F365" t="s">
        <v>6059</v>
      </c>
      <c r="G365" t="s">
        <v>6060</v>
      </c>
      <c r="H365" t="s">
        <v>590</v>
      </c>
      <c r="I365" t="s">
        <v>1845</v>
      </c>
      <c r="L365">
        <v>29667</v>
      </c>
      <c r="M365">
        <v>1008680.06</v>
      </c>
      <c r="N365">
        <v>-29667</v>
      </c>
      <c r="O365">
        <v>-1008679.19</v>
      </c>
      <c r="Y365">
        <v>0.87</v>
      </c>
      <c r="Z365" s="3">
        <f t="shared" si="5"/>
        <v>34.000040111908852</v>
      </c>
    </row>
    <row r="366" spans="1:26" hidden="1">
      <c r="A366" t="s">
        <v>707</v>
      </c>
      <c r="B366" s="6">
        <v>44287</v>
      </c>
      <c r="C366" s="6">
        <v>44651</v>
      </c>
      <c r="D366">
        <v>20210401</v>
      </c>
      <c r="E366">
        <v>20220331</v>
      </c>
      <c r="F366" t="s">
        <v>6061</v>
      </c>
      <c r="G366" t="s">
        <v>6062</v>
      </c>
      <c r="H366" t="s">
        <v>590</v>
      </c>
      <c r="I366" t="s">
        <v>1845</v>
      </c>
      <c r="L366">
        <v>1509</v>
      </c>
      <c r="M366">
        <v>6036</v>
      </c>
      <c r="N366">
        <v>-1509</v>
      </c>
      <c r="O366">
        <v>-6036</v>
      </c>
      <c r="Z366" s="3">
        <f t="shared" si="5"/>
        <v>4</v>
      </c>
    </row>
    <row r="367" spans="1:26" hidden="1">
      <c r="A367" t="s">
        <v>707</v>
      </c>
      <c r="B367" s="6">
        <v>44287</v>
      </c>
      <c r="C367" s="6">
        <v>44651</v>
      </c>
      <c r="D367">
        <v>20210401</v>
      </c>
      <c r="E367">
        <v>20220331</v>
      </c>
      <c r="F367" t="s">
        <v>1947</v>
      </c>
      <c r="G367" t="s">
        <v>1948</v>
      </c>
      <c r="H367" t="s">
        <v>590</v>
      </c>
      <c r="I367" t="s">
        <v>1845</v>
      </c>
      <c r="L367">
        <v>180</v>
      </c>
      <c r="M367">
        <v>24839.200000000001</v>
      </c>
      <c r="N367">
        <v>-120</v>
      </c>
      <c r="O367">
        <v>-16559.599999999999</v>
      </c>
      <c r="X367">
        <v>60</v>
      </c>
      <c r="Y367">
        <v>8279.6</v>
      </c>
      <c r="Z367" s="3">
        <f t="shared" si="5"/>
        <v>137.99666666666664</v>
      </c>
    </row>
    <row r="368" spans="1:26" hidden="1">
      <c r="A368" t="s">
        <v>707</v>
      </c>
      <c r="B368" s="6">
        <v>44287</v>
      </c>
      <c r="C368" s="6">
        <v>44651</v>
      </c>
      <c r="D368">
        <v>20210401</v>
      </c>
      <c r="E368">
        <v>20220331</v>
      </c>
      <c r="F368" t="s">
        <v>1953</v>
      </c>
      <c r="G368" t="s">
        <v>1954</v>
      </c>
      <c r="H368" t="s">
        <v>1882</v>
      </c>
      <c r="I368" t="s">
        <v>1845</v>
      </c>
      <c r="L368">
        <v>2</v>
      </c>
      <c r="M368">
        <v>4900</v>
      </c>
      <c r="N368">
        <v>-2</v>
      </c>
      <c r="O368">
        <v>-4900</v>
      </c>
      <c r="Z368" s="3">
        <f t="shared" si="5"/>
        <v>2450</v>
      </c>
    </row>
    <row r="369" spans="1:26" hidden="1">
      <c r="A369" t="s">
        <v>707</v>
      </c>
      <c r="B369" s="6">
        <v>44287</v>
      </c>
      <c r="C369" s="6">
        <v>44651</v>
      </c>
      <c r="D369">
        <v>20210401</v>
      </c>
      <c r="E369">
        <v>20220331</v>
      </c>
      <c r="F369" t="s">
        <v>6063</v>
      </c>
      <c r="G369" t="s">
        <v>6064</v>
      </c>
      <c r="H369" t="s">
        <v>590</v>
      </c>
      <c r="I369" t="s">
        <v>805</v>
      </c>
      <c r="L369">
        <v>1423</v>
      </c>
      <c r="M369">
        <v>158880</v>
      </c>
      <c r="N369">
        <v>-1423</v>
      </c>
      <c r="O369">
        <v>-158878.82999999999</v>
      </c>
      <c r="Y369">
        <v>1.17</v>
      </c>
      <c r="Z369" s="3">
        <f t="shared" si="5"/>
        <v>111.65061841180604</v>
      </c>
    </row>
    <row r="370" spans="1:26" hidden="1">
      <c r="A370" t="s">
        <v>707</v>
      </c>
      <c r="B370" s="6">
        <v>44287</v>
      </c>
      <c r="C370" s="6">
        <v>44651</v>
      </c>
      <c r="D370">
        <v>20210401</v>
      </c>
      <c r="E370">
        <v>20220331</v>
      </c>
      <c r="F370" t="s">
        <v>6065</v>
      </c>
      <c r="G370" t="s">
        <v>6066</v>
      </c>
      <c r="H370" t="s">
        <v>590</v>
      </c>
      <c r="I370" t="s">
        <v>805</v>
      </c>
      <c r="L370">
        <v>2137</v>
      </c>
      <c r="M370">
        <v>47013.08</v>
      </c>
      <c r="N370">
        <v>-2137</v>
      </c>
      <c r="O370">
        <v>-47013.08</v>
      </c>
      <c r="Z370" s="3">
        <f t="shared" si="5"/>
        <v>21.999569489939169</v>
      </c>
    </row>
    <row r="371" spans="1:26" hidden="1">
      <c r="A371" t="s">
        <v>707</v>
      </c>
      <c r="B371" s="6">
        <v>44287</v>
      </c>
      <c r="C371" s="6">
        <v>44651</v>
      </c>
      <c r="D371">
        <v>20210401</v>
      </c>
      <c r="E371">
        <v>20220331</v>
      </c>
      <c r="F371" t="s">
        <v>2082</v>
      </c>
      <c r="G371" t="s">
        <v>2083</v>
      </c>
      <c r="H371" t="s">
        <v>590</v>
      </c>
      <c r="I371" t="s">
        <v>805</v>
      </c>
      <c r="L371">
        <v>2</v>
      </c>
      <c r="M371">
        <v>500</v>
      </c>
      <c r="X371">
        <v>2</v>
      </c>
      <c r="Y371">
        <v>500</v>
      </c>
      <c r="Z371" s="3">
        <f t="shared" si="5"/>
        <v>250</v>
      </c>
    </row>
    <row r="372" spans="1:26" hidden="1">
      <c r="A372" t="s">
        <v>707</v>
      </c>
      <c r="B372" s="6">
        <v>44287</v>
      </c>
      <c r="C372" s="6">
        <v>44651</v>
      </c>
      <c r="D372">
        <v>20210401</v>
      </c>
      <c r="E372">
        <v>20220331</v>
      </c>
      <c r="F372" t="s">
        <v>6067</v>
      </c>
      <c r="G372" t="s">
        <v>6068</v>
      </c>
      <c r="H372" t="s">
        <v>590</v>
      </c>
      <c r="I372" t="s">
        <v>6069</v>
      </c>
      <c r="J372">
        <v>1</v>
      </c>
      <c r="K372">
        <v>3305.08</v>
      </c>
      <c r="X372">
        <v>1</v>
      </c>
      <c r="Y372">
        <v>3305.08</v>
      </c>
      <c r="Z372" s="3">
        <f t="shared" si="5"/>
        <v>3305.08</v>
      </c>
    </row>
    <row r="373" spans="1:26" hidden="1">
      <c r="A373" t="s">
        <v>707</v>
      </c>
      <c r="B373" s="6">
        <v>44287</v>
      </c>
      <c r="C373" s="6">
        <v>44651</v>
      </c>
      <c r="D373">
        <v>20210401</v>
      </c>
      <c r="E373">
        <v>20220331</v>
      </c>
      <c r="F373" t="s">
        <v>6070</v>
      </c>
      <c r="G373" t="s">
        <v>6071</v>
      </c>
      <c r="H373" t="s">
        <v>590</v>
      </c>
      <c r="I373" t="s">
        <v>805</v>
      </c>
      <c r="J373">
        <v>5</v>
      </c>
      <c r="K373">
        <v>510</v>
      </c>
      <c r="X373">
        <v>5</v>
      </c>
      <c r="Y373">
        <v>510</v>
      </c>
      <c r="Z373" s="3">
        <f t="shared" si="5"/>
        <v>102</v>
      </c>
    </row>
    <row r="374" spans="1:26" hidden="1">
      <c r="A374" t="s">
        <v>707</v>
      </c>
      <c r="B374" s="6">
        <v>44287</v>
      </c>
      <c r="C374" s="6">
        <v>44651</v>
      </c>
      <c r="D374">
        <v>20210401</v>
      </c>
      <c r="E374">
        <v>20220331</v>
      </c>
      <c r="F374" t="s">
        <v>6072</v>
      </c>
      <c r="G374" t="s">
        <v>6073</v>
      </c>
      <c r="H374" t="s">
        <v>590</v>
      </c>
      <c r="I374" t="s">
        <v>805</v>
      </c>
      <c r="J374">
        <v>5</v>
      </c>
      <c r="K374">
        <v>420</v>
      </c>
      <c r="X374">
        <v>5</v>
      </c>
      <c r="Y374">
        <v>420</v>
      </c>
      <c r="Z374" s="3">
        <f t="shared" si="5"/>
        <v>84</v>
      </c>
    </row>
    <row r="375" spans="1:26" hidden="1">
      <c r="A375" t="s">
        <v>707</v>
      </c>
      <c r="B375" s="6">
        <v>44287</v>
      </c>
      <c r="C375" s="6">
        <v>44651</v>
      </c>
      <c r="D375">
        <v>20210401</v>
      </c>
      <c r="E375">
        <v>20220331</v>
      </c>
      <c r="F375" t="s">
        <v>6074</v>
      </c>
      <c r="G375" t="s">
        <v>6075</v>
      </c>
      <c r="H375" t="s">
        <v>590</v>
      </c>
      <c r="I375" t="s">
        <v>805</v>
      </c>
      <c r="P375">
        <v>6</v>
      </c>
      <c r="Q375">
        <v>1098</v>
      </c>
      <c r="R375">
        <v>-6</v>
      </c>
      <c r="S375">
        <v>-1098</v>
      </c>
      <c r="Z375" s="3">
        <f t="shared" si="5"/>
        <v>183</v>
      </c>
    </row>
    <row r="376" spans="1:26" hidden="1">
      <c r="A376" t="s">
        <v>707</v>
      </c>
      <c r="B376" s="6">
        <v>44287</v>
      </c>
      <c r="C376" s="6">
        <v>44651</v>
      </c>
      <c r="D376">
        <v>20210401</v>
      </c>
      <c r="E376">
        <v>20220331</v>
      </c>
      <c r="F376" t="s">
        <v>2404</v>
      </c>
      <c r="G376" t="s">
        <v>2405</v>
      </c>
      <c r="H376" t="s">
        <v>590</v>
      </c>
      <c r="I376" t="s">
        <v>1462</v>
      </c>
      <c r="L376">
        <v>3</v>
      </c>
      <c r="M376">
        <v>19000</v>
      </c>
      <c r="N376">
        <v>-3</v>
      </c>
      <c r="O376">
        <v>-19000</v>
      </c>
      <c r="Z376" s="3">
        <f t="shared" si="5"/>
        <v>6333.333333333333</v>
      </c>
    </row>
    <row r="377" spans="1:26" hidden="1">
      <c r="A377" t="s">
        <v>707</v>
      </c>
      <c r="B377" s="6">
        <v>44287</v>
      </c>
      <c r="C377" s="6">
        <v>44651</v>
      </c>
      <c r="D377">
        <v>20210401</v>
      </c>
      <c r="E377">
        <v>20220331</v>
      </c>
      <c r="F377" t="s">
        <v>2466</v>
      </c>
      <c r="G377" t="s">
        <v>2467</v>
      </c>
      <c r="H377" t="s">
        <v>590</v>
      </c>
      <c r="I377" t="s">
        <v>774</v>
      </c>
      <c r="L377">
        <v>1</v>
      </c>
      <c r="M377">
        <v>110000</v>
      </c>
      <c r="N377">
        <v>-1</v>
      </c>
      <c r="O377">
        <v>-110000</v>
      </c>
      <c r="Z377" s="3">
        <f t="shared" si="5"/>
        <v>110000</v>
      </c>
    </row>
    <row r="378" spans="1:26" hidden="1">
      <c r="A378" t="s">
        <v>707</v>
      </c>
      <c r="B378" s="6">
        <v>44287</v>
      </c>
      <c r="C378" s="6">
        <v>44651</v>
      </c>
      <c r="D378">
        <v>20210401</v>
      </c>
      <c r="E378">
        <v>20220331</v>
      </c>
      <c r="F378" t="s">
        <v>2472</v>
      </c>
      <c r="G378" t="s">
        <v>2473</v>
      </c>
      <c r="H378" t="s">
        <v>590</v>
      </c>
      <c r="I378" t="s">
        <v>774</v>
      </c>
      <c r="L378">
        <v>1</v>
      </c>
      <c r="M378">
        <v>130000</v>
      </c>
      <c r="N378">
        <v>-1</v>
      </c>
      <c r="O378">
        <v>-130000</v>
      </c>
      <c r="Z378" s="3">
        <f t="shared" si="5"/>
        <v>130000</v>
      </c>
    </row>
    <row r="379" spans="1:26" hidden="1">
      <c r="A379" t="s">
        <v>707</v>
      </c>
      <c r="B379" s="6">
        <v>44287</v>
      </c>
      <c r="C379" s="6">
        <v>44651</v>
      </c>
      <c r="D379">
        <v>20210401</v>
      </c>
      <c r="E379">
        <v>20220331</v>
      </c>
      <c r="F379" t="s">
        <v>2474</v>
      </c>
      <c r="G379" t="s">
        <v>2475</v>
      </c>
      <c r="H379" t="s">
        <v>590</v>
      </c>
      <c r="I379" t="s">
        <v>774</v>
      </c>
      <c r="L379">
        <v>1</v>
      </c>
      <c r="M379">
        <v>140000</v>
      </c>
      <c r="N379">
        <v>-1</v>
      </c>
      <c r="O379">
        <v>-140000</v>
      </c>
      <c r="Z379" s="3">
        <f t="shared" si="5"/>
        <v>140000</v>
      </c>
    </row>
    <row r="380" spans="1:26" hidden="1">
      <c r="A380" t="s">
        <v>707</v>
      </c>
      <c r="B380" s="6">
        <v>44287</v>
      </c>
      <c r="C380" s="6">
        <v>44651</v>
      </c>
      <c r="D380">
        <v>20210401</v>
      </c>
      <c r="E380">
        <v>20220331</v>
      </c>
      <c r="F380" t="s">
        <v>2494</v>
      </c>
      <c r="G380" t="s">
        <v>2495</v>
      </c>
      <c r="H380" t="s">
        <v>590</v>
      </c>
      <c r="I380" t="s">
        <v>774</v>
      </c>
      <c r="L380">
        <v>1</v>
      </c>
      <c r="M380">
        <v>1</v>
      </c>
      <c r="N380">
        <v>-1</v>
      </c>
      <c r="O380">
        <v>-1</v>
      </c>
      <c r="P380">
        <v>1</v>
      </c>
      <c r="Q380">
        <v>1</v>
      </c>
      <c r="R380">
        <v>-1</v>
      </c>
      <c r="S380">
        <v>-1</v>
      </c>
      <c r="Z380" s="3" t="e">
        <f t="shared" si="5"/>
        <v>#DIV/0!</v>
      </c>
    </row>
    <row r="381" spans="1:26" hidden="1">
      <c r="A381" t="s">
        <v>707</v>
      </c>
      <c r="B381" s="6">
        <v>44287</v>
      </c>
      <c r="C381" s="6">
        <v>44651</v>
      </c>
      <c r="D381">
        <v>20210401</v>
      </c>
      <c r="E381">
        <v>20220331</v>
      </c>
      <c r="F381" t="s">
        <v>2496</v>
      </c>
      <c r="G381" t="s">
        <v>2497</v>
      </c>
      <c r="H381" t="s">
        <v>590</v>
      </c>
      <c r="I381" t="s">
        <v>774</v>
      </c>
      <c r="L381">
        <v>2</v>
      </c>
      <c r="M381">
        <v>275001</v>
      </c>
      <c r="N381">
        <v>-2</v>
      </c>
      <c r="O381">
        <v>-275001</v>
      </c>
      <c r="Z381" s="3">
        <f t="shared" si="5"/>
        <v>137500.5</v>
      </c>
    </row>
    <row r="382" spans="1:26" hidden="1">
      <c r="A382" t="s">
        <v>707</v>
      </c>
      <c r="B382" s="6">
        <v>44287</v>
      </c>
      <c r="C382" s="6">
        <v>44651</v>
      </c>
      <c r="D382">
        <v>20210401</v>
      </c>
      <c r="E382">
        <v>20220331</v>
      </c>
      <c r="F382" t="s">
        <v>2498</v>
      </c>
      <c r="G382" t="s">
        <v>2499</v>
      </c>
      <c r="H382" t="s">
        <v>590</v>
      </c>
      <c r="I382" t="s">
        <v>774</v>
      </c>
      <c r="L382">
        <v>2</v>
      </c>
      <c r="M382">
        <v>175001</v>
      </c>
      <c r="N382">
        <v>-2</v>
      </c>
      <c r="O382">
        <v>-175001</v>
      </c>
      <c r="Z382" s="3">
        <f t="shared" si="5"/>
        <v>87500.5</v>
      </c>
    </row>
    <row r="383" spans="1:26" hidden="1">
      <c r="A383" t="s">
        <v>707</v>
      </c>
      <c r="B383" s="6">
        <v>44287</v>
      </c>
      <c r="C383" s="6">
        <v>44651</v>
      </c>
      <c r="D383">
        <v>20210401</v>
      </c>
      <c r="E383">
        <v>20220331</v>
      </c>
      <c r="F383" t="s">
        <v>2500</v>
      </c>
      <c r="G383" t="s">
        <v>2501</v>
      </c>
      <c r="H383" t="s">
        <v>590</v>
      </c>
      <c r="I383" t="s">
        <v>774</v>
      </c>
      <c r="L383">
        <v>1</v>
      </c>
      <c r="M383">
        <v>40000</v>
      </c>
      <c r="N383">
        <v>-1</v>
      </c>
      <c r="O383">
        <v>-40000</v>
      </c>
      <c r="Z383" s="3">
        <f t="shared" si="5"/>
        <v>40000</v>
      </c>
    </row>
    <row r="384" spans="1:26" hidden="1">
      <c r="A384" t="s">
        <v>707</v>
      </c>
      <c r="B384" s="6">
        <v>44287</v>
      </c>
      <c r="C384" s="6">
        <v>44651</v>
      </c>
      <c r="D384">
        <v>20210401</v>
      </c>
      <c r="E384">
        <v>20220331</v>
      </c>
      <c r="F384" t="s">
        <v>2502</v>
      </c>
      <c r="G384" t="s">
        <v>2503</v>
      </c>
      <c r="H384" t="s">
        <v>590</v>
      </c>
      <c r="I384" t="s">
        <v>774</v>
      </c>
      <c r="L384">
        <v>1</v>
      </c>
      <c r="M384">
        <v>1</v>
      </c>
      <c r="N384">
        <v>-1</v>
      </c>
      <c r="O384">
        <v>-1</v>
      </c>
      <c r="Z384" s="3">
        <f t="shared" si="5"/>
        <v>1</v>
      </c>
    </row>
    <row r="385" spans="1:26" hidden="1">
      <c r="A385" t="s">
        <v>707</v>
      </c>
      <c r="B385" s="6">
        <v>44287</v>
      </c>
      <c r="C385" s="6">
        <v>44651</v>
      </c>
      <c r="D385">
        <v>20210401</v>
      </c>
      <c r="E385">
        <v>20220331</v>
      </c>
      <c r="F385" t="s">
        <v>2504</v>
      </c>
      <c r="G385" t="s">
        <v>2505</v>
      </c>
      <c r="H385" t="s">
        <v>590</v>
      </c>
      <c r="I385" t="s">
        <v>774</v>
      </c>
      <c r="L385">
        <v>1</v>
      </c>
      <c r="M385">
        <v>1</v>
      </c>
      <c r="N385">
        <v>-1</v>
      </c>
      <c r="O385">
        <v>-1</v>
      </c>
      <c r="Z385" s="3">
        <f t="shared" si="5"/>
        <v>1</v>
      </c>
    </row>
    <row r="386" spans="1:26" hidden="1">
      <c r="A386" t="s">
        <v>707</v>
      </c>
      <c r="B386" s="6">
        <v>44287</v>
      </c>
      <c r="C386" s="6">
        <v>44651</v>
      </c>
      <c r="D386">
        <v>20210401</v>
      </c>
      <c r="E386">
        <v>20220331</v>
      </c>
      <c r="F386" t="s">
        <v>2506</v>
      </c>
      <c r="G386" t="s">
        <v>2507</v>
      </c>
      <c r="H386" t="s">
        <v>590</v>
      </c>
      <c r="I386" t="s">
        <v>774</v>
      </c>
      <c r="L386">
        <v>1</v>
      </c>
      <c r="M386">
        <v>1</v>
      </c>
      <c r="N386">
        <v>-1</v>
      </c>
      <c r="O386">
        <v>-1</v>
      </c>
      <c r="Z386" s="3">
        <f t="shared" si="5"/>
        <v>1</v>
      </c>
    </row>
    <row r="387" spans="1:26" hidden="1">
      <c r="A387" t="s">
        <v>707</v>
      </c>
      <c r="B387" s="6">
        <v>44287</v>
      </c>
      <c r="C387" s="6">
        <v>44651</v>
      </c>
      <c r="D387">
        <v>20210401</v>
      </c>
      <c r="E387">
        <v>20220331</v>
      </c>
      <c r="F387" t="s">
        <v>2508</v>
      </c>
      <c r="G387" t="s">
        <v>2509</v>
      </c>
      <c r="H387" t="s">
        <v>590</v>
      </c>
      <c r="I387" t="s">
        <v>774</v>
      </c>
      <c r="L387">
        <v>1</v>
      </c>
      <c r="M387">
        <v>1</v>
      </c>
      <c r="N387">
        <v>-1</v>
      </c>
      <c r="O387">
        <v>-1</v>
      </c>
      <c r="Z387" s="3">
        <f t="shared" ref="Z387:Z450" si="6">IFERROR((O387+Q387)/(N387+P387),Y387/X387)</f>
        <v>1</v>
      </c>
    </row>
    <row r="388" spans="1:26" hidden="1">
      <c r="A388" t="s">
        <v>707</v>
      </c>
      <c r="B388" s="6">
        <v>44287</v>
      </c>
      <c r="C388" s="6">
        <v>44651</v>
      </c>
      <c r="D388">
        <v>20210401</v>
      </c>
      <c r="E388">
        <v>20220331</v>
      </c>
      <c r="F388" t="s">
        <v>2510</v>
      </c>
      <c r="G388" t="s">
        <v>2511</v>
      </c>
      <c r="H388" t="s">
        <v>590</v>
      </c>
      <c r="I388" t="s">
        <v>774</v>
      </c>
      <c r="L388">
        <v>1</v>
      </c>
      <c r="M388">
        <v>1</v>
      </c>
      <c r="N388">
        <v>-1</v>
      </c>
      <c r="O388">
        <v>-1</v>
      </c>
      <c r="Z388" s="3">
        <f t="shared" si="6"/>
        <v>1</v>
      </c>
    </row>
    <row r="389" spans="1:26" hidden="1">
      <c r="A389" t="s">
        <v>707</v>
      </c>
      <c r="B389" s="6">
        <v>44287</v>
      </c>
      <c r="C389" s="6">
        <v>44651</v>
      </c>
      <c r="D389">
        <v>20210401</v>
      </c>
      <c r="E389">
        <v>20220331</v>
      </c>
      <c r="F389" t="s">
        <v>2512</v>
      </c>
      <c r="G389" t="s">
        <v>2513</v>
      </c>
      <c r="H389" t="s">
        <v>590</v>
      </c>
      <c r="I389" t="s">
        <v>774</v>
      </c>
      <c r="L389">
        <v>1</v>
      </c>
      <c r="M389">
        <v>1</v>
      </c>
      <c r="N389">
        <v>-1</v>
      </c>
      <c r="O389">
        <v>-1</v>
      </c>
      <c r="Z389" s="3">
        <f t="shared" si="6"/>
        <v>1</v>
      </c>
    </row>
    <row r="390" spans="1:26" hidden="1">
      <c r="A390" t="s">
        <v>707</v>
      </c>
      <c r="B390" s="6">
        <v>44287</v>
      </c>
      <c r="C390" s="6">
        <v>44651</v>
      </c>
      <c r="D390">
        <v>20210401</v>
      </c>
      <c r="E390">
        <v>20220331</v>
      </c>
      <c r="F390" t="s">
        <v>2516</v>
      </c>
      <c r="G390" t="s">
        <v>2517</v>
      </c>
      <c r="H390" t="s">
        <v>590</v>
      </c>
      <c r="I390" t="s">
        <v>1462</v>
      </c>
      <c r="L390">
        <v>60</v>
      </c>
      <c r="M390">
        <v>720</v>
      </c>
      <c r="N390">
        <v>-20</v>
      </c>
      <c r="O390">
        <v>-248</v>
      </c>
      <c r="X390">
        <v>40</v>
      </c>
      <c r="Y390">
        <v>472</v>
      </c>
      <c r="Z390" s="3">
        <f t="shared" si="6"/>
        <v>12.4</v>
      </c>
    </row>
    <row r="391" spans="1:26" hidden="1">
      <c r="A391" t="s">
        <v>707</v>
      </c>
      <c r="B391" s="6">
        <v>44287</v>
      </c>
      <c r="C391" s="6">
        <v>44651</v>
      </c>
      <c r="D391">
        <v>20210401</v>
      </c>
      <c r="E391">
        <v>20220331</v>
      </c>
      <c r="F391" t="s">
        <v>6076</v>
      </c>
      <c r="G391" t="s">
        <v>6077</v>
      </c>
      <c r="H391" t="s">
        <v>590</v>
      </c>
      <c r="I391" t="s">
        <v>1462</v>
      </c>
      <c r="J391">
        <v>14</v>
      </c>
      <c r="K391">
        <v>1679.88</v>
      </c>
      <c r="X391">
        <v>14</v>
      </c>
      <c r="Y391">
        <v>1679.88</v>
      </c>
      <c r="Z391" s="3">
        <f t="shared" si="6"/>
        <v>119.99142857142859</v>
      </c>
    </row>
    <row r="392" spans="1:26" hidden="1">
      <c r="A392" t="s">
        <v>707</v>
      </c>
      <c r="B392" s="6">
        <v>44287</v>
      </c>
      <c r="C392" s="6">
        <v>44651</v>
      </c>
      <c r="D392">
        <v>20210401</v>
      </c>
      <c r="E392">
        <v>20220331</v>
      </c>
      <c r="F392" t="s">
        <v>6078</v>
      </c>
      <c r="G392" t="s">
        <v>6079</v>
      </c>
      <c r="H392" t="s">
        <v>590</v>
      </c>
      <c r="I392" t="s">
        <v>1462</v>
      </c>
      <c r="J392">
        <v>21</v>
      </c>
      <c r="K392">
        <v>203.08</v>
      </c>
      <c r="N392">
        <v>-1</v>
      </c>
      <c r="O392">
        <v>-9.67</v>
      </c>
      <c r="X392">
        <v>20</v>
      </c>
      <c r="Y392">
        <v>193.41</v>
      </c>
      <c r="Z392" s="3">
        <f t="shared" si="6"/>
        <v>9.67</v>
      </c>
    </row>
    <row r="393" spans="1:26" hidden="1">
      <c r="A393" t="s">
        <v>707</v>
      </c>
      <c r="B393" s="6">
        <v>44287</v>
      </c>
      <c r="C393" s="6">
        <v>44651</v>
      </c>
      <c r="D393">
        <v>20210401</v>
      </c>
      <c r="E393">
        <v>20220331</v>
      </c>
      <c r="F393" t="s">
        <v>6080</v>
      </c>
      <c r="G393" t="s">
        <v>6081</v>
      </c>
      <c r="H393" t="s">
        <v>590</v>
      </c>
      <c r="I393" t="s">
        <v>1462</v>
      </c>
      <c r="J393">
        <v>5</v>
      </c>
      <c r="K393">
        <v>113.47</v>
      </c>
      <c r="L393">
        <v>4</v>
      </c>
      <c r="M393">
        <v>80</v>
      </c>
      <c r="N393">
        <v>-8</v>
      </c>
      <c r="O393">
        <v>-172.36</v>
      </c>
      <c r="X393">
        <v>1</v>
      </c>
      <c r="Y393">
        <v>21.11</v>
      </c>
      <c r="Z393" s="3">
        <f t="shared" si="6"/>
        <v>21.545000000000002</v>
      </c>
    </row>
    <row r="394" spans="1:26" hidden="1">
      <c r="A394" t="s">
        <v>707</v>
      </c>
      <c r="B394" s="6">
        <v>44287</v>
      </c>
      <c r="C394" s="6">
        <v>44651</v>
      </c>
      <c r="D394">
        <v>20210401</v>
      </c>
      <c r="E394">
        <v>20220331</v>
      </c>
      <c r="F394" t="s">
        <v>6082</v>
      </c>
      <c r="G394" t="s">
        <v>6083</v>
      </c>
      <c r="H394" t="s">
        <v>590</v>
      </c>
      <c r="I394" t="s">
        <v>1462</v>
      </c>
      <c r="J394">
        <v>15</v>
      </c>
      <c r="K394">
        <v>1426.54</v>
      </c>
      <c r="X394">
        <v>15</v>
      </c>
      <c r="Y394">
        <v>1426.54</v>
      </c>
      <c r="Z394" s="3">
        <f t="shared" si="6"/>
        <v>95.102666666666664</v>
      </c>
    </row>
    <row r="395" spans="1:26" hidden="1">
      <c r="A395" t="s">
        <v>707</v>
      </c>
      <c r="B395" s="6">
        <v>44287</v>
      </c>
      <c r="C395" s="6">
        <v>44651</v>
      </c>
      <c r="D395">
        <v>20210401</v>
      </c>
      <c r="E395">
        <v>20220331</v>
      </c>
      <c r="F395" t="s">
        <v>6084</v>
      </c>
      <c r="G395" t="s">
        <v>6085</v>
      </c>
      <c r="H395" t="s">
        <v>590</v>
      </c>
      <c r="I395" t="s">
        <v>1462</v>
      </c>
      <c r="L395">
        <v>12</v>
      </c>
      <c r="M395">
        <v>300</v>
      </c>
      <c r="N395">
        <v>-4</v>
      </c>
      <c r="O395">
        <v>-100</v>
      </c>
      <c r="X395">
        <v>8</v>
      </c>
      <c r="Y395">
        <v>200</v>
      </c>
      <c r="Z395" s="3">
        <f t="shared" si="6"/>
        <v>25</v>
      </c>
    </row>
    <row r="396" spans="1:26" hidden="1">
      <c r="A396" t="s">
        <v>707</v>
      </c>
      <c r="B396" s="6">
        <v>44287</v>
      </c>
      <c r="C396" s="6">
        <v>44651</v>
      </c>
      <c r="D396">
        <v>20210401</v>
      </c>
      <c r="E396">
        <v>20220331</v>
      </c>
      <c r="F396" t="s">
        <v>2524</v>
      </c>
      <c r="G396" t="s">
        <v>2525</v>
      </c>
      <c r="H396" t="s">
        <v>590</v>
      </c>
      <c r="I396" t="s">
        <v>1462</v>
      </c>
      <c r="J396">
        <v>1</v>
      </c>
      <c r="L396">
        <v>12</v>
      </c>
      <c r="M396">
        <v>240</v>
      </c>
      <c r="N396">
        <v>-12</v>
      </c>
      <c r="O396">
        <v>-219.96</v>
      </c>
      <c r="X396">
        <v>1</v>
      </c>
      <c r="Y396">
        <v>20.04</v>
      </c>
      <c r="Z396" s="3">
        <f t="shared" si="6"/>
        <v>18.330000000000002</v>
      </c>
    </row>
    <row r="397" spans="1:26" hidden="1">
      <c r="A397" t="s">
        <v>707</v>
      </c>
      <c r="B397" s="6">
        <v>44287</v>
      </c>
      <c r="C397" s="6">
        <v>44651</v>
      </c>
      <c r="D397">
        <v>20210401</v>
      </c>
      <c r="E397">
        <v>20220331</v>
      </c>
      <c r="F397" t="s">
        <v>6086</v>
      </c>
      <c r="G397" t="s">
        <v>6087</v>
      </c>
      <c r="H397" t="s">
        <v>590</v>
      </c>
      <c r="I397" t="s">
        <v>1462</v>
      </c>
      <c r="J397">
        <v>6</v>
      </c>
      <c r="K397">
        <v>5040</v>
      </c>
      <c r="X397">
        <v>6</v>
      </c>
      <c r="Y397">
        <v>5040</v>
      </c>
      <c r="Z397" s="3">
        <f t="shared" si="6"/>
        <v>840</v>
      </c>
    </row>
    <row r="398" spans="1:26" hidden="1">
      <c r="A398" t="s">
        <v>707</v>
      </c>
      <c r="B398" s="6">
        <v>44287</v>
      </c>
      <c r="C398" s="6">
        <v>44651</v>
      </c>
      <c r="D398">
        <v>20210401</v>
      </c>
      <c r="E398">
        <v>20220331</v>
      </c>
      <c r="F398" t="s">
        <v>6088</v>
      </c>
      <c r="G398" t="s">
        <v>6089</v>
      </c>
      <c r="H398" t="s">
        <v>590</v>
      </c>
      <c r="I398" t="s">
        <v>1462</v>
      </c>
      <c r="J398">
        <v>14</v>
      </c>
      <c r="K398">
        <v>560</v>
      </c>
      <c r="X398">
        <v>14</v>
      </c>
      <c r="Y398">
        <v>560</v>
      </c>
      <c r="Z398" s="3">
        <f t="shared" si="6"/>
        <v>40</v>
      </c>
    </row>
    <row r="399" spans="1:26" hidden="1">
      <c r="A399" t="s">
        <v>707</v>
      </c>
      <c r="B399" s="6">
        <v>44287</v>
      </c>
      <c r="C399" s="6">
        <v>44651</v>
      </c>
      <c r="D399">
        <v>20210401</v>
      </c>
      <c r="E399">
        <v>20220331</v>
      </c>
      <c r="F399" t="s">
        <v>2536</v>
      </c>
      <c r="G399" t="s">
        <v>2537</v>
      </c>
      <c r="H399" t="s">
        <v>590</v>
      </c>
      <c r="I399" t="s">
        <v>1462</v>
      </c>
      <c r="J399">
        <v>6</v>
      </c>
      <c r="K399">
        <v>2100</v>
      </c>
      <c r="X399">
        <v>6</v>
      </c>
      <c r="Y399">
        <v>2100</v>
      </c>
      <c r="Z399" s="3">
        <f t="shared" si="6"/>
        <v>350</v>
      </c>
    </row>
    <row r="400" spans="1:26" hidden="1">
      <c r="A400" t="s">
        <v>707</v>
      </c>
      <c r="B400" s="6">
        <v>44287</v>
      </c>
      <c r="C400" s="6">
        <v>44651</v>
      </c>
      <c r="D400">
        <v>20210401</v>
      </c>
      <c r="E400">
        <v>20220331</v>
      </c>
      <c r="F400" t="s">
        <v>2538</v>
      </c>
      <c r="G400" t="s">
        <v>2539</v>
      </c>
      <c r="H400" t="s">
        <v>590</v>
      </c>
      <c r="I400" t="s">
        <v>1462</v>
      </c>
      <c r="L400">
        <v>10</v>
      </c>
      <c r="M400">
        <v>900</v>
      </c>
      <c r="X400">
        <v>10</v>
      </c>
      <c r="Y400">
        <v>900</v>
      </c>
      <c r="Z400" s="3">
        <f t="shared" si="6"/>
        <v>90</v>
      </c>
    </row>
    <row r="401" spans="1:26" hidden="1">
      <c r="A401" t="s">
        <v>707</v>
      </c>
      <c r="B401" s="6">
        <v>44287</v>
      </c>
      <c r="C401" s="6">
        <v>44651</v>
      </c>
      <c r="D401">
        <v>20210401</v>
      </c>
      <c r="E401">
        <v>20220331</v>
      </c>
      <c r="F401" t="s">
        <v>6090</v>
      </c>
      <c r="G401" t="s">
        <v>6091</v>
      </c>
      <c r="H401" t="s">
        <v>590</v>
      </c>
      <c r="I401" t="s">
        <v>1462</v>
      </c>
      <c r="L401">
        <v>1</v>
      </c>
      <c r="M401">
        <v>15500</v>
      </c>
      <c r="N401">
        <v>-1</v>
      </c>
      <c r="O401">
        <v>-15500</v>
      </c>
      <c r="Z401" s="3">
        <f t="shared" si="6"/>
        <v>15500</v>
      </c>
    </row>
    <row r="402" spans="1:26" hidden="1">
      <c r="A402" t="s">
        <v>707</v>
      </c>
      <c r="B402" s="6">
        <v>44287</v>
      </c>
      <c r="C402" s="6">
        <v>44651</v>
      </c>
      <c r="D402">
        <v>20210401</v>
      </c>
      <c r="E402">
        <v>20220331</v>
      </c>
      <c r="F402" t="s">
        <v>6092</v>
      </c>
      <c r="G402" t="s">
        <v>6093</v>
      </c>
      <c r="H402" t="s">
        <v>590</v>
      </c>
      <c r="I402" t="s">
        <v>1462</v>
      </c>
      <c r="J402">
        <v>2</v>
      </c>
      <c r="K402">
        <v>8500</v>
      </c>
      <c r="X402">
        <v>2</v>
      </c>
      <c r="Y402">
        <v>8500</v>
      </c>
      <c r="Z402" s="3">
        <f t="shared" si="6"/>
        <v>4250</v>
      </c>
    </row>
    <row r="403" spans="1:26" hidden="1">
      <c r="A403" t="s">
        <v>707</v>
      </c>
      <c r="B403" s="6">
        <v>44287</v>
      </c>
      <c r="C403" s="6">
        <v>44651</v>
      </c>
      <c r="D403">
        <v>20210401</v>
      </c>
      <c r="E403">
        <v>20220331</v>
      </c>
      <c r="F403" t="s">
        <v>2550</v>
      </c>
      <c r="G403" t="s">
        <v>2551</v>
      </c>
      <c r="H403" t="s">
        <v>590</v>
      </c>
      <c r="I403" t="s">
        <v>805</v>
      </c>
      <c r="J403">
        <v>8</v>
      </c>
      <c r="K403">
        <v>278.11</v>
      </c>
      <c r="N403">
        <v>-6</v>
      </c>
      <c r="O403">
        <v>-208.56</v>
      </c>
      <c r="X403">
        <v>2</v>
      </c>
      <c r="Y403">
        <v>69.55</v>
      </c>
      <c r="Z403" s="3">
        <f t="shared" si="6"/>
        <v>34.76</v>
      </c>
    </row>
    <row r="404" spans="1:26" hidden="1">
      <c r="A404" t="s">
        <v>707</v>
      </c>
      <c r="B404" s="6">
        <v>44287</v>
      </c>
      <c r="C404" s="6">
        <v>44651</v>
      </c>
      <c r="D404">
        <v>20210401</v>
      </c>
      <c r="E404">
        <v>20220331</v>
      </c>
      <c r="F404" t="s">
        <v>6094</v>
      </c>
      <c r="G404" t="s">
        <v>6095</v>
      </c>
      <c r="H404" t="s">
        <v>590</v>
      </c>
      <c r="I404" t="s">
        <v>1462</v>
      </c>
      <c r="L404">
        <v>12</v>
      </c>
      <c r="M404">
        <v>480</v>
      </c>
      <c r="N404">
        <v>-4</v>
      </c>
      <c r="O404">
        <v>-160</v>
      </c>
      <c r="X404">
        <v>8</v>
      </c>
      <c r="Y404">
        <v>320</v>
      </c>
      <c r="Z404" s="3">
        <f t="shared" si="6"/>
        <v>40</v>
      </c>
    </row>
    <row r="405" spans="1:26" hidden="1">
      <c r="A405" t="s">
        <v>707</v>
      </c>
      <c r="B405" s="6">
        <v>44287</v>
      </c>
      <c r="C405" s="6">
        <v>44651</v>
      </c>
      <c r="D405">
        <v>20210401</v>
      </c>
      <c r="E405">
        <v>20220331</v>
      </c>
      <c r="F405" t="s">
        <v>6096</v>
      </c>
      <c r="G405" t="s">
        <v>6097</v>
      </c>
      <c r="H405" t="s">
        <v>590</v>
      </c>
      <c r="I405" t="s">
        <v>1462</v>
      </c>
      <c r="L405">
        <v>11</v>
      </c>
      <c r="M405">
        <v>1645</v>
      </c>
      <c r="N405">
        <v>-4</v>
      </c>
      <c r="O405">
        <v>-593.33000000000004</v>
      </c>
      <c r="X405">
        <v>7</v>
      </c>
      <c r="Y405">
        <v>1051.67</v>
      </c>
      <c r="Z405" s="3">
        <f t="shared" si="6"/>
        <v>148.33250000000001</v>
      </c>
    </row>
    <row r="406" spans="1:26" hidden="1">
      <c r="A406" t="s">
        <v>707</v>
      </c>
      <c r="B406" s="6">
        <v>44287</v>
      </c>
      <c r="C406" s="6">
        <v>44651</v>
      </c>
      <c r="D406">
        <v>20210401</v>
      </c>
      <c r="E406">
        <v>20220331</v>
      </c>
      <c r="F406" t="s">
        <v>6098</v>
      </c>
      <c r="G406" t="s">
        <v>6099</v>
      </c>
      <c r="H406" t="s">
        <v>590</v>
      </c>
      <c r="I406" t="s">
        <v>1462</v>
      </c>
      <c r="J406">
        <v>1</v>
      </c>
      <c r="K406">
        <v>250</v>
      </c>
      <c r="X406">
        <v>1</v>
      </c>
      <c r="Y406">
        <v>250</v>
      </c>
      <c r="Z406" s="3">
        <f t="shared" si="6"/>
        <v>250</v>
      </c>
    </row>
    <row r="407" spans="1:26" hidden="1">
      <c r="A407" t="s">
        <v>707</v>
      </c>
      <c r="B407" s="6">
        <v>44287</v>
      </c>
      <c r="C407" s="6">
        <v>44651</v>
      </c>
      <c r="D407">
        <v>20210401</v>
      </c>
      <c r="E407">
        <v>20220331</v>
      </c>
      <c r="F407" t="s">
        <v>6100</v>
      </c>
      <c r="G407" t="s">
        <v>6101</v>
      </c>
      <c r="H407" t="s">
        <v>590</v>
      </c>
      <c r="I407" t="s">
        <v>1462</v>
      </c>
      <c r="J407">
        <v>2</v>
      </c>
      <c r="K407">
        <v>6000</v>
      </c>
      <c r="X407">
        <v>2</v>
      </c>
      <c r="Y407">
        <v>6000</v>
      </c>
      <c r="Z407" s="3">
        <f t="shared" si="6"/>
        <v>3000</v>
      </c>
    </row>
    <row r="408" spans="1:26" hidden="1">
      <c r="A408" t="s">
        <v>707</v>
      </c>
      <c r="B408" s="6">
        <v>44287</v>
      </c>
      <c r="C408" s="6">
        <v>44651</v>
      </c>
      <c r="D408">
        <v>20210401</v>
      </c>
      <c r="E408">
        <v>20220331</v>
      </c>
      <c r="F408" t="s">
        <v>6102</v>
      </c>
      <c r="G408" t="s">
        <v>6103</v>
      </c>
      <c r="H408" t="s">
        <v>590</v>
      </c>
      <c r="I408" t="s">
        <v>1462</v>
      </c>
      <c r="J408">
        <v>15</v>
      </c>
      <c r="K408">
        <v>2105.7800000000002</v>
      </c>
      <c r="N408">
        <v>-6</v>
      </c>
      <c r="O408">
        <v>-842.3</v>
      </c>
      <c r="X408">
        <v>9</v>
      </c>
      <c r="Y408">
        <v>1263.48</v>
      </c>
      <c r="Z408" s="3">
        <f t="shared" si="6"/>
        <v>140.38333333333333</v>
      </c>
    </row>
    <row r="409" spans="1:26" hidden="1">
      <c r="A409" t="s">
        <v>707</v>
      </c>
      <c r="B409" s="6">
        <v>44287</v>
      </c>
      <c r="C409" s="6">
        <v>44651</v>
      </c>
      <c r="D409">
        <v>20210401</v>
      </c>
      <c r="E409">
        <v>20220331</v>
      </c>
      <c r="F409" t="s">
        <v>2560</v>
      </c>
      <c r="G409" t="s">
        <v>2561</v>
      </c>
      <c r="H409" t="s">
        <v>590</v>
      </c>
      <c r="I409" t="s">
        <v>1462</v>
      </c>
      <c r="J409">
        <v>6</v>
      </c>
      <c r="K409">
        <v>720</v>
      </c>
      <c r="X409">
        <v>6</v>
      </c>
      <c r="Y409">
        <v>720</v>
      </c>
      <c r="Z409" s="3">
        <f t="shared" si="6"/>
        <v>120</v>
      </c>
    </row>
    <row r="410" spans="1:26" hidden="1">
      <c r="A410" t="s">
        <v>707</v>
      </c>
      <c r="B410" s="6">
        <v>44287</v>
      </c>
      <c r="C410" s="6">
        <v>44651</v>
      </c>
      <c r="D410">
        <v>20210401</v>
      </c>
      <c r="E410">
        <v>20220331</v>
      </c>
      <c r="F410" t="s">
        <v>2562</v>
      </c>
      <c r="G410" t="s">
        <v>2563</v>
      </c>
      <c r="H410" t="s">
        <v>590</v>
      </c>
      <c r="I410" t="s">
        <v>1462</v>
      </c>
      <c r="L410">
        <v>115</v>
      </c>
      <c r="M410">
        <v>23425</v>
      </c>
      <c r="N410">
        <v>-112</v>
      </c>
      <c r="O410">
        <v>-22840.62</v>
      </c>
      <c r="X410">
        <v>3</v>
      </c>
      <c r="Y410">
        <v>584.38</v>
      </c>
      <c r="Z410" s="3">
        <f t="shared" si="6"/>
        <v>203.93410714285713</v>
      </c>
    </row>
    <row r="411" spans="1:26" hidden="1">
      <c r="A411" t="s">
        <v>707</v>
      </c>
      <c r="B411" s="6">
        <v>44287</v>
      </c>
      <c r="C411" s="6">
        <v>44651</v>
      </c>
      <c r="D411">
        <v>20210401</v>
      </c>
      <c r="E411">
        <v>20220331</v>
      </c>
      <c r="F411" t="s">
        <v>6104</v>
      </c>
      <c r="G411" t="s">
        <v>6105</v>
      </c>
      <c r="H411" t="s">
        <v>590</v>
      </c>
      <c r="I411" t="s">
        <v>1462</v>
      </c>
      <c r="L411">
        <v>1</v>
      </c>
      <c r="M411">
        <v>5859.38</v>
      </c>
      <c r="N411">
        <v>-1</v>
      </c>
      <c r="O411">
        <v>-5859.38</v>
      </c>
      <c r="Z411" s="3">
        <f t="shared" si="6"/>
        <v>5859.38</v>
      </c>
    </row>
    <row r="412" spans="1:26" hidden="1">
      <c r="A412" t="s">
        <v>707</v>
      </c>
      <c r="B412" s="6">
        <v>44287</v>
      </c>
      <c r="C412" s="6">
        <v>44651</v>
      </c>
      <c r="D412">
        <v>20210401</v>
      </c>
      <c r="E412">
        <v>20220331</v>
      </c>
      <c r="F412" t="s">
        <v>2564</v>
      </c>
      <c r="G412" t="s">
        <v>2565</v>
      </c>
      <c r="H412" t="s">
        <v>590</v>
      </c>
      <c r="I412" t="s">
        <v>1462</v>
      </c>
      <c r="J412">
        <v>5</v>
      </c>
      <c r="K412">
        <v>225</v>
      </c>
      <c r="N412">
        <v>-5</v>
      </c>
      <c r="O412">
        <v>-225</v>
      </c>
      <c r="Z412" s="3">
        <f t="shared" si="6"/>
        <v>45</v>
      </c>
    </row>
    <row r="413" spans="1:26" hidden="1">
      <c r="A413" t="s">
        <v>707</v>
      </c>
      <c r="B413" s="6">
        <v>44287</v>
      </c>
      <c r="C413" s="6">
        <v>44651</v>
      </c>
      <c r="D413">
        <v>20210401</v>
      </c>
      <c r="E413">
        <v>20220331</v>
      </c>
      <c r="F413" t="s">
        <v>6106</v>
      </c>
      <c r="G413" t="s">
        <v>6107</v>
      </c>
      <c r="H413" t="s">
        <v>590</v>
      </c>
      <c r="I413" t="s">
        <v>1462</v>
      </c>
      <c r="K413">
        <v>0.01</v>
      </c>
      <c r="Y413">
        <v>0.01</v>
      </c>
      <c r="Z413" s="3" t="e">
        <f t="shared" si="6"/>
        <v>#DIV/0!</v>
      </c>
    </row>
    <row r="414" spans="1:26" hidden="1">
      <c r="A414" t="s">
        <v>707</v>
      </c>
      <c r="B414" s="6">
        <v>44287</v>
      </c>
      <c r="C414" s="6">
        <v>44651</v>
      </c>
      <c r="D414">
        <v>20210401</v>
      </c>
      <c r="E414">
        <v>20220331</v>
      </c>
      <c r="F414" t="s">
        <v>6108</v>
      </c>
      <c r="G414" t="s">
        <v>6109</v>
      </c>
      <c r="H414" t="s">
        <v>590</v>
      </c>
      <c r="I414" t="s">
        <v>1462</v>
      </c>
      <c r="J414">
        <v>3</v>
      </c>
      <c r="K414">
        <v>975</v>
      </c>
      <c r="X414">
        <v>3</v>
      </c>
      <c r="Y414">
        <v>975</v>
      </c>
      <c r="Z414" s="3">
        <f t="shared" si="6"/>
        <v>325</v>
      </c>
    </row>
    <row r="415" spans="1:26" hidden="1">
      <c r="A415" t="s">
        <v>707</v>
      </c>
      <c r="B415" s="6">
        <v>44287</v>
      </c>
      <c r="C415" s="6">
        <v>44651</v>
      </c>
      <c r="D415">
        <v>20210401</v>
      </c>
      <c r="E415">
        <v>20220331</v>
      </c>
      <c r="F415" t="s">
        <v>6110</v>
      </c>
      <c r="G415" t="s">
        <v>6111</v>
      </c>
      <c r="H415" t="s">
        <v>590</v>
      </c>
      <c r="I415" t="s">
        <v>1462</v>
      </c>
      <c r="L415">
        <v>12</v>
      </c>
      <c r="M415">
        <v>264</v>
      </c>
      <c r="N415">
        <v>-5</v>
      </c>
      <c r="O415">
        <v>-110</v>
      </c>
      <c r="X415">
        <v>7</v>
      </c>
      <c r="Y415">
        <v>154</v>
      </c>
      <c r="Z415" s="3">
        <f t="shared" si="6"/>
        <v>22</v>
      </c>
    </row>
    <row r="416" spans="1:26" hidden="1">
      <c r="A416" t="s">
        <v>707</v>
      </c>
      <c r="B416" s="6">
        <v>44287</v>
      </c>
      <c r="C416" s="6">
        <v>44651</v>
      </c>
      <c r="D416">
        <v>20210401</v>
      </c>
      <c r="E416">
        <v>20220331</v>
      </c>
      <c r="F416" t="s">
        <v>6112</v>
      </c>
      <c r="G416" t="s">
        <v>6113</v>
      </c>
      <c r="H416" t="s">
        <v>590</v>
      </c>
      <c r="I416" t="s">
        <v>1462</v>
      </c>
      <c r="L416">
        <v>6</v>
      </c>
      <c r="M416">
        <v>7285.74</v>
      </c>
      <c r="N416">
        <v>-1</v>
      </c>
      <c r="O416">
        <v>-1214.29</v>
      </c>
      <c r="X416">
        <v>5</v>
      </c>
      <c r="Y416">
        <v>6071.45</v>
      </c>
      <c r="Z416" s="3">
        <f t="shared" si="6"/>
        <v>1214.29</v>
      </c>
    </row>
    <row r="417" spans="1:26" hidden="1">
      <c r="A417" t="s">
        <v>707</v>
      </c>
      <c r="B417" s="6">
        <v>44287</v>
      </c>
      <c r="C417" s="6">
        <v>44651</v>
      </c>
      <c r="D417">
        <v>20210401</v>
      </c>
      <c r="E417">
        <v>20220331</v>
      </c>
      <c r="F417" t="s">
        <v>2574</v>
      </c>
      <c r="G417" t="s">
        <v>2575</v>
      </c>
      <c r="H417" t="s">
        <v>590</v>
      </c>
      <c r="I417" t="s">
        <v>1462</v>
      </c>
      <c r="J417">
        <v>11</v>
      </c>
      <c r="K417">
        <v>704</v>
      </c>
      <c r="X417">
        <v>11</v>
      </c>
      <c r="Y417">
        <v>704</v>
      </c>
      <c r="Z417" s="3">
        <f t="shared" si="6"/>
        <v>64</v>
      </c>
    </row>
    <row r="418" spans="1:26" hidden="1">
      <c r="A418" t="s">
        <v>707</v>
      </c>
      <c r="B418" s="6">
        <v>44287</v>
      </c>
      <c r="C418" s="6">
        <v>44651</v>
      </c>
      <c r="D418">
        <v>20210401</v>
      </c>
      <c r="E418">
        <v>20220331</v>
      </c>
      <c r="F418" t="s">
        <v>6114</v>
      </c>
      <c r="G418" t="s">
        <v>6115</v>
      </c>
      <c r="H418" t="s">
        <v>590</v>
      </c>
      <c r="I418" t="s">
        <v>1462</v>
      </c>
      <c r="J418">
        <v>1</v>
      </c>
      <c r="K418">
        <v>1010.55</v>
      </c>
      <c r="X418">
        <v>1</v>
      </c>
      <c r="Y418">
        <v>1010.55</v>
      </c>
      <c r="Z418" s="3">
        <f t="shared" si="6"/>
        <v>1010.55</v>
      </c>
    </row>
    <row r="419" spans="1:26" hidden="1">
      <c r="A419" t="s">
        <v>707</v>
      </c>
      <c r="B419" s="6">
        <v>44287</v>
      </c>
      <c r="C419" s="6">
        <v>44651</v>
      </c>
      <c r="D419">
        <v>20210401</v>
      </c>
      <c r="E419">
        <v>20220331</v>
      </c>
      <c r="F419" t="s">
        <v>6116</v>
      </c>
      <c r="G419" t="s">
        <v>6117</v>
      </c>
      <c r="H419" t="s">
        <v>1267</v>
      </c>
      <c r="I419" t="s">
        <v>1462</v>
      </c>
      <c r="J419">
        <v>9</v>
      </c>
      <c r="K419">
        <v>18166.86</v>
      </c>
      <c r="X419">
        <v>9</v>
      </c>
      <c r="Y419">
        <v>18166.86</v>
      </c>
      <c r="Z419" s="3">
        <f t="shared" si="6"/>
        <v>2018.54</v>
      </c>
    </row>
    <row r="420" spans="1:26" hidden="1">
      <c r="A420" t="s">
        <v>707</v>
      </c>
      <c r="B420" s="6">
        <v>44287</v>
      </c>
      <c r="C420" s="6">
        <v>44651</v>
      </c>
      <c r="D420">
        <v>20210401</v>
      </c>
      <c r="E420">
        <v>20220331</v>
      </c>
      <c r="F420" t="s">
        <v>6118</v>
      </c>
      <c r="G420" t="s">
        <v>6119</v>
      </c>
      <c r="H420" t="s">
        <v>590</v>
      </c>
      <c r="I420" t="s">
        <v>805</v>
      </c>
      <c r="J420">
        <v>4</v>
      </c>
      <c r="K420">
        <v>800</v>
      </c>
      <c r="X420">
        <v>4</v>
      </c>
      <c r="Y420">
        <v>800</v>
      </c>
      <c r="Z420" s="3">
        <f t="shared" si="6"/>
        <v>200</v>
      </c>
    </row>
    <row r="421" spans="1:26" hidden="1">
      <c r="A421" t="s">
        <v>707</v>
      </c>
      <c r="B421" s="6">
        <v>44287</v>
      </c>
      <c r="C421" s="6">
        <v>44651</v>
      </c>
      <c r="D421">
        <v>20210401</v>
      </c>
      <c r="E421">
        <v>20220331</v>
      </c>
      <c r="F421" t="s">
        <v>6120</v>
      </c>
      <c r="G421" t="s">
        <v>6121</v>
      </c>
      <c r="H421" t="s">
        <v>590</v>
      </c>
      <c r="I421" t="s">
        <v>1462</v>
      </c>
      <c r="L421">
        <v>1</v>
      </c>
      <c r="M421">
        <v>800</v>
      </c>
      <c r="N421">
        <v>-1</v>
      </c>
      <c r="O421">
        <v>-800</v>
      </c>
      <c r="Z421" s="3">
        <f t="shared" si="6"/>
        <v>800</v>
      </c>
    </row>
    <row r="422" spans="1:26" hidden="1">
      <c r="A422" t="s">
        <v>707</v>
      </c>
      <c r="B422" s="6">
        <v>44287</v>
      </c>
      <c r="C422" s="6">
        <v>44651</v>
      </c>
      <c r="D422">
        <v>20210401</v>
      </c>
      <c r="E422">
        <v>20220331</v>
      </c>
      <c r="F422" t="s">
        <v>6122</v>
      </c>
      <c r="G422" t="s">
        <v>6123</v>
      </c>
      <c r="H422" t="s">
        <v>590</v>
      </c>
      <c r="I422" t="s">
        <v>1462</v>
      </c>
      <c r="J422">
        <v>6</v>
      </c>
      <c r="K422">
        <v>14400.01</v>
      </c>
      <c r="L422">
        <v>31</v>
      </c>
      <c r="M422">
        <v>48835.7</v>
      </c>
      <c r="N422">
        <v>-29</v>
      </c>
      <c r="O422">
        <v>-52192.21</v>
      </c>
      <c r="X422">
        <v>8</v>
      </c>
      <c r="Y422">
        <v>11043.5</v>
      </c>
      <c r="Z422" s="3">
        <f t="shared" si="6"/>
        <v>1799.7313793103449</v>
      </c>
    </row>
    <row r="423" spans="1:26" hidden="1">
      <c r="A423" t="s">
        <v>707</v>
      </c>
      <c r="B423" s="6">
        <v>44287</v>
      </c>
      <c r="C423" s="6">
        <v>44651</v>
      </c>
      <c r="D423">
        <v>20210401</v>
      </c>
      <c r="E423">
        <v>20220331</v>
      </c>
      <c r="F423" t="s">
        <v>2596</v>
      </c>
      <c r="G423" t="s">
        <v>2597</v>
      </c>
      <c r="H423" t="s">
        <v>590</v>
      </c>
      <c r="I423" t="s">
        <v>1462</v>
      </c>
      <c r="L423">
        <v>2</v>
      </c>
      <c r="M423">
        <v>2600</v>
      </c>
      <c r="X423">
        <v>2</v>
      </c>
      <c r="Y423">
        <v>2600</v>
      </c>
      <c r="Z423" s="3">
        <f t="shared" si="6"/>
        <v>1300</v>
      </c>
    </row>
    <row r="424" spans="1:26" hidden="1">
      <c r="A424" t="s">
        <v>707</v>
      </c>
      <c r="B424" s="6">
        <v>44287</v>
      </c>
      <c r="C424" s="6">
        <v>44651</v>
      </c>
      <c r="D424">
        <v>20210401</v>
      </c>
      <c r="E424">
        <v>20220331</v>
      </c>
      <c r="F424" t="s">
        <v>6124</v>
      </c>
      <c r="G424" t="s">
        <v>6125</v>
      </c>
      <c r="H424" t="s">
        <v>590</v>
      </c>
      <c r="I424" t="s">
        <v>1462</v>
      </c>
      <c r="L424">
        <v>6</v>
      </c>
      <c r="M424">
        <v>22500</v>
      </c>
      <c r="N424">
        <v>-5</v>
      </c>
      <c r="O424">
        <v>-18750</v>
      </c>
      <c r="X424">
        <v>1</v>
      </c>
      <c r="Y424">
        <v>3750</v>
      </c>
      <c r="Z424" s="3">
        <f t="shared" si="6"/>
        <v>3750</v>
      </c>
    </row>
    <row r="425" spans="1:26" hidden="1">
      <c r="A425" t="s">
        <v>707</v>
      </c>
      <c r="B425" s="6">
        <v>44287</v>
      </c>
      <c r="C425" s="6">
        <v>44651</v>
      </c>
      <c r="D425">
        <v>20210401</v>
      </c>
      <c r="E425">
        <v>20220331</v>
      </c>
      <c r="F425" t="s">
        <v>6126</v>
      </c>
      <c r="G425" t="s">
        <v>6127</v>
      </c>
      <c r="H425" t="s">
        <v>590</v>
      </c>
      <c r="I425" t="s">
        <v>1462</v>
      </c>
      <c r="L425">
        <v>2</v>
      </c>
      <c r="M425">
        <v>800</v>
      </c>
      <c r="X425">
        <v>2</v>
      </c>
      <c r="Y425">
        <v>800</v>
      </c>
      <c r="Z425" s="3">
        <f t="shared" si="6"/>
        <v>400</v>
      </c>
    </row>
    <row r="426" spans="1:26" hidden="1">
      <c r="A426" t="s">
        <v>707</v>
      </c>
      <c r="B426" s="6">
        <v>44287</v>
      </c>
      <c r="C426" s="6">
        <v>44651</v>
      </c>
      <c r="D426">
        <v>20210401</v>
      </c>
      <c r="E426">
        <v>20220331</v>
      </c>
      <c r="F426" t="s">
        <v>6128</v>
      </c>
      <c r="G426" t="s">
        <v>6129</v>
      </c>
      <c r="H426" t="s">
        <v>590</v>
      </c>
      <c r="I426" t="s">
        <v>1462</v>
      </c>
      <c r="K426">
        <v>0.05</v>
      </c>
      <c r="L426">
        <v>16</v>
      </c>
      <c r="M426">
        <v>210</v>
      </c>
      <c r="N426">
        <v>-3</v>
      </c>
      <c r="O426">
        <v>-30</v>
      </c>
      <c r="X426">
        <v>13</v>
      </c>
      <c r="Y426">
        <v>180.05</v>
      </c>
      <c r="Z426" s="3">
        <f t="shared" si="6"/>
        <v>10</v>
      </c>
    </row>
    <row r="427" spans="1:26" hidden="1">
      <c r="A427" t="s">
        <v>707</v>
      </c>
      <c r="B427" s="6">
        <v>44287</v>
      </c>
      <c r="C427" s="6">
        <v>44651</v>
      </c>
      <c r="D427">
        <v>20210401</v>
      </c>
      <c r="E427">
        <v>20220331</v>
      </c>
      <c r="F427" t="s">
        <v>6130</v>
      </c>
      <c r="G427" t="s">
        <v>6131</v>
      </c>
      <c r="H427" t="s">
        <v>590</v>
      </c>
      <c r="I427" t="s">
        <v>1462</v>
      </c>
      <c r="J427">
        <v>5</v>
      </c>
      <c r="K427">
        <v>460</v>
      </c>
      <c r="X427">
        <v>5</v>
      </c>
      <c r="Y427">
        <v>460</v>
      </c>
      <c r="Z427" s="3">
        <f t="shared" si="6"/>
        <v>92</v>
      </c>
    </row>
    <row r="428" spans="1:26" hidden="1">
      <c r="A428" t="s">
        <v>707</v>
      </c>
      <c r="B428" s="6">
        <v>44287</v>
      </c>
      <c r="C428" s="6">
        <v>44651</v>
      </c>
      <c r="D428">
        <v>20210401</v>
      </c>
      <c r="E428">
        <v>20220331</v>
      </c>
      <c r="F428" t="s">
        <v>6132</v>
      </c>
      <c r="G428" t="s">
        <v>6133</v>
      </c>
      <c r="H428" t="s">
        <v>590</v>
      </c>
      <c r="I428" t="s">
        <v>1462</v>
      </c>
      <c r="J428">
        <v>10</v>
      </c>
      <c r="K428">
        <v>209.84</v>
      </c>
      <c r="L428">
        <v>20</v>
      </c>
      <c r="M428">
        <v>400</v>
      </c>
      <c r="N428">
        <v>-21</v>
      </c>
      <c r="O428">
        <v>-422.86</v>
      </c>
      <c r="X428">
        <v>9</v>
      </c>
      <c r="Y428">
        <v>186.98</v>
      </c>
      <c r="Z428" s="3">
        <f t="shared" si="6"/>
        <v>20.136190476190478</v>
      </c>
    </row>
    <row r="429" spans="1:26" hidden="1">
      <c r="A429" t="s">
        <v>707</v>
      </c>
      <c r="B429" s="6">
        <v>44287</v>
      </c>
      <c r="C429" s="6">
        <v>44651</v>
      </c>
      <c r="D429">
        <v>20210401</v>
      </c>
      <c r="E429">
        <v>20220331</v>
      </c>
      <c r="F429" t="s">
        <v>6134</v>
      </c>
      <c r="G429" t="s">
        <v>6135</v>
      </c>
      <c r="H429" t="s">
        <v>590</v>
      </c>
      <c r="I429" t="s">
        <v>1462</v>
      </c>
      <c r="J429">
        <v>16</v>
      </c>
      <c r="K429">
        <v>1344</v>
      </c>
      <c r="N429">
        <v>-1</v>
      </c>
      <c r="O429">
        <v>-84</v>
      </c>
      <c r="X429">
        <v>15</v>
      </c>
      <c r="Y429">
        <v>1260</v>
      </c>
      <c r="Z429" s="3">
        <f t="shared" si="6"/>
        <v>84</v>
      </c>
    </row>
    <row r="430" spans="1:26" hidden="1">
      <c r="A430" t="s">
        <v>707</v>
      </c>
      <c r="B430" s="6">
        <v>44287</v>
      </c>
      <c r="C430" s="6">
        <v>44651</v>
      </c>
      <c r="D430">
        <v>20210401</v>
      </c>
      <c r="E430">
        <v>20220331</v>
      </c>
      <c r="F430" t="s">
        <v>2634</v>
      </c>
      <c r="G430" t="s">
        <v>2635</v>
      </c>
      <c r="H430" t="s">
        <v>590</v>
      </c>
      <c r="I430" t="s">
        <v>1462</v>
      </c>
      <c r="J430">
        <v>13</v>
      </c>
      <c r="K430">
        <v>1144</v>
      </c>
      <c r="X430">
        <v>13</v>
      </c>
      <c r="Y430">
        <v>1144</v>
      </c>
      <c r="Z430" s="3">
        <f t="shared" si="6"/>
        <v>88</v>
      </c>
    </row>
    <row r="431" spans="1:26" hidden="1">
      <c r="A431" t="s">
        <v>707</v>
      </c>
      <c r="B431" s="6">
        <v>44287</v>
      </c>
      <c r="C431" s="6">
        <v>44651</v>
      </c>
      <c r="D431">
        <v>20210401</v>
      </c>
      <c r="E431">
        <v>20220331</v>
      </c>
      <c r="F431" t="s">
        <v>2636</v>
      </c>
      <c r="G431" t="s">
        <v>2637</v>
      </c>
      <c r="H431" t="s">
        <v>590</v>
      </c>
      <c r="I431" t="s">
        <v>1462</v>
      </c>
      <c r="J431">
        <v>6</v>
      </c>
      <c r="K431">
        <v>510</v>
      </c>
      <c r="X431">
        <v>6</v>
      </c>
      <c r="Y431">
        <v>510</v>
      </c>
      <c r="Z431" s="3">
        <f t="shared" si="6"/>
        <v>85</v>
      </c>
    </row>
    <row r="432" spans="1:26" hidden="1">
      <c r="A432" t="s">
        <v>707</v>
      </c>
      <c r="B432" s="6">
        <v>44287</v>
      </c>
      <c r="C432" s="6">
        <v>44651</v>
      </c>
      <c r="D432">
        <v>20210401</v>
      </c>
      <c r="E432">
        <v>20220331</v>
      </c>
      <c r="F432" t="s">
        <v>6136</v>
      </c>
      <c r="G432" t="s">
        <v>6137</v>
      </c>
      <c r="H432" t="s">
        <v>590</v>
      </c>
      <c r="I432" t="s">
        <v>1462</v>
      </c>
      <c r="J432">
        <v>5</v>
      </c>
      <c r="N432">
        <v>-5</v>
      </c>
      <c r="O432">
        <v>-7.0000000000000007E-2</v>
      </c>
      <c r="Y432">
        <v>-7.0000000000000007E-2</v>
      </c>
      <c r="Z432" s="3">
        <f t="shared" si="6"/>
        <v>1.4000000000000002E-2</v>
      </c>
    </row>
    <row r="433" spans="1:26" hidden="1">
      <c r="A433" t="s">
        <v>707</v>
      </c>
      <c r="B433" s="6">
        <v>44287</v>
      </c>
      <c r="C433" s="6">
        <v>44651</v>
      </c>
      <c r="D433">
        <v>20210401</v>
      </c>
      <c r="E433">
        <v>20220331</v>
      </c>
      <c r="F433" t="s">
        <v>2640</v>
      </c>
      <c r="G433" t="s">
        <v>2641</v>
      </c>
      <c r="H433" t="s">
        <v>590</v>
      </c>
      <c r="I433" t="s">
        <v>1462</v>
      </c>
      <c r="L433">
        <v>10</v>
      </c>
      <c r="M433">
        <v>750</v>
      </c>
      <c r="N433">
        <v>-2</v>
      </c>
      <c r="O433">
        <v>-150</v>
      </c>
      <c r="X433">
        <v>8</v>
      </c>
      <c r="Y433">
        <v>600</v>
      </c>
      <c r="Z433" s="3">
        <f t="shared" si="6"/>
        <v>75</v>
      </c>
    </row>
    <row r="434" spans="1:26" hidden="1">
      <c r="A434" t="s">
        <v>707</v>
      </c>
      <c r="B434" s="6">
        <v>44287</v>
      </c>
      <c r="C434" s="6">
        <v>44651</v>
      </c>
      <c r="D434">
        <v>20210401</v>
      </c>
      <c r="E434">
        <v>20220331</v>
      </c>
      <c r="F434" t="s">
        <v>6138</v>
      </c>
      <c r="G434" t="s">
        <v>6139</v>
      </c>
      <c r="H434" t="s">
        <v>590</v>
      </c>
      <c r="I434" t="s">
        <v>1462</v>
      </c>
      <c r="J434">
        <v>2</v>
      </c>
      <c r="K434">
        <v>7448</v>
      </c>
      <c r="N434">
        <v>-2</v>
      </c>
      <c r="O434">
        <v>-7448</v>
      </c>
      <c r="Z434" s="3">
        <f t="shared" si="6"/>
        <v>3724</v>
      </c>
    </row>
    <row r="435" spans="1:26" hidden="1">
      <c r="A435" t="s">
        <v>707</v>
      </c>
      <c r="B435" s="6">
        <v>44287</v>
      </c>
      <c r="C435" s="6">
        <v>44651</v>
      </c>
      <c r="D435">
        <v>20210401</v>
      </c>
      <c r="E435">
        <v>20220331</v>
      </c>
      <c r="F435" t="s">
        <v>2642</v>
      </c>
      <c r="G435" t="s">
        <v>2643</v>
      </c>
      <c r="H435" t="s">
        <v>590</v>
      </c>
      <c r="I435" t="s">
        <v>1462</v>
      </c>
      <c r="J435">
        <v>4</v>
      </c>
      <c r="K435">
        <v>11360</v>
      </c>
      <c r="X435">
        <v>4</v>
      </c>
      <c r="Y435">
        <v>11360</v>
      </c>
      <c r="Z435" s="3">
        <f t="shared" si="6"/>
        <v>2840</v>
      </c>
    </row>
    <row r="436" spans="1:26" hidden="1">
      <c r="A436" t="s">
        <v>707</v>
      </c>
      <c r="B436" s="6">
        <v>44287</v>
      </c>
      <c r="C436" s="6">
        <v>44651</v>
      </c>
      <c r="D436">
        <v>20210401</v>
      </c>
      <c r="E436">
        <v>20220331</v>
      </c>
      <c r="F436" t="s">
        <v>6140</v>
      </c>
      <c r="G436" t="s">
        <v>6141</v>
      </c>
      <c r="H436" t="s">
        <v>590</v>
      </c>
      <c r="I436" t="s">
        <v>1462</v>
      </c>
      <c r="J436">
        <v>1</v>
      </c>
      <c r="K436">
        <v>3400</v>
      </c>
      <c r="N436">
        <v>-1</v>
      </c>
      <c r="O436">
        <v>-3400</v>
      </c>
      <c r="Z436" s="3">
        <f t="shared" si="6"/>
        <v>3400</v>
      </c>
    </row>
    <row r="437" spans="1:26" hidden="1">
      <c r="A437" t="s">
        <v>707</v>
      </c>
      <c r="B437" s="6">
        <v>44287</v>
      </c>
      <c r="C437" s="6">
        <v>44651</v>
      </c>
      <c r="D437">
        <v>20210401</v>
      </c>
      <c r="E437">
        <v>20220331</v>
      </c>
      <c r="F437" t="s">
        <v>6142</v>
      </c>
      <c r="G437" t="s">
        <v>6143</v>
      </c>
      <c r="H437" t="s">
        <v>590</v>
      </c>
      <c r="I437" t="s">
        <v>1462</v>
      </c>
      <c r="J437">
        <v>1</v>
      </c>
      <c r="K437">
        <v>1175</v>
      </c>
      <c r="N437">
        <v>-1</v>
      </c>
      <c r="O437">
        <v>-1175</v>
      </c>
      <c r="Z437" s="3">
        <f t="shared" si="6"/>
        <v>1175</v>
      </c>
    </row>
    <row r="438" spans="1:26" hidden="1">
      <c r="A438" t="s">
        <v>707</v>
      </c>
      <c r="B438" s="6">
        <v>44287</v>
      </c>
      <c r="C438" s="6">
        <v>44651</v>
      </c>
      <c r="D438">
        <v>20210401</v>
      </c>
      <c r="E438">
        <v>20220331</v>
      </c>
      <c r="F438" t="s">
        <v>6144</v>
      </c>
      <c r="G438" t="s">
        <v>6145</v>
      </c>
      <c r="H438" t="s">
        <v>590</v>
      </c>
      <c r="I438" t="s">
        <v>1462</v>
      </c>
      <c r="J438">
        <v>2</v>
      </c>
      <c r="K438">
        <v>1962.5</v>
      </c>
      <c r="N438">
        <v>-1</v>
      </c>
      <c r="O438">
        <v>-981.25</v>
      </c>
      <c r="X438">
        <v>1</v>
      </c>
      <c r="Y438">
        <v>981.25</v>
      </c>
      <c r="Z438" s="3">
        <f t="shared" si="6"/>
        <v>981.25</v>
      </c>
    </row>
    <row r="439" spans="1:26" hidden="1">
      <c r="A439" t="s">
        <v>707</v>
      </c>
      <c r="B439" s="6">
        <v>44287</v>
      </c>
      <c r="C439" s="6">
        <v>44651</v>
      </c>
      <c r="D439">
        <v>20210401</v>
      </c>
      <c r="E439">
        <v>20220331</v>
      </c>
      <c r="F439" t="s">
        <v>6146</v>
      </c>
      <c r="G439" t="s">
        <v>6147</v>
      </c>
      <c r="H439" t="s">
        <v>590</v>
      </c>
      <c r="I439" t="s">
        <v>1462</v>
      </c>
      <c r="L439">
        <v>2</v>
      </c>
      <c r="M439">
        <v>1000</v>
      </c>
      <c r="N439">
        <v>-1</v>
      </c>
      <c r="O439">
        <v>-500</v>
      </c>
      <c r="X439">
        <v>1</v>
      </c>
      <c r="Y439">
        <v>500</v>
      </c>
      <c r="Z439" s="3">
        <f t="shared" si="6"/>
        <v>500</v>
      </c>
    </row>
    <row r="440" spans="1:26" hidden="1">
      <c r="A440" t="s">
        <v>707</v>
      </c>
      <c r="B440" s="6">
        <v>44287</v>
      </c>
      <c r="C440" s="6">
        <v>44651</v>
      </c>
      <c r="D440">
        <v>20210401</v>
      </c>
      <c r="E440">
        <v>20220331</v>
      </c>
      <c r="F440" t="s">
        <v>6148</v>
      </c>
      <c r="G440" t="s">
        <v>6149</v>
      </c>
      <c r="H440" t="s">
        <v>590</v>
      </c>
      <c r="I440" t="s">
        <v>1462</v>
      </c>
      <c r="L440">
        <v>6</v>
      </c>
      <c r="M440">
        <v>1735.5</v>
      </c>
      <c r="X440">
        <v>6</v>
      </c>
      <c r="Y440">
        <v>1735.5</v>
      </c>
      <c r="Z440" s="3">
        <f t="shared" si="6"/>
        <v>289.25</v>
      </c>
    </row>
    <row r="441" spans="1:26" hidden="1">
      <c r="A441" t="s">
        <v>707</v>
      </c>
      <c r="B441" s="6">
        <v>44287</v>
      </c>
      <c r="C441" s="6">
        <v>44651</v>
      </c>
      <c r="D441">
        <v>20210401</v>
      </c>
      <c r="E441">
        <v>20220331</v>
      </c>
      <c r="F441" t="s">
        <v>2650</v>
      </c>
      <c r="G441" t="s">
        <v>2651</v>
      </c>
      <c r="H441" t="s">
        <v>590</v>
      </c>
      <c r="I441" t="s">
        <v>1462</v>
      </c>
      <c r="L441">
        <v>14</v>
      </c>
      <c r="M441">
        <v>4699.5</v>
      </c>
      <c r="N441">
        <v>-4</v>
      </c>
      <c r="O441">
        <v>-1342.72</v>
      </c>
      <c r="X441">
        <v>10</v>
      </c>
      <c r="Y441">
        <v>3356.78</v>
      </c>
      <c r="Z441" s="3">
        <f t="shared" si="6"/>
        <v>335.68</v>
      </c>
    </row>
    <row r="442" spans="1:26" hidden="1">
      <c r="A442" t="s">
        <v>707</v>
      </c>
      <c r="B442" s="6">
        <v>44287</v>
      </c>
      <c r="C442" s="6">
        <v>44651</v>
      </c>
      <c r="D442">
        <v>20210401</v>
      </c>
      <c r="E442">
        <v>20220331</v>
      </c>
      <c r="F442" t="s">
        <v>2652</v>
      </c>
      <c r="G442" t="s">
        <v>2653</v>
      </c>
      <c r="H442" t="s">
        <v>590</v>
      </c>
      <c r="I442" t="s">
        <v>1462</v>
      </c>
      <c r="J442">
        <v>2</v>
      </c>
      <c r="K442">
        <v>478.12</v>
      </c>
      <c r="X442">
        <v>2</v>
      </c>
      <c r="Y442">
        <v>478.12</v>
      </c>
      <c r="Z442" s="3">
        <f t="shared" si="6"/>
        <v>239.06</v>
      </c>
    </row>
    <row r="443" spans="1:26" hidden="1">
      <c r="A443" t="s">
        <v>707</v>
      </c>
      <c r="B443" s="6">
        <v>44287</v>
      </c>
      <c r="C443" s="6">
        <v>44651</v>
      </c>
      <c r="D443">
        <v>20210401</v>
      </c>
      <c r="E443">
        <v>20220331</v>
      </c>
      <c r="F443" t="s">
        <v>6150</v>
      </c>
      <c r="G443" t="s">
        <v>6151</v>
      </c>
      <c r="H443" t="s">
        <v>590</v>
      </c>
      <c r="I443" t="s">
        <v>1462</v>
      </c>
      <c r="L443">
        <v>2</v>
      </c>
      <c r="M443">
        <v>260</v>
      </c>
      <c r="X443">
        <v>2</v>
      </c>
      <c r="Y443">
        <v>260</v>
      </c>
      <c r="Z443" s="3">
        <f t="shared" si="6"/>
        <v>130</v>
      </c>
    </row>
    <row r="444" spans="1:26" hidden="1">
      <c r="A444" t="s">
        <v>707</v>
      </c>
      <c r="B444" s="6">
        <v>44287</v>
      </c>
      <c r="C444" s="6">
        <v>44651</v>
      </c>
      <c r="D444">
        <v>20210401</v>
      </c>
      <c r="E444">
        <v>20220331</v>
      </c>
      <c r="F444" t="s">
        <v>6152</v>
      </c>
      <c r="G444" t="s">
        <v>6153</v>
      </c>
      <c r="H444" t="s">
        <v>590</v>
      </c>
      <c r="I444" t="s">
        <v>1462</v>
      </c>
      <c r="J444">
        <v>1</v>
      </c>
      <c r="K444">
        <v>1085.8599999999999</v>
      </c>
      <c r="X444">
        <v>1</v>
      </c>
      <c r="Y444">
        <v>1085.8599999999999</v>
      </c>
      <c r="Z444" s="3">
        <f t="shared" si="6"/>
        <v>1085.8599999999999</v>
      </c>
    </row>
    <row r="445" spans="1:26" hidden="1">
      <c r="A445" t="s">
        <v>707</v>
      </c>
      <c r="B445" s="6">
        <v>44287</v>
      </c>
      <c r="C445" s="6">
        <v>44651</v>
      </c>
      <c r="D445">
        <v>20210401</v>
      </c>
      <c r="E445">
        <v>20220331</v>
      </c>
      <c r="F445" t="s">
        <v>2654</v>
      </c>
      <c r="G445" t="s">
        <v>2655</v>
      </c>
      <c r="H445" t="s">
        <v>590</v>
      </c>
      <c r="I445" t="s">
        <v>1462</v>
      </c>
      <c r="L445">
        <v>2</v>
      </c>
      <c r="M445">
        <v>900</v>
      </c>
      <c r="X445">
        <v>2</v>
      </c>
      <c r="Y445">
        <v>900</v>
      </c>
      <c r="Z445" s="3">
        <f t="shared" si="6"/>
        <v>450</v>
      </c>
    </row>
    <row r="446" spans="1:26" hidden="1">
      <c r="A446" t="s">
        <v>707</v>
      </c>
      <c r="B446" s="6">
        <v>44287</v>
      </c>
      <c r="C446" s="6">
        <v>44651</v>
      </c>
      <c r="D446">
        <v>20210401</v>
      </c>
      <c r="E446">
        <v>20220331</v>
      </c>
      <c r="F446" t="s">
        <v>6154</v>
      </c>
      <c r="G446" t="s">
        <v>6155</v>
      </c>
      <c r="H446" t="s">
        <v>590</v>
      </c>
      <c r="I446" t="s">
        <v>1462</v>
      </c>
      <c r="J446">
        <v>8</v>
      </c>
      <c r="K446">
        <v>5554.29</v>
      </c>
      <c r="N446">
        <v>-1</v>
      </c>
      <c r="O446">
        <v>-694.29</v>
      </c>
      <c r="X446">
        <v>7</v>
      </c>
      <c r="Y446">
        <v>4860</v>
      </c>
      <c r="Z446" s="3">
        <f t="shared" si="6"/>
        <v>694.29</v>
      </c>
    </row>
    <row r="447" spans="1:26" hidden="1">
      <c r="A447" t="s">
        <v>707</v>
      </c>
      <c r="B447" s="6">
        <v>44287</v>
      </c>
      <c r="C447" s="6">
        <v>44651</v>
      </c>
      <c r="D447">
        <v>20210401</v>
      </c>
      <c r="E447">
        <v>20220331</v>
      </c>
      <c r="F447" t="s">
        <v>2660</v>
      </c>
      <c r="G447" t="s">
        <v>2661</v>
      </c>
      <c r="H447" t="s">
        <v>590</v>
      </c>
      <c r="I447" t="s">
        <v>1462</v>
      </c>
      <c r="J447">
        <v>8</v>
      </c>
      <c r="K447">
        <v>330.36</v>
      </c>
      <c r="N447">
        <v>-4</v>
      </c>
      <c r="O447">
        <v>-165.2</v>
      </c>
      <c r="X447">
        <v>4</v>
      </c>
      <c r="Y447">
        <v>165.16</v>
      </c>
      <c r="Z447" s="3">
        <f t="shared" si="6"/>
        <v>41.3</v>
      </c>
    </row>
    <row r="448" spans="1:26" hidden="1">
      <c r="A448" t="s">
        <v>707</v>
      </c>
      <c r="B448" s="6">
        <v>44287</v>
      </c>
      <c r="C448" s="6">
        <v>44651</v>
      </c>
      <c r="D448">
        <v>20210401</v>
      </c>
      <c r="E448">
        <v>20220331</v>
      </c>
      <c r="F448" t="s">
        <v>6156</v>
      </c>
      <c r="G448" t="s">
        <v>6157</v>
      </c>
      <c r="H448" t="s">
        <v>590</v>
      </c>
      <c r="I448" t="s">
        <v>1462</v>
      </c>
      <c r="J448">
        <v>7</v>
      </c>
      <c r="K448">
        <v>5556.67</v>
      </c>
      <c r="N448">
        <v>-2</v>
      </c>
      <c r="O448">
        <v>-1587.62</v>
      </c>
      <c r="X448">
        <v>5</v>
      </c>
      <c r="Y448">
        <v>3969.05</v>
      </c>
      <c r="Z448" s="3">
        <f t="shared" si="6"/>
        <v>793.81</v>
      </c>
    </row>
    <row r="449" spans="1:26" hidden="1">
      <c r="A449" t="s">
        <v>707</v>
      </c>
      <c r="B449" s="6">
        <v>44287</v>
      </c>
      <c r="C449" s="6">
        <v>44651</v>
      </c>
      <c r="D449">
        <v>20210401</v>
      </c>
      <c r="E449">
        <v>20220331</v>
      </c>
      <c r="F449" t="s">
        <v>2664</v>
      </c>
      <c r="G449" t="s">
        <v>2665</v>
      </c>
      <c r="H449" t="s">
        <v>590</v>
      </c>
      <c r="I449" t="s">
        <v>1462</v>
      </c>
      <c r="J449">
        <v>5</v>
      </c>
      <c r="K449">
        <v>3813.42</v>
      </c>
      <c r="N449">
        <v>-1</v>
      </c>
      <c r="O449">
        <v>-762.68</v>
      </c>
      <c r="X449">
        <v>4</v>
      </c>
      <c r="Y449">
        <v>3050.74</v>
      </c>
      <c r="Z449" s="3">
        <f t="shared" si="6"/>
        <v>762.68</v>
      </c>
    </row>
    <row r="450" spans="1:26" hidden="1">
      <c r="A450" t="s">
        <v>707</v>
      </c>
      <c r="B450" s="6">
        <v>44287</v>
      </c>
      <c r="C450" s="6">
        <v>44651</v>
      </c>
      <c r="D450">
        <v>20210401</v>
      </c>
      <c r="E450">
        <v>20220331</v>
      </c>
      <c r="F450" t="s">
        <v>2670</v>
      </c>
      <c r="G450" t="s">
        <v>2671</v>
      </c>
      <c r="H450" t="s">
        <v>590</v>
      </c>
      <c r="I450" t="s">
        <v>1462</v>
      </c>
      <c r="J450">
        <v>9</v>
      </c>
      <c r="K450">
        <v>1349.08</v>
      </c>
      <c r="N450">
        <v>-9</v>
      </c>
      <c r="O450">
        <v>-1349.06</v>
      </c>
      <c r="Y450">
        <v>0.02</v>
      </c>
      <c r="Z450" s="3">
        <f t="shared" si="6"/>
        <v>149.89555555555555</v>
      </c>
    </row>
    <row r="451" spans="1:26" hidden="1">
      <c r="A451" t="s">
        <v>707</v>
      </c>
      <c r="B451" s="6">
        <v>44287</v>
      </c>
      <c r="C451" s="6">
        <v>44651</v>
      </c>
      <c r="D451">
        <v>20210401</v>
      </c>
      <c r="E451">
        <v>20220331</v>
      </c>
      <c r="F451" t="s">
        <v>2672</v>
      </c>
      <c r="G451" t="s">
        <v>2673</v>
      </c>
      <c r="H451" t="s">
        <v>590</v>
      </c>
      <c r="I451" t="s">
        <v>1462</v>
      </c>
      <c r="J451">
        <v>1</v>
      </c>
      <c r="K451">
        <v>121.37</v>
      </c>
      <c r="N451">
        <v>-1</v>
      </c>
      <c r="O451">
        <v>-121.37</v>
      </c>
      <c r="Z451" s="3">
        <f t="shared" ref="Z451:Z514" si="7">IFERROR((O451+Q451)/(N451+P451),Y451/X451)</f>
        <v>121.37</v>
      </c>
    </row>
    <row r="452" spans="1:26" hidden="1">
      <c r="A452" t="s">
        <v>707</v>
      </c>
      <c r="B452" s="6">
        <v>44287</v>
      </c>
      <c r="C452" s="6">
        <v>44651</v>
      </c>
      <c r="D452">
        <v>20210401</v>
      </c>
      <c r="E452">
        <v>20220331</v>
      </c>
      <c r="F452" t="s">
        <v>2674</v>
      </c>
      <c r="G452" t="s">
        <v>2675</v>
      </c>
      <c r="H452" t="s">
        <v>590</v>
      </c>
      <c r="I452" t="s">
        <v>1462</v>
      </c>
      <c r="J452">
        <v>3</v>
      </c>
      <c r="K452">
        <v>1884.15</v>
      </c>
      <c r="N452">
        <v>-3</v>
      </c>
      <c r="O452">
        <v>-1884.15</v>
      </c>
      <c r="Z452" s="3">
        <f t="shared" si="7"/>
        <v>628.05000000000007</v>
      </c>
    </row>
    <row r="453" spans="1:26" hidden="1">
      <c r="A453" t="s">
        <v>707</v>
      </c>
      <c r="B453" s="6">
        <v>44287</v>
      </c>
      <c r="C453" s="6">
        <v>44651</v>
      </c>
      <c r="D453">
        <v>20210401</v>
      </c>
      <c r="E453">
        <v>20220331</v>
      </c>
      <c r="F453" t="s">
        <v>2678</v>
      </c>
      <c r="G453" t="s">
        <v>2679</v>
      </c>
      <c r="H453" t="s">
        <v>590</v>
      </c>
      <c r="I453" t="s">
        <v>1462</v>
      </c>
      <c r="J453">
        <v>4</v>
      </c>
      <c r="K453">
        <v>2200</v>
      </c>
      <c r="X453">
        <v>4</v>
      </c>
      <c r="Y453">
        <v>2200</v>
      </c>
      <c r="Z453" s="3">
        <f t="shared" si="7"/>
        <v>550</v>
      </c>
    </row>
    <row r="454" spans="1:26" hidden="1">
      <c r="A454" t="s">
        <v>707</v>
      </c>
      <c r="B454" s="6">
        <v>44287</v>
      </c>
      <c r="C454" s="6">
        <v>44651</v>
      </c>
      <c r="D454">
        <v>20210401</v>
      </c>
      <c r="E454">
        <v>20220331</v>
      </c>
      <c r="F454" t="s">
        <v>2680</v>
      </c>
      <c r="G454" t="s">
        <v>2681</v>
      </c>
      <c r="H454" t="s">
        <v>590</v>
      </c>
      <c r="I454" t="s">
        <v>1462</v>
      </c>
      <c r="J454">
        <v>3</v>
      </c>
      <c r="K454">
        <v>1680</v>
      </c>
      <c r="X454">
        <v>3</v>
      </c>
      <c r="Y454">
        <v>1680</v>
      </c>
      <c r="Z454" s="3">
        <f t="shared" si="7"/>
        <v>560</v>
      </c>
    </row>
    <row r="455" spans="1:26" hidden="1">
      <c r="A455" t="s">
        <v>707</v>
      </c>
      <c r="B455" s="6">
        <v>44287</v>
      </c>
      <c r="C455" s="6">
        <v>44651</v>
      </c>
      <c r="D455">
        <v>20210401</v>
      </c>
      <c r="E455">
        <v>20220331</v>
      </c>
      <c r="F455" t="s">
        <v>2682</v>
      </c>
      <c r="G455" t="s">
        <v>2683</v>
      </c>
      <c r="H455" t="s">
        <v>590</v>
      </c>
      <c r="I455" t="s">
        <v>1462</v>
      </c>
      <c r="L455">
        <v>6</v>
      </c>
      <c r="M455">
        <v>5220</v>
      </c>
      <c r="N455">
        <v>-5</v>
      </c>
      <c r="O455">
        <v>-4350</v>
      </c>
      <c r="X455">
        <v>1</v>
      </c>
      <c r="Y455">
        <v>870</v>
      </c>
      <c r="Z455" s="3">
        <f t="shared" si="7"/>
        <v>870</v>
      </c>
    </row>
    <row r="456" spans="1:26" hidden="1">
      <c r="A456" t="s">
        <v>707</v>
      </c>
      <c r="B456" s="6">
        <v>44287</v>
      </c>
      <c r="C456" s="6">
        <v>44651</v>
      </c>
      <c r="D456">
        <v>20210401</v>
      </c>
      <c r="E456">
        <v>20220331</v>
      </c>
      <c r="F456" t="s">
        <v>6158</v>
      </c>
      <c r="G456" t="s">
        <v>6159</v>
      </c>
      <c r="H456" t="s">
        <v>590</v>
      </c>
      <c r="I456" t="s">
        <v>1462</v>
      </c>
      <c r="J456">
        <v>3</v>
      </c>
      <c r="K456">
        <v>2370</v>
      </c>
      <c r="L456">
        <v>4</v>
      </c>
      <c r="M456">
        <v>3590</v>
      </c>
      <c r="N456">
        <v>-3</v>
      </c>
      <c r="O456">
        <v>-2554.29</v>
      </c>
      <c r="X456">
        <v>4</v>
      </c>
      <c r="Y456">
        <v>3405.71</v>
      </c>
      <c r="Z456" s="3">
        <f t="shared" si="7"/>
        <v>851.43</v>
      </c>
    </row>
    <row r="457" spans="1:26" hidden="1">
      <c r="A457" t="s">
        <v>707</v>
      </c>
      <c r="B457" s="6">
        <v>44287</v>
      </c>
      <c r="C457" s="6">
        <v>44651</v>
      </c>
      <c r="D457">
        <v>20210401</v>
      </c>
      <c r="E457">
        <v>20220331</v>
      </c>
      <c r="F457" t="s">
        <v>6160</v>
      </c>
      <c r="G457" t="s">
        <v>6161</v>
      </c>
      <c r="H457" t="s">
        <v>590</v>
      </c>
      <c r="I457" t="s">
        <v>1462</v>
      </c>
      <c r="J457">
        <v>1</v>
      </c>
      <c r="K457">
        <v>11460</v>
      </c>
      <c r="N457">
        <v>-1</v>
      </c>
      <c r="O457">
        <v>-11460</v>
      </c>
      <c r="Z457" s="3">
        <f t="shared" si="7"/>
        <v>11460</v>
      </c>
    </row>
    <row r="458" spans="1:26" hidden="1">
      <c r="A458" t="s">
        <v>707</v>
      </c>
      <c r="B458" s="6">
        <v>44287</v>
      </c>
      <c r="C458" s="6">
        <v>44651</v>
      </c>
      <c r="D458">
        <v>20210401</v>
      </c>
      <c r="E458">
        <v>20220331</v>
      </c>
      <c r="F458" t="s">
        <v>2688</v>
      </c>
      <c r="G458" t="s">
        <v>2689</v>
      </c>
      <c r="H458" t="s">
        <v>590</v>
      </c>
      <c r="I458" t="s">
        <v>1462</v>
      </c>
      <c r="J458">
        <v>5</v>
      </c>
      <c r="K458">
        <v>5533.33</v>
      </c>
      <c r="L458">
        <v>3</v>
      </c>
      <c r="M458">
        <v>4350</v>
      </c>
      <c r="N458">
        <v>-4</v>
      </c>
      <c r="O458">
        <v>-4770</v>
      </c>
      <c r="X458">
        <v>4</v>
      </c>
      <c r="Y458">
        <v>5113.33</v>
      </c>
      <c r="Z458" s="3">
        <f t="shared" si="7"/>
        <v>1192.5</v>
      </c>
    </row>
    <row r="459" spans="1:26" hidden="1">
      <c r="A459" t="s">
        <v>707</v>
      </c>
      <c r="B459" s="6">
        <v>44287</v>
      </c>
      <c r="C459" s="6">
        <v>44651</v>
      </c>
      <c r="D459">
        <v>20210401</v>
      </c>
      <c r="E459">
        <v>20220331</v>
      </c>
      <c r="F459" t="s">
        <v>6162</v>
      </c>
      <c r="G459" t="s">
        <v>6163</v>
      </c>
      <c r="H459" t="s">
        <v>590</v>
      </c>
      <c r="I459" t="s">
        <v>1462</v>
      </c>
      <c r="J459">
        <v>1</v>
      </c>
      <c r="K459">
        <v>4347</v>
      </c>
      <c r="N459">
        <v>-1</v>
      </c>
      <c r="O459">
        <v>-4347</v>
      </c>
      <c r="Z459" s="3">
        <f t="shared" si="7"/>
        <v>4347</v>
      </c>
    </row>
    <row r="460" spans="1:26" hidden="1">
      <c r="A460" t="s">
        <v>707</v>
      </c>
      <c r="B460" s="6">
        <v>44287</v>
      </c>
      <c r="C460" s="6">
        <v>44651</v>
      </c>
      <c r="D460">
        <v>20210401</v>
      </c>
      <c r="E460">
        <v>20220331</v>
      </c>
      <c r="F460" t="s">
        <v>6164</v>
      </c>
      <c r="G460" t="s">
        <v>6165</v>
      </c>
      <c r="H460" t="s">
        <v>590</v>
      </c>
      <c r="I460" t="s">
        <v>1462</v>
      </c>
      <c r="J460">
        <v>4</v>
      </c>
      <c r="K460">
        <v>700</v>
      </c>
      <c r="N460">
        <v>-1</v>
      </c>
      <c r="O460">
        <v>-175</v>
      </c>
      <c r="X460">
        <v>3</v>
      </c>
      <c r="Y460">
        <v>525</v>
      </c>
      <c r="Z460" s="3">
        <f t="shared" si="7"/>
        <v>175</v>
      </c>
    </row>
    <row r="461" spans="1:26" hidden="1">
      <c r="A461" t="s">
        <v>707</v>
      </c>
      <c r="B461" s="6">
        <v>44287</v>
      </c>
      <c r="C461" s="6">
        <v>44651</v>
      </c>
      <c r="D461">
        <v>20210401</v>
      </c>
      <c r="E461">
        <v>20220331</v>
      </c>
      <c r="F461" t="s">
        <v>6166</v>
      </c>
      <c r="G461" t="s">
        <v>6167</v>
      </c>
      <c r="H461" t="s">
        <v>590</v>
      </c>
      <c r="I461" t="s">
        <v>1462</v>
      </c>
      <c r="L461">
        <v>2</v>
      </c>
      <c r="M461">
        <v>6118.54</v>
      </c>
      <c r="X461">
        <v>2</v>
      </c>
      <c r="Y461">
        <v>6118.54</v>
      </c>
      <c r="Z461" s="3">
        <f t="shared" si="7"/>
        <v>3059.27</v>
      </c>
    </row>
    <row r="462" spans="1:26" hidden="1">
      <c r="A462" t="s">
        <v>707</v>
      </c>
      <c r="B462" s="6">
        <v>44287</v>
      </c>
      <c r="C462" s="6">
        <v>44651</v>
      </c>
      <c r="D462">
        <v>20210401</v>
      </c>
      <c r="E462">
        <v>20220331</v>
      </c>
      <c r="F462" t="s">
        <v>6168</v>
      </c>
      <c r="G462" t="s">
        <v>6169</v>
      </c>
      <c r="H462" t="s">
        <v>590</v>
      </c>
      <c r="I462" t="s">
        <v>1462</v>
      </c>
      <c r="L462">
        <v>2</v>
      </c>
      <c r="M462">
        <v>1483.2</v>
      </c>
      <c r="X462">
        <v>2</v>
      </c>
      <c r="Y462">
        <v>1483.2</v>
      </c>
      <c r="Z462" s="3">
        <f t="shared" si="7"/>
        <v>741.6</v>
      </c>
    </row>
    <row r="463" spans="1:26" hidden="1">
      <c r="A463" t="s">
        <v>707</v>
      </c>
      <c r="B463" s="6">
        <v>44287</v>
      </c>
      <c r="C463" s="6">
        <v>44651</v>
      </c>
      <c r="D463">
        <v>20210401</v>
      </c>
      <c r="E463">
        <v>20220331</v>
      </c>
      <c r="F463" t="s">
        <v>6170</v>
      </c>
      <c r="G463" t="s">
        <v>6171</v>
      </c>
      <c r="H463" t="s">
        <v>590</v>
      </c>
      <c r="I463" t="s">
        <v>1462</v>
      </c>
      <c r="L463">
        <v>10</v>
      </c>
      <c r="M463">
        <v>160</v>
      </c>
      <c r="N463">
        <v>-10</v>
      </c>
      <c r="O463">
        <v>-160</v>
      </c>
      <c r="Z463" s="3">
        <f t="shared" si="7"/>
        <v>16</v>
      </c>
    </row>
    <row r="464" spans="1:26" hidden="1">
      <c r="A464" t="s">
        <v>707</v>
      </c>
      <c r="B464" s="6">
        <v>44287</v>
      </c>
      <c r="C464" s="6">
        <v>44651</v>
      </c>
      <c r="D464">
        <v>20210401</v>
      </c>
      <c r="E464">
        <v>20220331</v>
      </c>
      <c r="F464" t="s">
        <v>6172</v>
      </c>
      <c r="G464" t="s">
        <v>6173</v>
      </c>
      <c r="H464" t="s">
        <v>590</v>
      </c>
      <c r="I464" t="s">
        <v>1462</v>
      </c>
      <c r="L464">
        <v>3</v>
      </c>
      <c r="M464">
        <v>75</v>
      </c>
      <c r="N464">
        <v>-2</v>
      </c>
      <c r="O464">
        <v>-50</v>
      </c>
      <c r="X464">
        <v>1</v>
      </c>
      <c r="Y464">
        <v>25</v>
      </c>
      <c r="Z464" s="3">
        <f t="shared" si="7"/>
        <v>25</v>
      </c>
    </row>
    <row r="465" spans="1:26" hidden="1">
      <c r="A465" t="s">
        <v>707</v>
      </c>
      <c r="B465" s="6">
        <v>44287</v>
      </c>
      <c r="C465" s="6">
        <v>44651</v>
      </c>
      <c r="D465">
        <v>20210401</v>
      </c>
      <c r="E465">
        <v>20220331</v>
      </c>
      <c r="F465" t="s">
        <v>6174</v>
      </c>
      <c r="G465" t="s">
        <v>6175</v>
      </c>
      <c r="H465" t="s">
        <v>590</v>
      </c>
      <c r="I465" t="s">
        <v>1462</v>
      </c>
      <c r="L465">
        <v>3</v>
      </c>
      <c r="M465">
        <v>105</v>
      </c>
      <c r="N465">
        <v>-1</v>
      </c>
      <c r="O465">
        <v>-35</v>
      </c>
      <c r="X465">
        <v>2</v>
      </c>
      <c r="Y465">
        <v>70</v>
      </c>
      <c r="Z465" s="3">
        <f t="shared" si="7"/>
        <v>35</v>
      </c>
    </row>
    <row r="466" spans="1:26" hidden="1">
      <c r="A466" t="s">
        <v>707</v>
      </c>
      <c r="B466" s="6">
        <v>44287</v>
      </c>
      <c r="C466" s="6">
        <v>44651</v>
      </c>
      <c r="D466">
        <v>20210401</v>
      </c>
      <c r="E466">
        <v>20220331</v>
      </c>
      <c r="F466" t="s">
        <v>6176</v>
      </c>
      <c r="G466" t="s">
        <v>6177</v>
      </c>
      <c r="H466" t="s">
        <v>590</v>
      </c>
      <c r="I466" t="s">
        <v>1462</v>
      </c>
      <c r="L466">
        <v>3</v>
      </c>
      <c r="M466">
        <v>105</v>
      </c>
      <c r="N466">
        <v>-1</v>
      </c>
      <c r="O466">
        <v>-35</v>
      </c>
      <c r="X466">
        <v>2</v>
      </c>
      <c r="Y466">
        <v>70</v>
      </c>
      <c r="Z466" s="3">
        <f t="shared" si="7"/>
        <v>35</v>
      </c>
    </row>
    <row r="467" spans="1:26" hidden="1">
      <c r="A467" t="s">
        <v>707</v>
      </c>
      <c r="B467" s="6">
        <v>44287</v>
      </c>
      <c r="C467" s="6">
        <v>44651</v>
      </c>
      <c r="D467">
        <v>20210401</v>
      </c>
      <c r="E467">
        <v>20220331</v>
      </c>
      <c r="F467" t="s">
        <v>2701</v>
      </c>
      <c r="G467" t="s">
        <v>2702</v>
      </c>
      <c r="H467" t="s">
        <v>590</v>
      </c>
      <c r="I467" t="s">
        <v>1462</v>
      </c>
      <c r="K467">
        <v>0.02</v>
      </c>
      <c r="L467">
        <v>16</v>
      </c>
      <c r="M467">
        <v>370</v>
      </c>
      <c r="N467">
        <v>-5</v>
      </c>
      <c r="O467">
        <v>-100</v>
      </c>
      <c r="X467">
        <v>11</v>
      </c>
      <c r="Y467">
        <v>270.02</v>
      </c>
      <c r="Z467" s="3">
        <f t="shared" si="7"/>
        <v>20</v>
      </c>
    </row>
    <row r="468" spans="1:26" hidden="1">
      <c r="A468" t="s">
        <v>707</v>
      </c>
      <c r="B468" s="6">
        <v>44287</v>
      </c>
      <c r="C468" s="6">
        <v>44651</v>
      </c>
      <c r="D468">
        <v>20210401</v>
      </c>
      <c r="E468">
        <v>20220331</v>
      </c>
      <c r="F468" t="s">
        <v>6178</v>
      </c>
      <c r="G468" t="s">
        <v>6179</v>
      </c>
      <c r="H468" t="s">
        <v>590</v>
      </c>
      <c r="I468" t="s">
        <v>1462</v>
      </c>
      <c r="L468">
        <v>11</v>
      </c>
      <c r="M468">
        <v>15218.2</v>
      </c>
      <c r="N468">
        <v>-6</v>
      </c>
      <c r="O468">
        <v>-8678.1200000000008</v>
      </c>
      <c r="X468">
        <v>5</v>
      </c>
      <c r="Y468">
        <v>6540.08</v>
      </c>
      <c r="Z468" s="3">
        <f t="shared" si="7"/>
        <v>1446.3533333333335</v>
      </c>
    </row>
    <row r="469" spans="1:26" hidden="1">
      <c r="A469" t="s">
        <v>707</v>
      </c>
      <c r="B469" s="6">
        <v>44287</v>
      </c>
      <c r="C469" s="6">
        <v>44651</v>
      </c>
      <c r="D469">
        <v>20210401</v>
      </c>
      <c r="E469">
        <v>20220331</v>
      </c>
      <c r="F469" t="s">
        <v>6180</v>
      </c>
      <c r="G469" t="s">
        <v>6181</v>
      </c>
      <c r="H469" t="s">
        <v>590</v>
      </c>
      <c r="I469" t="s">
        <v>1462</v>
      </c>
      <c r="J469">
        <v>2</v>
      </c>
      <c r="K469">
        <v>7176.32</v>
      </c>
      <c r="N469">
        <v>-2</v>
      </c>
      <c r="O469">
        <v>-7176.32</v>
      </c>
      <c r="Z469" s="3">
        <f t="shared" si="7"/>
        <v>3588.16</v>
      </c>
    </row>
    <row r="470" spans="1:26" hidden="1">
      <c r="A470" t="s">
        <v>707</v>
      </c>
      <c r="B470" s="6">
        <v>44287</v>
      </c>
      <c r="C470" s="6">
        <v>44651</v>
      </c>
      <c r="D470">
        <v>20210401</v>
      </c>
      <c r="E470">
        <v>20220331</v>
      </c>
      <c r="F470" t="s">
        <v>6182</v>
      </c>
      <c r="G470" t="s">
        <v>6183</v>
      </c>
      <c r="H470" t="s">
        <v>590</v>
      </c>
      <c r="I470" t="s">
        <v>1462</v>
      </c>
      <c r="L470">
        <v>1</v>
      </c>
      <c r="M470">
        <v>2160.1999999999998</v>
      </c>
      <c r="N470">
        <v>-1</v>
      </c>
      <c r="O470">
        <v>-2160.1999999999998</v>
      </c>
      <c r="Z470" s="3">
        <f t="shared" si="7"/>
        <v>2160.1999999999998</v>
      </c>
    </row>
    <row r="471" spans="1:26" hidden="1">
      <c r="A471" t="s">
        <v>707</v>
      </c>
      <c r="B471" s="6">
        <v>44287</v>
      </c>
      <c r="C471" s="6">
        <v>44651</v>
      </c>
      <c r="D471">
        <v>20210401</v>
      </c>
      <c r="E471">
        <v>20220331</v>
      </c>
      <c r="F471" t="s">
        <v>2730</v>
      </c>
      <c r="G471" t="s">
        <v>2731</v>
      </c>
      <c r="H471" t="s">
        <v>590</v>
      </c>
      <c r="I471" t="s">
        <v>1462</v>
      </c>
      <c r="L471">
        <v>3</v>
      </c>
      <c r="M471">
        <v>2330.25</v>
      </c>
      <c r="N471">
        <v>-1</v>
      </c>
      <c r="O471">
        <v>-776.75</v>
      </c>
      <c r="X471">
        <v>2</v>
      </c>
      <c r="Y471">
        <v>1553.5</v>
      </c>
      <c r="Z471" s="3">
        <f t="shared" si="7"/>
        <v>776.75</v>
      </c>
    </row>
    <row r="472" spans="1:26" hidden="1">
      <c r="A472" t="s">
        <v>707</v>
      </c>
      <c r="B472" s="6">
        <v>44287</v>
      </c>
      <c r="C472" s="6">
        <v>44651</v>
      </c>
      <c r="D472">
        <v>20210401</v>
      </c>
      <c r="E472">
        <v>20220331</v>
      </c>
      <c r="F472" t="s">
        <v>2732</v>
      </c>
      <c r="G472" t="s">
        <v>2733</v>
      </c>
      <c r="H472" t="s">
        <v>590</v>
      </c>
      <c r="I472" t="s">
        <v>1462</v>
      </c>
      <c r="J472">
        <v>3</v>
      </c>
      <c r="K472">
        <v>2384.52</v>
      </c>
      <c r="N472">
        <v>-1</v>
      </c>
      <c r="O472">
        <v>-794.84</v>
      </c>
      <c r="X472">
        <v>2</v>
      </c>
      <c r="Y472">
        <v>1589.68</v>
      </c>
      <c r="Z472" s="3">
        <f t="shared" si="7"/>
        <v>794.84</v>
      </c>
    </row>
    <row r="473" spans="1:26" hidden="1">
      <c r="A473" t="s">
        <v>707</v>
      </c>
      <c r="B473" s="6">
        <v>44287</v>
      </c>
      <c r="C473" s="6">
        <v>44651</v>
      </c>
      <c r="D473">
        <v>20210401</v>
      </c>
      <c r="E473">
        <v>20220331</v>
      </c>
      <c r="F473" t="s">
        <v>6184</v>
      </c>
      <c r="G473" t="s">
        <v>6185</v>
      </c>
      <c r="H473" t="s">
        <v>590</v>
      </c>
      <c r="I473" t="s">
        <v>1462</v>
      </c>
      <c r="J473">
        <v>1</v>
      </c>
      <c r="L473">
        <v>2</v>
      </c>
      <c r="M473">
        <v>4836</v>
      </c>
      <c r="N473">
        <v>-1</v>
      </c>
      <c r="O473">
        <v>-1611.99</v>
      </c>
      <c r="X473">
        <v>2</v>
      </c>
      <c r="Y473">
        <v>3224.01</v>
      </c>
      <c r="Z473" s="3">
        <f t="shared" si="7"/>
        <v>1611.99</v>
      </c>
    </row>
    <row r="474" spans="1:26" hidden="1">
      <c r="A474" t="s">
        <v>707</v>
      </c>
      <c r="B474" s="6">
        <v>44287</v>
      </c>
      <c r="C474" s="6">
        <v>44651</v>
      </c>
      <c r="D474">
        <v>20210401</v>
      </c>
      <c r="E474">
        <v>20220331</v>
      </c>
      <c r="F474" t="s">
        <v>6186</v>
      </c>
      <c r="G474" t="s">
        <v>6187</v>
      </c>
      <c r="H474" t="s">
        <v>590</v>
      </c>
      <c r="I474" t="s">
        <v>1462</v>
      </c>
      <c r="J474">
        <v>1</v>
      </c>
      <c r="K474">
        <v>786.04</v>
      </c>
      <c r="L474">
        <v>2</v>
      </c>
      <c r="M474">
        <v>1904.28</v>
      </c>
      <c r="N474">
        <v>-1</v>
      </c>
      <c r="O474">
        <v>-896.78</v>
      </c>
      <c r="X474">
        <v>2</v>
      </c>
      <c r="Y474">
        <v>1793.54</v>
      </c>
      <c r="Z474" s="3">
        <f t="shared" si="7"/>
        <v>896.78</v>
      </c>
    </row>
    <row r="475" spans="1:26" hidden="1">
      <c r="A475" t="s">
        <v>707</v>
      </c>
      <c r="B475" s="6">
        <v>44287</v>
      </c>
      <c r="C475" s="6">
        <v>44651</v>
      </c>
      <c r="D475">
        <v>20210401</v>
      </c>
      <c r="E475">
        <v>20220331</v>
      </c>
      <c r="F475" t="s">
        <v>6188</v>
      </c>
      <c r="G475" t="s">
        <v>6189</v>
      </c>
      <c r="H475" t="s">
        <v>590</v>
      </c>
      <c r="I475" t="s">
        <v>1462</v>
      </c>
      <c r="J475">
        <v>2</v>
      </c>
      <c r="K475">
        <v>1265.2</v>
      </c>
      <c r="N475">
        <v>-1</v>
      </c>
      <c r="O475">
        <v>-632.6</v>
      </c>
      <c r="X475">
        <v>1</v>
      </c>
      <c r="Y475">
        <v>632.6</v>
      </c>
      <c r="Z475" s="3">
        <f t="shared" si="7"/>
        <v>632.6</v>
      </c>
    </row>
    <row r="476" spans="1:26" hidden="1">
      <c r="A476" t="s">
        <v>707</v>
      </c>
      <c r="B476" s="6">
        <v>44287</v>
      </c>
      <c r="C476" s="6">
        <v>44651</v>
      </c>
      <c r="D476">
        <v>20210401</v>
      </c>
      <c r="E476">
        <v>20220331</v>
      </c>
      <c r="F476" t="s">
        <v>6190</v>
      </c>
      <c r="G476" t="s">
        <v>6191</v>
      </c>
      <c r="H476" t="s">
        <v>590</v>
      </c>
      <c r="I476" t="s">
        <v>1462</v>
      </c>
      <c r="J476">
        <v>1</v>
      </c>
      <c r="K476">
        <v>4367.76</v>
      </c>
      <c r="X476">
        <v>1</v>
      </c>
      <c r="Y476">
        <v>4367.76</v>
      </c>
      <c r="Z476" s="3">
        <f t="shared" si="7"/>
        <v>4367.76</v>
      </c>
    </row>
    <row r="477" spans="1:26" hidden="1">
      <c r="A477" t="s">
        <v>707</v>
      </c>
      <c r="B477" s="6">
        <v>44287</v>
      </c>
      <c r="C477" s="6">
        <v>44651</v>
      </c>
      <c r="D477">
        <v>20210401</v>
      </c>
      <c r="E477">
        <v>20220331</v>
      </c>
      <c r="F477" t="s">
        <v>6192</v>
      </c>
      <c r="G477" t="s">
        <v>6193</v>
      </c>
      <c r="H477" t="s">
        <v>590</v>
      </c>
      <c r="I477" t="s">
        <v>1462</v>
      </c>
      <c r="J477">
        <v>7</v>
      </c>
      <c r="K477">
        <v>10760.75</v>
      </c>
      <c r="X477">
        <v>7</v>
      </c>
      <c r="Y477">
        <v>10760.75</v>
      </c>
      <c r="Z477" s="3">
        <f t="shared" si="7"/>
        <v>1537.25</v>
      </c>
    </row>
    <row r="478" spans="1:26" hidden="1">
      <c r="A478" t="s">
        <v>707</v>
      </c>
      <c r="B478" s="6">
        <v>44287</v>
      </c>
      <c r="C478" s="6">
        <v>44651</v>
      </c>
      <c r="D478">
        <v>20210401</v>
      </c>
      <c r="E478">
        <v>20220331</v>
      </c>
      <c r="F478" t="s">
        <v>6194</v>
      </c>
      <c r="G478" t="s">
        <v>6195</v>
      </c>
      <c r="H478" t="s">
        <v>590</v>
      </c>
      <c r="I478" t="s">
        <v>1462</v>
      </c>
      <c r="J478">
        <v>2</v>
      </c>
      <c r="K478">
        <v>16279.92</v>
      </c>
      <c r="X478">
        <v>2</v>
      </c>
      <c r="Y478">
        <v>16279.92</v>
      </c>
      <c r="Z478" s="3">
        <f t="shared" si="7"/>
        <v>8139.96</v>
      </c>
    </row>
    <row r="479" spans="1:26" hidden="1">
      <c r="A479" t="s">
        <v>707</v>
      </c>
      <c r="B479" s="6">
        <v>44287</v>
      </c>
      <c r="C479" s="6">
        <v>44651</v>
      </c>
      <c r="D479">
        <v>20210401</v>
      </c>
      <c r="E479">
        <v>20220331</v>
      </c>
      <c r="F479" t="s">
        <v>6196</v>
      </c>
      <c r="G479" t="s">
        <v>6197</v>
      </c>
      <c r="H479" t="s">
        <v>590</v>
      </c>
      <c r="I479" t="s">
        <v>1462</v>
      </c>
      <c r="J479">
        <v>5</v>
      </c>
      <c r="K479">
        <v>7800</v>
      </c>
      <c r="X479">
        <v>5</v>
      </c>
      <c r="Y479">
        <v>7800</v>
      </c>
      <c r="Z479" s="3">
        <f t="shared" si="7"/>
        <v>1560</v>
      </c>
    </row>
    <row r="480" spans="1:26" hidden="1">
      <c r="A480" t="s">
        <v>707</v>
      </c>
      <c r="B480" s="6">
        <v>44287</v>
      </c>
      <c r="C480" s="6">
        <v>44651</v>
      </c>
      <c r="D480">
        <v>20210401</v>
      </c>
      <c r="E480">
        <v>20220331</v>
      </c>
      <c r="F480" t="s">
        <v>6198</v>
      </c>
      <c r="G480" t="s">
        <v>6199</v>
      </c>
      <c r="H480" t="s">
        <v>590</v>
      </c>
      <c r="I480" t="s">
        <v>1462</v>
      </c>
      <c r="L480">
        <v>4</v>
      </c>
      <c r="M480">
        <v>2016</v>
      </c>
      <c r="N480">
        <v>-4</v>
      </c>
      <c r="O480">
        <v>-2016</v>
      </c>
      <c r="Z480" s="3">
        <f t="shared" si="7"/>
        <v>504</v>
      </c>
    </row>
    <row r="481" spans="1:26" hidden="1">
      <c r="A481" t="s">
        <v>707</v>
      </c>
      <c r="B481" s="6">
        <v>44287</v>
      </c>
      <c r="C481" s="6">
        <v>44651</v>
      </c>
      <c r="D481">
        <v>20210401</v>
      </c>
      <c r="E481">
        <v>20220331</v>
      </c>
      <c r="F481" t="s">
        <v>6200</v>
      </c>
      <c r="G481" t="s">
        <v>6201</v>
      </c>
      <c r="H481" t="s">
        <v>590</v>
      </c>
      <c r="I481" t="s">
        <v>1462</v>
      </c>
      <c r="L481">
        <v>48</v>
      </c>
      <c r="M481">
        <v>5328</v>
      </c>
      <c r="N481">
        <v>-48</v>
      </c>
      <c r="O481">
        <v>-5328</v>
      </c>
      <c r="Z481" s="3">
        <f t="shared" si="7"/>
        <v>111</v>
      </c>
    </row>
    <row r="482" spans="1:26" hidden="1">
      <c r="A482" t="s">
        <v>707</v>
      </c>
      <c r="B482" s="6">
        <v>44287</v>
      </c>
      <c r="C482" s="6">
        <v>44651</v>
      </c>
      <c r="D482">
        <v>20210401</v>
      </c>
      <c r="E482">
        <v>20220331</v>
      </c>
      <c r="F482" t="s">
        <v>6202</v>
      </c>
      <c r="G482" t="s">
        <v>6203</v>
      </c>
      <c r="H482" t="s">
        <v>590</v>
      </c>
      <c r="I482" t="s">
        <v>1462</v>
      </c>
      <c r="L482">
        <v>1</v>
      </c>
      <c r="M482">
        <v>1721.97</v>
      </c>
      <c r="X482">
        <v>1</v>
      </c>
      <c r="Y482">
        <v>1721.97</v>
      </c>
      <c r="Z482" s="3">
        <f t="shared" si="7"/>
        <v>1721.97</v>
      </c>
    </row>
    <row r="483" spans="1:26" hidden="1">
      <c r="A483" t="s">
        <v>707</v>
      </c>
      <c r="B483" s="6">
        <v>44287</v>
      </c>
      <c r="C483" s="6">
        <v>44651</v>
      </c>
      <c r="D483">
        <v>20210401</v>
      </c>
      <c r="E483">
        <v>20220331</v>
      </c>
      <c r="F483" t="s">
        <v>6204</v>
      </c>
      <c r="G483" t="s">
        <v>6203</v>
      </c>
      <c r="H483" t="s">
        <v>590</v>
      </c>
      <c r="I483" t="s">
        <v>1462</v>
      </c>
      <c r="L483">
        <v>2</v>
      </c>
      <c r="M483">
        <v>3568.5</v>
      </c>
      <c r="X483">
        <v>2</v>
      </c>
      <c r="Y483">
        <v>3568.5</v>
      </c>
      <c r="Z483" s="3">
        <f t="shared" si="7"/>
        <v>1784.25</v>
      </c>
    </row>
    <row r="484" spans="1:26" hidden="1">
      <c r="A484" t="s">
        <v>707</v>
      </c>
      <c r="B484" s="6">
        <v>44287</v>
      </c>
      <c r="C484" s="6">
        <v>44651</v>
      </c>
      <c r="D484">
        <v>20210401</v>
      </c>
      <c r="E484">
        <v>20220331</v>
      </c>
      <c r="F484" t="s">
        <v>2742</v>
      </c>
      <c r="G484" t="s">
        <v>2743</v>
      </c>
      <c r="H484" t="s">
        <v>590</v>
      </c>
      <c r="I484" t="s">
        <v>1462</v>
      </c>
      <c r="J484">
        <v>1</v>
      </c>
      <c r="K484">
        <v>573.75</v>
      </c>
      <c r="L484">
        <v>2</v>
      </c>
      <c r="M484">
        <v>3441.2</v>
      </c>
      <c r="N484">
        <v>-1</v>
      </c>
      <c r="O484">
        <v>-573.75</v>
      </c>
      <c r="X484">
        <v>2</v>
      </c>
      <c r="Y484">
        <v>3441.2</v>
      </c>
      <c r="Z484" s="3">
        <f t="shared" si="7"/>
        <v>573.75</v>
      </c>
    </row>
    <row r="485" spans="1:26" hidden="1">
      <c r="A485" t="s">
        <v>707</v>
      </c>
      <c r="B485" s="6">
        <v>44287</v>
      </c>
      <c r="C485" s="6">
        <v>44651</v>
      </c>
      <c r="D485">
        <v>20210401</v>
      </c>
      <c r="E485">
        <v>20220331</v>
      </c>
      <c r="F485" t="s">
        <v>2744</v>
      </c>
      <c r="G485" t="s">
        <v>2745</v>
      </c>
      <c r="H485" t="s">
        <v>590</v>
      </c>
      <c r="I485" t="s">
        <v>1462</v>
      </c>
      <c r="L485">
        <v>2</v>
      </c>
      <c r="M485">
        <v>3347.22</v>
      </c>
      <c r="N485">
        <v>-2</v>
      </c>
      <c r="O485">
        <v>-3347.22</v>
      </c>
      <c r="Z485" s="3">
        <f t="shared" si="7"/>
        <v>1673.61</v>
      </c>
    </row>
    <row r="486" spans="1:26" hidden="1">
      <c r="A486" t="s">
        <v>707</v>
      </c>
      <c r="B486" s="6">
        <v>44287</v>
      </c>
      <c r="C486" s="6">
        <v>44651</v>
      </c>
      <c r="D486">
        <v>20210401</v>
      </c>
      <c r="E486">
        <v>20220331</v>
      </c>
      <c r="F486" t="s">
        <v>2746</v>
      </c>
      <c r="G486" t="s">
        <v>2747</v>
      </c>
      <c r="H486" t="s">
        <v>590</v>
      </c>
      <c r="I486" t="s">
        <v>1462</v>
      </c>
      <c r="J486">
        <v>4</v>
      </c>
      <c r="K486">
        <v>4094.64</v>
      </c>
      <c r="N486">
        <v>-2</v>
      </c>
      <c r="O486">
        <v>-2047.32</v>
      </c>
      <c r="X486">
        <v>2</v>
      </c>
      <c r="Y486">
        <v>2047.32</v>
      </c>
      <c r="Z486" s="3">
        <f t="shared" si="7"/>
        <v>1023.66</v>
      </c>
    </row>
    <row r="487" spans="1:26" hidden="1">
      <c r="A487" t="s">
        <v>707</v>
      </c>
      <c r="B487" s="6">
        <v>44287</v>
      </c>
      <c r="C487" s="6">
        <v>44651</v>
      </c>
      <c r="D487">
        <v>20210401</v>
      </c>
      <c r="E487">
        <v>20220331</v>
      </c>
      <c r="F487" t="s">
        <v>2748</v>
      </c>
      <c r="G487" t="s">
        <v>2749</v>
      </c>
      <c r="H487" t="s">
        <v>590</v>
      </c>
      <c r="I487" t="s">
        <v>1462</v>
      </c>
      <c r="J487">
        <v>2</v>
      </c>
      <c r="K487">
        <v>3945</v>
      </c>
      <c r="X487">
        <v>2</v>
      </c>
      <c r="Y487">
        <v>3945</v>
      </c>
      <c r="Z487" s="3">
        <f t="shared" si="7"/>
        <v>1972.5</v>
      </c>
    </row>
    <row r="488" spans="1:26" hidden="1">
      <c r="A488" t="s">
        <v>707</v>
      </c>
      <c r="B488" s="6">
        <v>44287</v>
      </c>
      <c r="C488" s="6">
        <v>44651</v>
      </c>
      <c r="D488">
        <v>20210401</v>
      </c>
      <c r="E488">
        <v>20220331</v>
      </c>
      <c r="F488" t="s">
        <v>2752</v>
      </c>
      <c r="G488" t="s">
        <v>2753</v>
      </c>
      <c r="H488" t="s">
        <v>590</v>
      </c>
      <c r="I488" t="s">
        <v>1462</v>
      </c>
      <c r="J488">
        <v>1</v>
      </c>
      <c r="K488">
        <v>769.48</v>
      </c>
      <c r="X488">
        <v>1</v>
      </c>
      <c r="Y488">
        <v>769.48</v>
      </c>
      <c r="Z488" s="3">
        <f t="shared" si="7"/>
        <v>769.48</v>
      </c>
    </row>
    <row r="489" spans="1:26" hidden="1">
      <c r="A489" t="s">
        <v>707</v>
      </c>
      <c r="B489" s="6">
        <v>44287</v>
      </c>
      <c r="C489" s="6">
        <v>44651</v>
      </c>
      <c r="D489">
        <v>20210401</v>
      </c>
      <c r="E489">
        <v>20220331</v>
      </c>
      <c r="F489" t="s">
        <v>6205</v>
      </c>
      <c r="G489" t="s">
        <v>6206</v>
      </c>
      <c r="H489" t="s">
        <v>590</v>
      </c>
      <c r="I489" t="s">
        <v>1462</v>
      </c>
      <c r="J489">
        <v>5</v>
      </c>
      <c r="K489">
        <v>475</v>
      </c>
      <c r="N489">
        <v>-3</v>
      </c>
      <c r="O489">
        <v>-285</v>
      </c>
      <c r="X489">
        <v>2</v>
      </c>
      <c r="Y489">
        <v>190</v>
      </c>
      <c r="Z489" s="3">
        <f t="shared" si="7"/>
        <v>95</v>
      </c>
    </row>
    <row r="490" spans="1:26" hidden="1">
      <c r="A490" t="s">
        <v>707</v>
      </c>
      <c r="B490" s="6">
        <v>44287</v>
      </c>
      <c r="C490" s="6">
        <v>44651</v>
      </c>
      <c r="D490">
        <v>20210401</v>
      </c>
      <c r="E490">
        <v>20220331</v>
      </c>
      <c r="F490" t="s">
        <v>6207</v>
      </c>
      <c r="G490" t="s">
        <v>6208</v>
      </c>
      <c r="H490" t="s">
        <v>590</v>
      </c>
      <c r="I490" t="s">
        <v>1462</v>
      </c>
      <c r="J490">
        <v>2</v>
      </c>
      <c r="K490">
        <v>1688.94</v>
      </c>
      <c r="L490">
        <v>6</v>
      </c>
      <c r="M490">
        <v>4053</v>
      </c>
      <c r="X490">
        <v>8</v>
      </c>
      <c r="Y490">
        <v>5741.94</v>
      </c>
      <c r="Z490" s="3">
        <f t="shared" si="7"/>
        <v>717.74249999999995</v>
      </c>
    </row>
    <row r="491" spans="1:26" hidden="1">
      <c r="A491" t="s">
        <v>707</v>
      </c>
      <c r="B491" s="6">
        <v>44287</v>
      </c>
      <c r="C491" s="6">
        <v>44651</v>
      </c>
      <c r="D491">
        <v>20210401</v>
      </c>
      <c r="E491">
        <v>20220331</v>
      </c>
      <c r="F491" t="s">
        <v>6209</v>
      </c>
      <c r="G491" t="s">
        <v>6210</v>
      </c>
      <c r="H491" t="s">
        <v>590</v>
      </c>
      <c r="I491" t="s">
        <v>1462</v>
      </c>
      <c r="L491">
        <v>1</v>
      </c>
      <c r="M491">
        <v>2128.44</v>
      </c>
      <c r="X491">
        <v>1</v>
      </c>
      <c r="Y491">
        <v>2128.44</v>
      </c>
      <c r="Z491" s="3">
        <f t="shared" si="7"/>
        <v>2128.44</v>
      </c>
    </row>
    <row r="492" spans="1:26" hidden="1">
      <c r="A492" t="s">
        <v>707</v>
      </c>
      <c r="B492" s="6">
        <v>44287</v>
      </c>
      <c r="C492" s="6">
        <v>44651</v>
      </c>
      <c r="D492">
        <v>20210401</v>
      </c>
      <c r="E492">
        <v>20220331</v>
      </c>
      <c r="F492" t="s">
        <v>6211</v>
      </c>
      <c r="G492" t="s">
        <v>6212</v>
      </c>
      <c r="H492" t="s">
        <v>590</v>
      </c>
      <c r="I492" t="s">
        <v>1462</v>
      </c>
      <c r="N492">
        <v>-1</v>
      </c>
      <c r="O492">
        <v>-907.24</v>
      </c>
      <c r="X492">
        <v>-1</v>
      </c>
      <c r="Y492">
        <v>-907.24</v>
      </c>
      <c r="Z492" s="3">
        <f t="shared" si="7"/>
        <v>907.24</v>
      </c>
    </row>
    <row r="493" spans="1:26" hidden="1">
      <c r="A493" t="s">
        <v>707</v>
      </c>
      <c r="B493" s="6">
        <v>44287</v>
      </c>
      <c r="C493" s="6">
        <v>44651</v>
      </c>
      <c r="D493">
        <v>20210401</v>
      </c>
      <c r="E493">
        <v>20220331</v>
      </c>
      <c r="F493" t="s">
        <v>6213</v>
      </c>
      <c r="G493" t="s">
        <v>6214</v>
      </c>
      <c r="H493" t="s">
        <v>590</v>
      </c>
      <c r="I493" t="s">
        <v>805</v>
      </c>
      <c r="J493">
        <v>7</v>
      </c>
      <c r="K493">
        <v>5642</v>
      </c>
      <c r="X493">
        <v>7</v>
      </c>
      <c r="Y493">
        <v>5642</v>
      </c>
      <c r="Z493" s="3">
        <f t="shared" si="7"/>
        <v>806</v>
      </c>
    </row>
    <row r="494" spans="1:26" hidden="1">
      <c r="A494" t="s">
        <v>707</v>
      </c>
      <c r="B494" s="6">
        <v>44287</v>
      </c>
      <c r="C494" s="6">
        <v>44651</v>
      </c>
      <c r="D494">
        <v>20210401</v>
      </c>
      <c r="E494">
        <v>20220331</v>
      </c>
      <c r="F494" t="s">
        <v>6215</v>
      </c>
      <c r="G494" t="s">
        <v>6216</v>
      </c>
      <c r="H494" t="s">
        <v>590</v>
      </c>
      <c r="I494" t="s">
        <v>1462</v>
      </c>
      <c r="N494">
        <v>-1</v>
      </c>
      <c r="O494">
        <v>-1000</v>
      </c>
      <c r="X494">
        <v>-1</v>
      </c>
      <c r="Y494">
        <v>-1000</v>
      </c>
      <c r="Z494" s="3">
        <f t="shared" si="7"/>
        <v>1000</v>
      </c>
    </row>
    <row r="495" spans="1:26" hidden="1">
      <c r="A495" t="s">
        <v>707</v>
      </c>
      <c r="B495" s="6">
        <v>44287</v>
      </c>
      <c r="C495" s="6">
        <v>44651</v>
      </c>
      <c r="D495">
        <v>20210401</v>
      </c>
      <c r="E495">
        <v>20220331</v>
      </c>
      <c r="F495" t="s">
        <v>6217</v>
      </c>
      <c r="G495" t="s">
        <v>6218</v>
      </c>
      <c r="H495" t="s">
        <v>590</v>
      </c>
      <c r="I495" t="s">
        <v>1462</v>
      </c>
      <c r="J495">
        <v>1</v>
      </c>
      <c r="K495">
        <v>4225</v>
      </c>
      <c r="X495">
        <v>1</v>
      </c>
      <c r="Y495">
        <v>4225</v>
      </c>
      <c r="Z495" s="3">
        <f t="shared" si="7"/>
        <v>4225</v>
      </c>
    </row>
    <row r="496" spans="1:26" hidden="1">
      <c r="A496" t="s">
        <v>707</v>
      </c>
      <c r="B496" s="6">
        <v>44287</v>
      </c>
      <c r="C496" s="6">
        <v>44651</v>
      </c>
      <c r="D496">
        <v>20210401</v>
      </c>
      <c r="E496">
        <v>20220331</v>
      </c>
      <c r="F496" t="s">
        <v>6219</v>
      </c>
      <c r="G496" t="s">
        <v>6193</v>
      </c>
      <c r="H496" t="s">
        <v>590</v>
      </c>
      <c r="I496" t="s">
        <v>1462</v>
      </c>
      <c r="J496">
        <v>5</v>
      </c>
      <c r="K496">
        <v>9863.56</v>
      </c>
      <c r="X496">
        <v>5</v>
      </c>
      <c r="Y496">
        <v>9863.56</v>
      </c>
      <c r="Z496" s="3">
        <f t="shared" si="7"/>
        <v>1972.712</v>
      </c>
    </row>
    <row r="497" spans="1:26" hidden="1">
      <c r="A497" t="s">
        <v>707</v>
      </c>
      <c r="B497" s="6">
        <v>44287</v>
      </c>
      <c r="C497" s="6">
        <v>44651</v>
      </c>
      <c r="D497">
        <v>20210401</v>
      </c>
      <c r="E497">
        <v>20220331</v>
      </c>
      <c r="F497" t="s">
        <v>6220</v>
      </c>
      <c r="G497" t="s">
        <v>6221</v>
      </c>
      <c r="H497" t="s">
        <v>590</v>
      </c>
      <c r="I497" t="s">
        <v>1462</v>
      </c>
      <c r="L497">
        <v>3</v>
      </c>
      <c r="M497">
        <v>5700</v>
      </c>
      <c r="X497">
        <v>3</v>
      </c>
      <c r="Y497">
        <v>5700</v>
      </c>
      <c r="Z497" s="3">
        <f t="shared" si="7"/>
        <v>1900</v>
      </c>
    </row>
    <row r="498" spans="1:26" hidden="1">
      <c r="A498" t="s">
        <v>707</v>
      </c>
      <c r="B498" s="6">
        <v>44287</v>
      </c>
      <c r="C498" s="6">
        <v>44651</v>
      </c>
      <c r="D498">
        <v>20210401</v>
      </c>
      <c r="E498">
        <v>20220331</v>
      </c>
      <c r="F498" t="s">
        <v>6222</v>
      </c>
      <c r="G498" t="s">
        <v>6223</v>
      </c>
      <c r="H498" t="s">
        <v>590</v>
      </c>
      <c r="I498" t="s">
        <v>1462</v>
      </c>
      <c r="J498">
        <v>2</v>
      </c>
      <c r="K498">
        <v>7000</v>
      </c>
      <c r="N498">
        <v>-1</v>
      </c>
      <c r="O498">
        <v>-3500</v>
      </c>
      <c r="X498">
        <v>1</v>
      </c>
      <c r="Y498">
        <v>3500</v>
      </c>
      <c r="Z498" s="3">
        <f t="shared" si="7"/>
        <v>3500</v>
      </c>
    </row>
    <row r="499" spans="1:26" hidden="1">
      <c r="A499" t="s">
        <v>707</v>
      </c>
      <c r="B499" s="6">
        <v>44287</v>
      </c>
      <c r="C499" s="6">
        <v>44651</v>
      </c>
      <c r="D499">
        <v>20210401</v>
      </c>
      <c r="E499">
        <v>20220331</v>
      </c>
      <c r="F499" t="s">
        <v>6224</v>
      </c>
      <c r="G499" t="s">
        <v>6225</v>
      </c>
      <c r="H499" t="s">
        <v>590</v>
      </c>
      <c r="I499" t="s">
        <v>1462</v>
      </c>
      <c r="J499">
        <v>6</v>
      </c>
      <c r="K499">
        <v>232.45</v>
      </c>
      <c r="N499">
        <v>-1</v>
      </c>
      <c r="O499">
        <v>-38.74</v>
      </c>
      <c r="X499">
        <v>5</v>
      </c>
      <c r="Y499">
        <v>193.71</v>
      </c>
      <c r="Z499" s="3">
        <f t="shared" si="7"/>
        <v>38.74</v>
      </c>
    </row>
    <row r="500" spans="1:26" hidden="1">
      <c r="A500" t="s">
        <v>707</v>
      </c>
      <c r="B500" s="6">
        <v>44287</v>
      </c>
      <c r="C500" s="6">
        <v>44651</v>
      </c>
      <c r="D500">
        <v>20210401</v>
      </c>
      <c r="E500">
        <v>20220331</v>
      </c>
      <c r="F500" t="s">
        <v>2794</v>
      </c>
      <c r="G500" t="s">
        <v>2795</v>
      </c>
      <c r="H500" t="s">
        <v>590</v>
      </c>
      <c r="I500" t="s">
        <v>1462</v>
      </c>
      <c r="J500">
        <v>2</v>
      </c>
      <c r="K500">
        <v>364</v>
      </c>
      <c r="N500">
        <v>-2</v>
      </c>
      <c r="O500">
        <v>-364</v>
      </c>
      <c r="Z500" s="3">
        <f t="shared" si="7"/>
        <v>182</v>
      </c>
    </row>
    <row r="501" spans="1:26" hidden="1">
      <c r="A501" t="s">
        <v>707</v>
      </c>
      <c r="B501" s="6">
        <v>44287</v>
      </c>
      <c r="C501" s="6">
        <v>44651</v>
      </c>
      <c r="D501">
        <v>20210401</v>
      </c>
      <c r="E501">
        <v>20220331</v>
      </c>
      <c r="F501" t="s">
        <v>6226</v>
      </c>
      <c r="G501" t="s">
        <v>6227</v>
      </c>
      <c r="H501" t="s">
        <v>590</v>
      </c>
      <c r="I501" t="s">
        <v>1462</v>
      </c>
      <c r="L501">
        <v>3</v>
      </c>
      <c r="M501">
        <v>660</v>
      </c>
      <c r="X501">
        <v>3</v>
      </c>
      <c r="Y501">
        <v>660</v>
      </c>
      <c r="Z501" s="3">
        <f t="shared" si="7"/>
        <v>220</v>
      </c>
    </row>
    <row r="502" spans="1:26" hidden="1">
      <c r="A502" t="s">
        <v>707</v>
      </c>
      <c r="B502" s="6">
        <v>44287</v>
      </c>
      <c r="C502" s="6">
        <v>44651</v>
      </c>
      <c r="D502">
        <v>20210401</v>
      </c>
      <c r="E502">
        <v>20220331</v>
      </c>
      <c r="F502" t="s">
        <v>6228</v>
      </c>
      <c r="G502" t="s">
        <v>6229</v>
      </c>
      <c r="H502" t="s">
        <v>590</v>
      </c>
      <c r="I502" t="s">
        <v>1462</v>
      </c>
      <c r="L502">
        <v>6</v>
      </c>
      <c r="M502">
        <v>1140</v>
      </c>
      <c r="X502">
        <v>6</v>
      </c>
      <c r="Y502">
        <v>1140</v>
      </c>
      <c r="Z502" s="3">
        <f t="shared" si="7"/>
        <v>190</v>
      </c>
    </row>
    <row r="503" spans="1:26" hidden="1">
      <c r="A503" t="s">
        <v>707</v>
      </c>
      <c r="B503" s="6">
        <v>44287</v>
      </c>
      <c r="C503" s="6">
        <v>44651</v>
      </c>
      <c r="D503">
        <v>20210401</v>
      </c>
      <c r="E503">
        <v>20220331</v>
      </c>
      <c r="F503" t="s">
        <v>6230</v>
      </c>
      <c r="G503" t="s">
        <v>6231</v>
      </c>
      <c r="H503" t="s">
        <v>590</v>
      </c>
      <c r="I503" t="s">
        <v>1462</v>
      </c>
      <c r="J503">
        <v>11</v>
      </c>
      <c r="K503">
        <v>946</v>
      </c>
      <c r="X503">
        <v>11</v>
      </c>
      <c r="Y503">
        <v>946</v>
      </c>
      <c r="Z503" s="3">
        <f t="shared" si="7"/>
        <v>86</v>
      </c>
    </row>
    <row r="504" spans="1:26" hidden="1">
      <c r="A504" t="s">
        <v>707</v>
      </c>
      <c r="B504" s="6">
        <v>44287</v>
      </c>
      <c r="C504" s="6">
        <v>44651</v>
      </c>
      <c r="D504">
        <v>20210401</v>
      </c>
      <c r="E504">
        <v>20220331</v>
      </c>
      <c r="F504" t="s">
        <v>2806</v>
      </c>
      <c r="G504" t="s">
        <v>2807</v>
      </c>
      <c r="H504" t="s">
        <v>590</v>
      </c>
      <c r="I504" t="s">
        <v>1462</v>
      </c>
      <c r="L504">
        <v>1</v>
      </c>
      <c r="M504">
        <v>360.75</v>
      </c>
      <c r="N504">
        <v>-1</v>
      </c>
      <c r="O504">
        <v>-360.75</v>
      </c>
      <c r="Z504" s="3">
        <f t="shared" si="7"/>
        <v>360.75</v>
      </c>
    </row>
    <row r="505" spans="1:26" hidden="1">
      <c r="A505" t="s">
        <v>707</v>
      </c>
      <c r="B505" s="6">
        <v>44287</v>
      </c>
      <c r="C505" s="6">
        <v>44651</v>
      </c>
      <c r="D505">
        <v>20210401</v>
      </c>
      <c r="E505">
        <v>20220331</v>
      </c>
      <c r="F505" t="s">
        <v>2808</v>
      </c>
      <c r="G505" t="s">
        <v>2809</v>
      </c>
      <c r="H505" t="s">
        <v>590</v>
      </c>
      <c r="I505" t="s">
        <v>1462</v>
      </c>
      <c r="L505">
        <v>1</v>
      </c>
      <c r="M505">
        <v>360.75</v>
      </c>
      <c r="N505">
        <v>-1</v>
      </c>
      <c r="O505">
        <v>-360.75</v>
      </c>
      <c r="Z505" s="3">
        <f t="shared" si="7"/>
        <v>360.75</v>
      </c>
    </row>
    <row r="506" spans="1:26" hidden="1">
      <c r="A506" t="s">
        <v>707</v>
      </c>
      <c r="B506" s="6">
        <v>44287</v>
      </c>
      <c r="C506" s="6">
        <v>44651</v>
      </c>
      <c r="D506">
        <v>20210401</v>
      </c>
      <c r="E506">
        <v>20220331</v>
      </c>
      <c r="F506" t="s">
        <v>6232</v>
      </c>
      <c r="G506" t="s">
        <v>6233</v>
      </c>
      <c r="H506" t="s">
        <v>590</v>
      </c>
      <c r="I506" t="s">
        <v>1462</v>
      </c>
      <c r="J506">
        <v>2</v>
      </c>
      <c r="K506">
        <v>612</v>
      </c>
      <c r="L506">
        <v>4</v>
      </c>
      <c r="M506">
        <v>1430</v>
      </c>
      <c r="N506">
        <v>-3</v>
      </c>
      <c r="O506">
        <v>-1000.4</v>
      </c>
      <c r="X506">
        <v>3</v>
      </c>
      <c r="Y506">
        <v>1041.5999999999999</v>
      </c>
      <c r="Z506" s="3">
        <f t="shared" si="7"/>
        <v>333.46666666666664</v>
      </c>
    </row>
    <row r="507" spans="1:26" hidden="1">
      <c r="A507" t="s">
        <v>707</v>
      </c>
      <c r="B507" s="6">
        <v>44287</v>
      </c>
      <c r="C507" s="6">
        <v>44651</v>
      </c>
      <c r="D507">
        <v>20210401</v>
      </c>
      <c r="E507">
        <v>20220331</v>
      </c>
      <c r="F507" t="s">
        <v>2832</v>
      </c>
      <c r="G507" t="s">
        <v>2833</v>
      </c>
      <c r="H507" t="s">
        <v>2073</v>
      </c>
      <c r="I507" t="s">
        <v>1462</v>
      </c>
      <c r="L507">
        <v>100</v>
      </c>
      <c r="M507">
        <v>9500</v>
      </c>
      <c r="X507">
        <v>100</v>
      </c>
      <c r="Y507">
        <v>9500</v>
      </c>
      <c r="Z507" s="3">
        <f t="shared" si="7"/>
        <v>95</v>
      </c>
    </row>
    <row r="508" spans="1:26" hidden="1">
      <c r="A508" t="s">
        <v>707</v>
      </c>
      <c r="B508" s="6">
        <v>44287</v>
      </c>
      <c r="C508" s="6">
        <v>44651</v>
      </c>
      <c r="D508">
        <v>20210401</v>
      </c>
      <c r="E508">
        <v>20220331</v>
      </c>
      <c r="F508" t="s">
        <v>2835</v>
      </c>
      <c r="G508" t="s">
        <v>2836</v>
      </c>
      <c r="H508" t="s">
        <v>2073</v>
      </c>
      <c r="I508" t="s">
        <v>1462</v>
      </c>
      <c r="P508">
        <v>100</v>
      </c>
      <c r="Q508">
        <v>11200</v>
      </c>
      <c r="X508">
        <v>100</v>
      </c>
      <c r="Y508">
        <v>11200</v>
      </c>
      <c r="Z508" s="3">
        <f t="shared" si="7"/>
        <v>112</v>
      </c>
    </row>
    <row r="509" spans="1:26" hidden="1">
      <c r="A509" t="s">
        <v>707</v>
      </c>
      <c r="B509" s="6">
        <v>44287</v>
      </c>
      <c r="C509" s="6">
        <v>44651</v>
      </c>
      <c r="D509">
        <v>20210401</v>
      </c>
      <c r="E509">
        <v>20220331</v>
      </c>
      <c r="F509" t="s">
        <v>6234</v>
      </c>
      <c r="G509" t="s">
        <v>6235</v>
      </c>
      <c r="H509" t="s">
        <v>2073</v>
      </c>
      <c r="I509" t="s">
        <v>1462</v>
      </c>
      <c r="J509">
        <v>15</v>
      </c>
      <c r="K509">
        <v>10332.24</v>
      </c>
      <c r="L509">
        <v>30</v>
      </c>
      <c r="M509">
        <v>12750</v>
      </c>
      <c r="N509">
        <v>-45</v>
      </c>
      <c r="O509">
        <v>-23082.240000000002</v>
      </c>
      <c r="Z509" s="3">
        <f t="shared" si="7"/>
        <v>512.93866666666668</v>
      </c>
    </row>
    <row r="510" spans="1:26" hidden="1">
      <c r="A510" t="s">
        <v>707</v>
      </c>
      <c r="B510" s="6">
        <v>44287</v>
      </c>
      <c r="C510" s="6">
        <v>44651</v>
      </c>
      <c r="D510">
        <v>20210401</v>
      </c>
      <c r="E510">
        <v>20220331</v>
      </c>
      <c r="F510" t="s">
        <v>6236</v>
      </c>
      <c r="G510" t="s">
        <v>6237</v>
      </c>
      <c r="H510" t="s">
        <v>590</v>
      </c>
      <c r="I510" t="s">
        <v>1462</v>
      </c>
      <c r="L510">
        <v>3</v>
      </c>
      <c r="M510">
        <v>3600</v>
      </c>
      <c r="X510">
        <v>3</v>
      </c>
      <c r="Y510">
        <v>3600</v>
      </c>
      <c r="Z510" s="3">
        <f t="shared" si="7"/>
        <v>1200</v>
      </c>
    </row>
    <row r="511" spans="1:26" hidden="1">
      <c r="A511" t="s">
        <v>707</v>
      </c>
      <c r="B511" s="6">
        <v>44287</v>
      </c>
      <c r="C511" s="6">
        <v>44651</v>
      </c>
      <c r="D511">
        <v>20210401</v>
      </c>
      <c r="E511">
        <v>20220331</v>
      </c>
      <c r="F511" t="s">
        <v>6238</v>
      </c>
      <c r="G511" t="s">
        <v>6239</v>
      </c>
      <c r="H511" t="s">
        <v>2073</v>
      </c>
      <c r="I511" t="s">
        <v>1462</v>
      </c>
      <c r="J511">
        <v>100</v>
      </c>
      <c r="K511">
        <v>6139.8</v>
      </c>
      <c r="N511">
        <v>-100</v>
      </c>
      <c r="O511">
        <v>-6139.8</v>
      </c>
      <c r="Z511" s="3">
        <f t="shared" si="7"/>
        <v>61.398000000000003</v>
      </c>
    </row>
    <row r="512" spans="1:26" hidden="1">
      <c r="A512" t="s">
        <v>707</v>
      </c>
      <c r="B512" s="6">
        <v>44287</v>
      </c>
      <c r="C512" s="6">
        <v>44651</v>
      </c>
      <c r="D512">
        <v>20210401</v>
      </c>
      <c r="E512">
        <v>20220331</v>
      </c>
      <c r="F512" t="s">
        <v>2843</v>
      </c>
      <c r="G512" t="s">
        <v>2844</v>
      </c>
      <c r="H512" t="s">
        <v>590</v>
      </c>
      <c r="I512" t="s">
        <v>1462</v>
      </c>
      <c r="J512">
        <v>6</v>
      </c>
      <c r="K512">
        <v>180</v>
      </c>
      <c r="X512">
        <v>6</v>
      </c>
      <c r="Y512">
        <v>180</v>
      </c>
      <c r="Z512" s="3">
        <f t="shared" si="7"/>
        <v>30</v>
      </c>
    </row>
    <row r="513" spans="1:26" hidden="1">
      <c r="A513" t="s">
        <v>707</v>
      </c>
      <c r="B513" s="6">
        <v>44287</v>
      </c>
      <c r="C513" s="6">
        <v>44651</v>
      </c>
      <c r="D513">
        <v>20210401</v>
      </c>
      <c r="E513">
        <v>20220331</v>
      </c>
      <c r="F513" t="s">
        <v>6240</v>
      </c>
      <c r="G513" t="s">
        <v>6241</v>
      </c>
      <c r="H513" t="s">
        <v>2073</v>
      </c>
      <c r="I513" t="s">
        <v>1462</v>
      </c>
      <c r="J513">
        <v>50</v>
      </c>
      <c r="K513">
        <v>13250</v>
      </c>
      <c r="L513">
        <v>150</v>
      </c>
      <c r="M513">
        <v>40150</v>
      </c>
      <c r="N513">
        <v>-150</v>
      </c>
      <c r="O513">
        <v>-40150</v>
      </c>
      <c r="X513">
        <v>50</v>
      </c>
      <c r="Y513">
        <v>13250</v>
      </c>
      <c r="Z513" s="3">
        <f t="shared" si="7"/>
        <v>267.66666666666669</v>
      </c>
    </row>
    <row r="514" spans="1:26" hidden="1">
      <c r="A514" t="s">
        <v>707</v>
      </c>
      <c r="B514" s="6">
        <v>44287</v>
      </c>
      <c r="C514" s="6">
        <v>44651</v>
      </c>
      <c r="D514">
        <v>20210401</v>
      </c>
      <c r="E514">
        <v>20220331</v>
      </c>
      <c r="F514" t="s">
        <v>6242</v>
      </c>
      <c r="G514" t="s">
        <v>6243</v>
      </c>
      <c r="H514" t="s">
        <v>2834</v>
      </c>
      <c r="I514" t="s">
        <v>1462</v>
      </c>
      <c r="L514">
        <v>10</v>
      </c>
      <c r="M514">
        <v>980</v>
      </c>
      <c r="X514">
        <v>10</v>
      </c>
      <c r="Y514">
        <v>980</v>
      </c>
      <c r="Z514" s="3">
        <f t="shared" si="7"/>
        <v>98</v>
      </c>
    </row>
    <row r="515" spans="1:26" hidden="1">
      <c r="A515" t="s">
        <v>707</v>
      </c>
      <c r="B515" s="6">
        <v>44287</v>
      </c>
      <c r="C515" s="6">
        <v>44651</v>
      </c>
      <c r="D515">
        <v>20210401</v>
      </c>
      <c r="E515">
        <v>20220331</v>
      </c>
      <c r="F515" t="s">
        <v>6244</v>
      </c>
      <c r="G515" t="s">
        <v>6245</v>
      </c>
      <c r="H515" t="s">
        <v>2834</v>
      </c>
      <c r="I515" t="s">
        <v>1462</v>
      </c>
      <c r="L515">
        <v>25</v>
      </c>
      <c r="M515">
        <v>575</v>
      </c>
      <c r="N515">
        <v>-7</v>
      </c>
      <c r="O515">
        <v>-161</v>
      </c>
      <c r="X515">
        <v>18</v>
      </c>
      <c r="Y515">
        <v>414</v>
      </c>
      <c r="Z515" s="3">
        <f t="shared" ref="Z515:Z578" si="8">IFERROR((O515+Q515)/(N515+P515),Y515/X515)</f>
        <v>23</v>
      </c>
    </row>
    <row r="516" spans="1:26" hidden="1">
      <c r="A516" t="s">
        <v>707</v>
      </c>
      <c r="B516" s="6">
        <v>44287</v>
      </c>
      <c r="C516" s="6">
        <v>44651</v>
      </c>
      <c r="D516">
        <v>20210401</v>
      </c>
      <c r="E516">
        <v>20220331</v>
      </c>
      <c r="F516" t="s">
        <v>6246</v>
      </c>
      <c r="G516" t="s">
        <v>6247</v>
      </c>
      <c r="H516" t="s">
        <v>2073</v>
      </c>
      <c r="I516" t="s">
        <v>1462</v>
      </c>
      <c r="L516">
        <v>25</v>
      </c>
      <c r="M516">
        <v>875</v>
      </c>
      <c r="N516">
        <v>-6</v>
      </c>
      <c r="O516">
        <v>-210</v>
      </c>
      <c r="X516">
        <v>19</v>
      </c>
      <c r="Y516">
        <v>665</v>
      </c>
      <c r="Z516" s="3">
        <f t="shared" si="8"/>
        <v>35</v>
      </c>
    </row>
    <row r="517" spans="1:26" hidden="1">
      <c r="A517" t="s">
        <v>707</v>
      </c>
      <c r="B517" s="6">
        <v>44287</v>
      </c>
      <c r="C517" s="6">
        <v>44651</v>
      </c>
      <c r="D517">
        <v>20210401</v>
      </c>
      <c r="E517">
        <v>20220331</v>
      </c>
      <c r="F517" t="s">
        <v>6248</v>
      </c>
      <c r="G517" t="s">
        <v>6249</v>
      </c>
      <c r="H517" t="s">
        <v>2073</v>
      </c>
      <c r="I517" t="s">
        <v>805</v>
      </c>
      <c r="L517">
        <v>70</v>
      </c>
      <c r="M517">
        <v>98000.44</v>
      </c>
      <c r="X517">
        <v>70</v>
      </c>
      <c r="Y517">
        <v>98000.44</v>
      </c>
      <c r="Z517" s="3">
        <f t="shared" si="8"/>
        <v>1400.0062857142857</v>
      </c>
    </row>
    <row r="518" spans="1:26" hidden="1">
      <c r="A518" t="s">
        <v>707</v>
      </c>
      <c r="B518" s="6">
        <v>44287</v>
      </c>
      <c r="C518" s="6">
        <v>44651</v>
      </c>
      <c r="D518">
        <v>20210401</v>
      </c>
      <c r="E518">
        <v>20220331</v>
      </c>
      <c r="F518" t="s">
        <v>6250</v>
      </c>
      <c r="G518" t="s">
        <v>6251</v>
      </c>
      <c r="H518" t="s">
        <v>590</v>
      </c>
      <c r="I518" t="s">
        <v>1462</v>
      </c>
      <c r="J518">
        <v>4</v>
      </c>
      <c r="K518">
        <v>16884</v>
      </c>
      <c r="X518">
        <v>4</v>
      </c>
      <c r="Y518">
        <v>16884</v>
      </c>
      <c r="Z518" s="3">
        <f t="shared" si="8"/>
        <v>4221</v>
      </c>
    </row>
    <row r="519" spans="1:26" hidden="1">
      <c r="A519" t="s">
        <v>707</v>
      </c>
      <c r="B519" s="6">
        <v>44287</v>
      </c>
      <c r="C519" s="6">
        <v>44651</v>
      </c>
      <c r="D519">
        <v>20210401</v>
      </c>
      <c r="E519">
        <v>20220331</v>
      </c>
      <c r="F519" t="s">
        <v>6252</v>
      </c>
      <c r="G519" t="s">
        <v>6253</v>
      </c>
      <c r="H519" t="s">
        <v>590</v>
      </c>
      <c r="I519" t="s">
        <v>1462</v>
      </c>
      <c r="J519">
        <v>4</v>
      </c>
      <c r="K519">
        <v>9620</v>
      </c>
      <c r="X519">
        <v>4</v>
      </c>
      <c r="Y519">
        <v>9620</v>
      </c>
      <c r="Z519" s="3">
        <f t="shared" si="8"/>
        <v>2405</v>
      </c>
    </row>
    <row r="520" spans="1:26" hidden="1">
      <c r="A520" t="s">
        <v>707</v>
      </c>
      <c r="B520" s="6">
        <v>44287</v>
      </c>
      <c r="C520" s="6">
        <v>44651</v>
      </c>
      <c r="D520">
        <v>20210401</v>
      </c>
      <c r="E520">
        <v>20220331</v>
      </c>
      <c r="F520" t="s">
        <v>6254</v>
      </c>
      <c r="G520" t="s">
        <v>6255</v>
      </c>
      <c r="H520" t="s">
        <v>590</v>
      </c>
      <c r="I520" t="s">
        <v>1462</v>
      </c>
      <c r="J520">
        <v>4</v>
      </c>
      <c r="K520">
        <v>15208</v>
      </c>
      <c r="X520">
        <v>4</v>
      </c>
      <c r="Y520">
        <v>15208</v>
      </c>
      <c r="Z520" s="3">
        <f t="shared" si="8"/>
        <v>3802</v>
      </c>
    </row>
    <row r="521" spans="1:26" hidden="1">
      <c r="A521" t="s">
        <v>707</v>
      </c>
      <c r="B521" s="6">
        <v>44287</v>
      </c>
      <c r="C521" s="6">
        <v>44651</v>
      </c>
      <c r="D521">
        <v>20210401</v>
      </c>
      <c r="E521">
        <v>20220331</v>
      </c>
      <c r="F521" t="s">
        <v>2849</v>
      </c>
      <c r="G521" t="s">
        <v>2850</v>
      </c>
      <c r="H521" t="s">
        <v>1556</v>
      </c>
      <c r="I521" t="s">
        <v>1462</v>
      </c>
      <c r="J521">
        <v>11.397</v>
      </c>
      <c r="K521">
        <v>30771.9</v>
      </c>
      <c r="N521">
        <v>-11.397</v>
      </c>
      <c r="O521">
        <v>-30771.89</v>
      </c>
      <c r="P521">
        <v>7.7169999999999996</v>
      </c>
      <c r="Q521">
        <v>20835.89</v>
      </c>
      <c r="X521">
        <v>7.7169999999999996</v>
      </c>
      <c r="Y521">
        <v>20835.900000000001</v>
      </c>
      <c r="Z521" s="3">
        <f t="shared" si="8"/>
        <v>2699.9999999999995</v>
      </c>
    </row>
    <row r="522" spans="1:26" hidden="1">
      <c r="A522" t="s">
        <v>707</v>
      </c>
      <c r="B522" s="6">
        <v>44287</v>
      </c>
      <c r="C522" s="6">
        <v>44651</v>
      </c>
      <c r="D522">
        <v>20210401</v>
      </c>
      <c r="E522">
        <v>20220331</v>
      </c>
      <c r="F522" t="s">
        <v>6256</v>
      </c>
      <c r="G522" t="s">
        <v>6257</v>
      </c>
      <c r="H522" t="s">
        <v>2073</v>
      </c>
      <c r="I522" t="s">
        <v>1462</v>
      </c>
      <c r="J522">
        <v>50</v>
      </c>
      <c r="K522">
        <v>14250</v>
      </c>
      <c r="X522">
        <v>50</v>
      </c>
      <c r="Y522">
        <v>14250</v>
      </c>
      <c r="Z522" s="3">
        <f t="shared" si="8"/>
        <v>285</v>
      </c>
    </row>
    <row r="523" spans="1:26" hidden="1">
      <c r="A523" t="s">
        <v>707</v>
      </c>
      <c r="B523" s="6">
        <v>44287</v>
      </c>
      <c r="C523" s="6">
        <v>44651</v>
      </c>
      <c r="D523">
        <v>20210401</v>
      </c>
      <c r="E523">
        <v>20220331</v>
      </c>
      <c r="F523" t="s">
        <v>6258</v>
      </c>
      <c r="G523" t="s">
        <v>6259</v>
      </c>
      <c r="H523" t="s">
        <v>2834</v>
      </c>
      <c r="I523" t="s">
        <v>1462</v>
      </c>
      <c r="L523">
        <v>10</v>
      </c>
      <c r="M523">
        <v>520</v>
      </c>
      <c r="N523">
        <v>-10</v>
      </c>
      <c r="O523">
        <v>-520</v>
      </c>
      <c r="Z523" s="3">
        <f t="shared" si="8"/>
        <v>52</v>
      </c>
    </row>
    <row r="524" spans="1:26" hidden="1">
      <c r="A524" t="s">
        <v>707</v>
      </c>
      <c r="B524" s="6">
        <v>44287</v>
      </c>
      <c r="C524" s="6">
        <v>44651</v>
      </c>
      <c r="D524">
        <v>20210401</v>
      </c>
      <c r="E524">
        <v>20220331</v>
      </c>
      <c r="F524" t="s">
        <v>6260</v>
      </c>
      <c r="G524" t="s">
        <v>6261</v>
      </c>
      <c r="H524" t="s">
        <v>2073</v>
      </c>
      <c r="I524" t="s">
        <v>1462</v>
      </c>
      <c r="L524">
        <v>160</v>
      </c>
      <c r="M524">
        <v>43420.42</v>
      </c>
      <c r="X524">
        <v>160</v>
      </c>
      <c r="Y524">
        <v>43420.42</v>
      </c>
      <c r="Z524" s="3">
        <f t="shared" si="8"/>
        <v>271.37762499999997</v>
      </c>
    </row>
    <row r="525" spans="1:26" hidden="1">
      <c r="A525" t="s">
        <v>707</v>
      </c>
      <c r="B525" s="6">
        <v>44287</v>
      </c>
      <c r="C525" s="6">
        <v>44651</v>
      </c>
      <c r="D525">
        <v>20210401</v>
      </c>
      <c r="E525">
        <v>20220331</v>
      </c>
      <c r="F525" t="s">
        <v>6262</v>
      </c>
      <c r="G525" t="s">
        <v>6263</v>
      </c>
      <c r="H525" t="s">
        <v>590</v>
      </c>
      <c r="I525" t="s">
        <v>1462</v>
      </c>
      <c r="J525">
        <v>8</v>
      </c>
      <c r="K525">
        <v>12040</v>
      </c>
      <c r="N525">
        <v>-1</v>
      </c>
      <c r="O525">
        <v>-1505</v>
      </c>
      <c r="X525">
        <v>7</v>
      </c>
      <c r="Y525">
        <v>10535</v>
      </c>
      <c r="Z525" s="3">
        <f t="shared" si="8"/>
        <v>1505</v>
      </c>
    </row>
    <row r="526" spans="1:26" hidden="1">
      <c r="A526" t="s">
        <v>707</v>
      </c>
      <c r="B526" s="6">
        <v>44287</v>
      </c>
      <c r="C526" s="6">
        <v>44651</v>
      </c>
      <c r="D526">
        <v>20210401</v>
      </c>
      <c r="E526">
        <v>20220331</v>
      </c>
      <c r="F526" t="s">
        <v>2877</v>
      </c>
      <c r="G526" t="s">
        <v>2878</v>
      </c>
      <c r="H526" t="s">
        <v>590</v>
      </c>
      <c r="I526" t="s">
        <v>1462</v>
      </c>
      <c r="L526">
        <v>1</v>
      </c>
      <c r="M526">
        <v>28970.400000000001</v>
      </c>
      <c r="X526">
        <v>1</v>
      </c>
      <c r="Y526">
        <v>28970.400000000001</v>
      </c>
      <c r="Z526" s="3">
        <f t="shared" si="8"/>
        <v>28970.400000000001</v>
      </c>
    </row>
    <row r="527" spans="1:26" hidden="1">
      <c r="A527" t="s">
        <v>707</v>
      </c>
      <c r="B527" s="6">
        <v>44287</v>
      </c>
      <c r="C527" s="6">
        <v>44651</v>
      </c>
      <c r="D527">
        <v>20210401</v>
      </c>
      <c r="E527">
        <v>20220331</v>
      </c>
      <c r="F527" t="s">
        <v>6264</v>
      </c>
      <c r="G527" t="s">
        <v>6265</v>
      </c>
      <c r="H527" t="s">
        <v>590</v>
      </c>
      <c r="I527" t="s">
        <v>1462</v>
      </c>
      <c r="J527">
        <v>3</v>
      </c>
      <c r="K527">
        <v>1341.14</v>
      </c>
      <c r="X527">
        <v>3</v>
      </c>
      <c r="Y527">
        <v>1341.14</v>
      </c>
      <c r="Z527" s="3">
        <f t="shared" si="8"/>
        <v>447.04666666666668</v>
      </c>
    </row>
    <row r="528" spans="1:26" hidden="1">
      <c r="A528" t="s">
        <v>707</v>
      </c>
      <c r="B528" s="6">
        <v>44287</v>
      </c>
      <c r="C528" s="6">
        <v>44651</v>
      </c>
      <c r="D528">
        <v>20210401</v>
      </c>
      <c r="E528">
        <v>20220331</v>
      </c>
      <c r="F528" t="s">
        <v>6266</v>
      </c>
      <c r="G528" t="s">
        <v>6267</v>
      </c>
      <c r="H528" t="s">
        <v>590</v>
      </c>
      <c r="I528" t="s">
        <v>1462</v>
      </c>
      <c r="L528">
        <v>4</v>
      </c>
      <c r="M528">
        <v>1420</v>
      </c>
      <c r="X528">
        <v>4</v>
      </c>
      <c r="Y528">
        <v>1420</v>
      </c>
      <c r="Z528" s="3">
        <f t="shared" si="8"/>
        <v>355</v>
      </c>
    </row>
    <row r="529" spans="1:26" hidden="1">
      <c r="A529" t="s">
        <v>707</v>
      </c>
      <c r="B529" s="6">
        <v>44287</v>
      </c>
      <c r="C529" s="6">
        <v>44651</v>
      </c>
      <c r="D529">
        <v>20210401</v>
      </c>
      <c r="E529">
        <v>20220331</v>
      </c>
      <c r="F529" t="s">
        <v>6268</v>
      </c>
      <c r="G529" t="s">
        <v>6269</v>
      </c>
      <c r="H529" t="s">
        <v>590</v>
      </c>
      <c r="I529" t="s">
        <v>1462</v>
      </c>
      <c r="L529">
        <v>3</v>
      </c>
      <c r="M529">
        <v>675</v>
      </c>
      <c r="N529">
        <v>-3</v>
      </c>
      <c r="O529">
        <v>-675</v>
      </c>
      <c r="Z529" s="3">
        <f t="shared" si="8"/>
        <v>225</v>
      </c>
    </row>
    <row r="530" spans="1:26" hidden="1">
      <c r="A530" t="s">
        <v>707</v>
      </c>
      <c r="B530" s="6">
        <v>44287</v>
      </c>
      <c r="C530" s="6">
        <v>44651</v>
      </c>
      <c r="D530">
        <v>20210401</v>
      </c>
      <c r="E530">
        <v>20220331</v>
      </c>
      <c r="F530" t="s">
        <v>6270</v>
      </c>
      <c r="G530" t="s">
        <v>6271</v>
      </c>
      <c r="H530" t="s">
        <v>590</v>
      </c>
      <c r="I530" t="s">
        <v>1462</v>
      </c>
      <c r="J530">
        <v>6</v>
      </c>
      <c r="K530">
        <v>23.4</v>
      </c>
      <c r="N530">
        <v>-6</v>
      </c>
      <c r="O530">
        <v>-23.4</v>
      </c>
      <c r="Z530" s="3">
        <f t="shared" si="8"/>
        <v>3.9</v>
      </c>
    </row>
    <row r="531" spans="1:26" hidden="1">
      <c r="A531" t="s">
        <v>707</v>
      </c>
      <c r="B531" s="6">
        <v>44287</v>
      </c>
      <c r="C531" s="6">
        <v>44651</v>
      </c>
      <c r="D531">
        <v>20210401</v>
      </c>
      <c r="E531">
        <v>20220331</v>
      </c>
      <c r="F531" t="s">
        <v>2895</v>
      </c>
      <c r="G531" t="s">
        <v>2896</v>
      </c>
      <c r="H531" t="s">
        <v>590</v>
      </c>
      <c r="I531" t="s">
        <v>1462</v>
      </c>
      <c r="L531">
        <v>100</v>
      </c>
      <c r="M531">
        <v>530</v>
      </c>
      <c r="N531">
        <v>-65</v>
      </c>
      <c r="O531">
        <v>-341.15</v>
      </c>
      <c r="X531">
        <v>35</v>
      </c>
      <c r="Y531">
        <v>188.85</v>
      </c>
      <c r="Z531" s="3">
        <f t="shared" si="8"/>
        <v>5.2484615384615383</v>
      </c>
    </row>
    <row r="532" spans="1:26" hidden="1">
      <c r="A532" t="s">
        <v>707</v>
      </c>
      <c r="B532" s="6">
        <v>44287</v>
      </c>
      <c r="C532" s="6">
        <v>44651</v>
      </c>
      <c r="D532">
        <v>20210401</v>
      </c>
      <c r="E532">
        <v>20220331</v>
      </c>
      <c r="F532" t="s">
        <v>2897</v>
      </c>
      <c r="G532" t="s">
        <v>2898</v>
      </c>
      <c r="H532" t="s">
        <v>590</v>
      </c>
      <c r="I532" t="s">
        <v>1462</v>
      </c>
      <c r="J532">
        <v>40</v>
      </c>
      <c r="K532">
        <v>83.72</v>
      </c>
      <c r="L532">
        <v>100</v>
      </c>
      <c r="M532">
        <v>315</v>
      </c>
      <c r="N532">
        <v>-130</v>
      </c>
      <c r="O532">
        <v>-367.63</v>
      </c>
      <c r="X532">
        <v>10</v>
      </c>
      <c r="Y532">
        <v>31.09</v>
      </c>
      <c r="Z532" s="3">
        <f t="shared" si="8"/>
        <v>2.827923076923077</v>
      </c>
    </row>
    <row r="533" spans="1:26" hidden="1">
      <c r="A533" t="s">
        <v>707</v>
      </c>
      <c r="B533" s="6">
        <v>44287</v>
      </c>
      <c r="C533" s="6">
        <v>44651</v>
      </c>
      <c r="D533">
        <v>20210401</v>
      </c>
      <c r="E533">
        <v>20220331</v>
      </c>
      <c r="F533" t="s">
        <v>6272</v>
      </c>
      <c r="G533" t="s">
        <v>6273</v>
      </c>
      <c r="H533" t="s">
        <v>590</v>
      </c>
      <c r="I533" t="s">
        <v>1462</v>
      </c>
      <c r="J533">
        <v>140</v>
      </c>
      <c r="K533">
        <v>201.61</v>
      </c>
      <c r="N533">
        <v>-74</v>
      </c>
      <c r="O533">
        <v>-106.56</v>
      </c>
      <c r="X533">
        <v>66</v>
      </c>
      <c r="Y533">
        <v>95.05</v>
      </c>
      <c r="Z533" s="3">
        <f t="shared" si="8"/>
        <v>1.44</v>
      </c>
    </row>
    <row r="534" spans="1:26" hidden="1">
      <c r="A534" t="s">
        <v>707</v>
      </c>
      <c r="B534" s="6">
        <v>44287</v>
      </c>
      <c r="C534" s="6">
        <v>44651</v>
      </c>
      <c r="D534">
        <v>20210401</v>
      </c>
      <c r="E534">
        <v>20220331</v>
      </c>
      <c r="F534" t="s">
        <v>6274</v>
      </c>
      <c r="G534" t="s">
        <v>6275</v>
      </c>
      <c r="H534" t="s">
        <v>590</v>
      </c>
      <c r="I534" t="s">
        <v>1462</v>
      </c>
      <c r="K534">
        <v>0.01</v>
      </c>
      <c r="Y534">
        <v>0.01</v>
      </c>
      <c r="Z534" s="3" t="e">
        <f t="shared" si="8"/>
        <v>#DIV/0!</v>
      </c>
    </row>
    <row r="535" spans="1:26" hidden="1">
      <c r="A535" t="s">
        <v>707</v>
      </c>
      <c r="B535" s="6">
        <v>44287</v>
      </c>
      <c r="C535" s="6">
        <v>44651</v>
      </c>
      <c r="D535">
        <v>20210401</v>
      </c>
      <c r="E535">
        <v>20220331</v>
      </c>
      <c r="F535" t="s">
        <v>6276</v>
      </c>
      <c r="G535" t="s">
        <v>6277</v>
      </c>
      <c r="H535" t="s">
        <v>590</v>
      </c>
      <c r="I535" t="s">
        <v>1462</v>
      </c>
      <c r="J535">
        <v>60</v>
      </c>
      <c r="K535">
        <v>1596.77</v>
      </c>
      <c r="N535">
        <v>-7</v>
      </c>
      <c r="O535">
        <v>-186.29</v>
      </c>
      <c r="X535">
        <v>53</v>
      </c>
      <c r="Y535">
        <v>1410.48</v>
      </c>
      <c r="Z535" s="3">
        <f t="shared" si="8"/>
        <v>26.612857142857141</v>
      </c>
    </row>
    <row r="536" spans="1:26" hidden="1">
      <c r="A536" t="s">
        <v>707</v>
      </c>
      <c r="B536" s="6">
        <v>44287</v>
      </c>
      <c r="C536" s="6">
        <v>44651</v>
      </c>
      <c r="D536">
        <v>20210401</v>
      </c>
      <c r="E536">
        <v>20220331</v>
      </c>
      <c r="F536" t="s">
        <v>2901</v>
      </c>
      <c r="G536" t="s">
        <v>2902</v>
      </c>
      <c r="H536" t="s">
        <v>590</v>
      </c>
      <c r="I536" t="s">
        <v>1462</v>
      </c>
      <c r="L536">
        <v>12</v>
      </c>
      <c r="M536">
        <v>120</v>
      </c>
      <c r="N536">
        <v>-12</v>
      </c>
      <c r="O536">
        <v>-120</v>
      </c>
      <c r="Z536" s="3">
        <f t="shared" si="8"/>
        <v>10</v>
      </c>
    </row>
    <row r="537" spans="1:26" hidden="1">
      <c r="A537" t="s">
        <v>707</v>
      </c>
      <c r="B537" s="6">
        <v>44287</v>
      </c>
      <c r="C537" s="6">
        <v>44651</v>
      </c>
      <c r="D537">
        <v>20210401</v>
      </c>
      <c r="E537">
        <v>20220331</v>
      </c>
      <c r="F537" t="s">
        <v>6278</v>
      </c>
      <c r="G537" t="s">
        <v>6279</v>
      </c>
      <c r="H537" t="s">
        <v>590</v>
      </c>
      <c r="I537" t="s">
        <v>1462</v>
      </c>
      <c r="J537">
        <v>6</v>
      </c>
      <c r="K537">
        <v>35.979999999999997</v>
      </c>
      <c r="L537">
        <v>4</v>
      </c>
      <c r="M537">
        <v>128</v>
      </c>
      <c r="N537">
        <v>-19</v>
      </c>
      <c r="O537">
        <v>-113.95</v>
      </c>
      <c r="X537">
        <v>-9</v>
      </c>
      <c r="Y537">
        <v>50.03</v>
      </c>
      <c r="Z537" s="3">
        <f t="shared" si="8"/>
        <v>5.9973684210526317</v>
      </c>
    </row>
    <row r="538" spans="1:26" hidden="1">
      <c r="A538" t="s">
        <v>707</v>
      </c>
      <c r="B538" s="6">
        <v>44287</v>
      </c>
      <c r="C538" s="6">
        <v>44651</v>
      </c>
      <c r="D538">
        <v>20210401</v>
      </c>
      <c r="E538">
        <v>20220331</v>
      </c>
      <c r="F538" t="s">
        <v>6280</v>
      </c>
      <c r="G538" t="s">
        <v>6281</v>
      </c>
      <c r="H538" t="s">
        <v>590</v>
      </c>
      <c r="I538" t="s">
        <v>1462</v>
      </c>
      <c r="J538">
        <v>18</v>
      </c>
      <c r="K538">
        <v>163.80000000000001</v>
      </c>
      <c r="X538">
        <v>18</v>
      </c>
      <c r="Y538">
        <v>163.80000000000001</v>
      </c>
      <c r="Z538" s="3">
        <f t="shared" si="8"/>
        <v>9.1000000000000014</v>
      </c>
    </row>
    <row r="539" spans="1:26" hidden="1">
      <c r="A539" t="s">
        <v>707</v>
      </c>
      <c r="B539" s="6">
        <v>44287</v>
      </c>
      <c r="C539" s="6">
        <v>44651</v>
      </c>
      <c r="D539">
        <v>20210401</v>
      </c>
      <c r="E539">
        <v>20220331</v>
      </c>
      <c r="F539" t="s">
        <v>6282</v>
      </c>
      <c r="G539" t="s">
        <v>2896</v>
      </c>
      <c r="H539" t="s">
        <v>590</v>
      </c>
      <c r="I539" t="s">
        <v>1462</v>
      </c>
      <c r="J539">
        <v>22</v>
      </c>
      <c r="K539">
        <v>94.6</v>
      </c>
      <c r="L539">
        <v>50</v>
      </c>
      <c r="M539">
        <v>225</v>
      </c>
      <c r="N539">
        <v>-19</v>
      </c>
      <c r="O539">
        <v>-84.23</v>
      </c>
      <c r="X539">
        <v>53</v>
      </c>
      <c r="Y539">
        <v>235.37</v>
      </c>
      <c r="Z539" s="3">
        <f t="shared" si="8"/>
        <v>4.4331578947368424</v>
      </c>
    </row>
    <row r="540" spans="1:26" hidden="1">
      <c r="A540" t="s">
        <v>707</v>
      </c>
      <c r="B540" s="6">
        <v>44287</v>
      </c>
      <c r="C540" s="6">
        <v>44651</v>
      </c>
      <c r="D540">
        <v>20210401</v>
      </c>
      <c r="E540">
        <v>20220331</v>
      </c>
      <c r="F540" t="s">
        <v>6283</v>
      </c>
      <c r="G540" t="s">
        <v>6284</v>
      </c>
      <c r="H540" t="s">
        <v>590</v>
      </c>
      <c r="I540" t="s">
        <v>1462</v>
      </c>
      <c r="J540">
        <v>18</v>
      </c>
      <c r="K540">
        <v>58.49</v>
      </c>
      <c r="N540">
        <v>-8</v>
      </c>
      <c r="O540">
        <v>-26</v>
      </c>
      <c r="X540">
        <v>10</v>
      </c>
      <c r="Y540">
        <v>32.49</v>
      </c>
      <c r="Z540" s="3">
        <f t="shared" si="8"/>
        <v>3.25</v>
      </c>
    </row>
    <row r="541" spans="1:26" hidden="1">
      <c r="A541" t="s">
        <v>707</v>
      </c>
      <c r="B541" s="6">
        <v>44287</v>
      </c>
      <c r="C541" s="6">
        <v>44651</v>
      </c>
      <c r="D541">
        <v>20210401</v>
      </c>
      <c r="E541">
        <v>20220331</v>
      </c>
      <c r="F541" t="s">
        <v>6285</v>
      </c>
      <c r="G541" t="s">
        <v>6286</v>
      </c>
      <c r="H541" t="s">
        <v>590</v>
      </c>
      <c r="I541" t="s">
        <v>1462</v>
      </c>
      <c r="J541">
        <v>45</v>
      </c>
      <c r="K541">
        <v>52.65</v>
      </c>
      <c r="N541">
        <v>-13</v>
      </c>
      <c r="O541">
        <v>-15.21</v>
      </c>
      <c r="X541">
        <v>32</v>
      </c>
      <c r="Y541">
        <v>37.44</v>
      </c>
      <c r="Z541" s="3">
        <f t="shared" si="8"/>
        <v>1.1700000000000002</v>
      </c>
    </row>
    <row r="542" spans="1:26" hidden="1">
      <c r="A542" t="s">
        <v>707</v>
      </c>
      <c r="B542" s="6">
        <v>44287</v>
      </c>
      <c r="C542" s="6">
        <v>44651</v>
      </c>
      <c r="D542">
        <v>20210401</v>
      </c>
      <c r="E542">
        <v>20220331</v>
      </c>
      <c r="F542" t="s">
        <v>6287</v>
      </c>
      <c r="G542" t="s">
        <v>6288</v>
      </c>
      <c r="H542" t="s">
        <v>590</v>
      </c>
      <c r="I542" t="s">
        <v>1462</v>
      </c>
      <c r="L542">
        <v>32</v>
      </c>
      <c r="M542">
        <v>1660</v>
      </c>
      <c r="N542">
        <v>-13</v>
      </c>
      <c r="O542">
        <v>-710</v>
      </c>
      <c r="X542">
        <v>19</v>
      </c>
      <c r="Y542">
        <v>950</v>
      </c>
      <c r="Z542" s="3">
        <f t="shared" si="8"/>
        <v>54.615384615384613</v>
      </c>
    </row>
    <row r="543" spans="1:26" hidden="1">
      <c r="A543" t="s">
        <v>707</v>
      </c>
      <c r="B543" s="6">
        <v>44287</v>
      </c>
      <c r="C543" s="6">
        <v>44651</v>
      </c>
      <c r="D543">
        <v>20210401</v>
      </c>
      <c r="E543">
        <v>20220331</v>
      </c>
      <c r="F543" t="s">
        <v>6289</v>
      </c>
      <c r="G543" t="s">
        <v>6290</v>
      </c>
      <c r="H543" t="s">
        <v>590</v>
      </c>
      <c r="I543" t="s">
        <v>1462</v>
      </c>
      <c r="J543">
        <v>280</v>
      </c>
      <c r="K543">
        <v>712.27</v>
      </c>
      <c r="L543">
        <v>50</v>
      </c>
      <c r="M543">
        <v>155</v>
      </c>
      <c r="N543">
        <v>-4</v>
      </c>
      <c r="O543">
        <v>-10.43</v>
      </c>
      <c r="X543">
        <v>326</v>
      </c>
      <c r="Y543">
        <v>856.84</v>
      </c>
      <c r="Z543" s="3">
        <f t="shared" si="8"/>
        <v>2.6074999999999999</v>
      </c>
    </row>
    <row r="544" spans="1:26" hidden="1">
      <c r="A544" t="s">
        <v>707</v>
      </c>
      <c r="B544" s="6">
        <v>44287</v>
      </c>
      <c r="C544" s="6">
        <v>44651</v>
      </c>
      <c r="D544">
        <v>20210401</v>
      </c>
      <c r="E544">
        <v>20220331</v>
      </c>
      <c r="F544" t="s">
        <v>6291</v>
      </c>
      <c r="G544" t="s">
        <v>6292</v>
      </c>
      <c r="H544" t="s">
        <v>590</v>
      </c>
      <c r="I544" t="s">
        <v>1462</v>
      </c>
      <c r="L544">
        <v>9</v>
      </c>
      <c r="M544">
        <v>454.22</v>
      </c>
      <c r="X544">
        <v>9</v>
      </c>
      <c r="Y544">
        <v>454.22</v>
      </c>
      <c r="Z544" s="3">
        <f t="shared" si="8"/>
        <v>50.468888888888891</v>
      </c>
    </row>
    <row r="545" spans="1:26" hidden="1">
      <c r="A545" t="s">
        <v>707</v>
      </c>
      <c r="B545" s="6">
        <v>44287</v>
      </c>
      <c r="C545" s="6">
        <v>44651</v>
      </c>
      <c r="D545">
        <v>20210401</v>
      </c>
      <c r="E545">
        <v>20220331</v>
      </c>
      <c r="F545" t="s">
        <v>6293</v>
      </c>
      <c r="G545" t="s">
        <v>6294</v>
      </c>
      <c r="H545" t="s">
        <v>590</v>
      </c>
      <c r="I545" t="s">
        <v>1462</v>
      </c>
      <c r="L545">
        <v>3</v>
      </c>
      <c r="M545">
        <v>59.1</v>
      </c>
      <c r="N545">
        <v>-1</v>
      </c>
      <c r="O545">
        <v>-19.7</v>
      </c>
      <c r="X545">
        <v>2</v>
      </c>
      <c r="Y545">
        <v>39.4</v>
      </c>
      <c r="Z545" s="3">
        <f t="shared" si="8"/>
        <v>19.7</v>
      </c>
    </row>
    <row r="546" spans="1:26" hidden="1">
      <c r="A546" t="s">
        <v>707</v>
      </c>
      <c r="B546" s="6">
        <v>44287</v>
      </c>
      <c r="C546" s="6">
        <v>44651</v>
      </c>
      <c r="D546">
        <v>20210401</v>
      </c>
      <c r="E546">
        <v>20220331</v>
      </c>
      <c r="F546" t="s">
        <v>6295</v>
      </c>
      <c r="G546" t="s">
        <v>6296</v>
      </c>
      <c r="H546" t="s">
        <v>590</v>
      </c>
      <c r="I546" t="s">
        <v>1462</v>
      </c>
      <c r="J546">
        <v>18</v>
      </c>
      <c r="K546">
        <v>396.9</v>
      </c>
      <c r="X546">
        <v>18</v>
      </c>
      <c r="Y546">
        <v>396.9</v>
      </c>
      <c r="Z546" s="3">
        <f t="shared" si="8"/>
        <v>22.049999999999997</v>
      </c>
    </row>
    <row r="547" spans="1:26" hidden="1">
      <c r="A547" t="s">
        <v>707</v>
      </c>
      <c r="B547" s="6">
        <v>44287</v>
      </c>
      <c r="C547" s="6">
        <v>44651</v>
      </c>
      <c r="D547">
        <v>20210401</v>
      </c>
      <c r="E547">
        <v>20220331</v>
      </c>
      <c r="F547" t="s">
        <v>6297</v>
      </c>
      <c r="G547" t="s">
        <v>6298</v>
      </c>
      <c r="H547" t="s">
        <v>590</v>
      </c>
      <c r="I547" t="s">
        <v>805</v>
      </c>
      <c r="J547">
        <v>14</v>
      </c>
      <c r="K547">
        <v>677.04</v>
      </c>
      <c r="L547">
        <v>12</v>
      </c>
      <c r="M547">
        <v>1044</v>
      </c>
      <c r="N547">
        <v>-6</v>
      </c>
      <c r="O547">
        <v>-290.16000000000003</v>
      </c>
      <c r="X547">
        <v>20</v>
      </c>
      <c r="Y547">
        <v>1430.88</v>
      </c>
      <c r="Z547" s="3">
        <f t="shared" si="8"/>
        <v>48.360000000000007</v>
      </c>
    </row>
    <row r="548" spans="1:26" hidden="1">
      <c r="A548" t="s">
        <v>707</v>
      </c>
      <c r="B548" s="6">
        <v>44287</v>
      </c>
      <c r="C548" s="6">
        <v>44651</v>
      </c>
      <c r="D548">
        <v>20210401</v>
      </c>
      <c r="E548">
        <v>20220331</v>
      </c>
      <c r="F548" t="s">
        <v>6299</v>
      </c>
      <c r="G548" t="s">
        <v>6300</v>
      </c>
      <c r="H548" t="s">
        <v>590</v>
      </c>
      <c r="I548" t="s">
        <v>1462</v>
      </c>
      <c r="J548">
        <v>21</v>
      </c>
      <c r="K548">
        <v>1092</v>
      </c>
      <c r="N548">
        <v>-2</v>
      </c>
      <c r="O548">
        <v>-104</v>
      </c>
      <c r="X548">
        <v>19</v>
      </c>
      <c r="Y548">
        <v>988</v>
      </c>
      <c r="Z548" s="3">
        <f t="shared" si="8"/>
        <v>52</v>
      </c>
    </row>
    <row r="549" spans="1:26" hidden="1">
      <c r="A549" t="s">
        <v>707</v>
      </c>
      <c r="B549" s="6">
        <v>44287</v>
      </c>
      <c r="C549" s="6">
        <v>44651</v>
      </c>
      <c r="D549">
        <v>20210401</v>
      </c>
      <c r="E549">
        <v>20220331</v>
      </c>
      <c r="F549" t="s">
        <v>6301</v>
      </c>
      <c r="G549" t="s">
        <v>6302</v>
      </c>
      <c r="H549" t="s">
        <v>590</v>
      </c>
      <c r="I549" t="s">
        <v>1462</v>
      </c>
      <c r="J549">
        <v>12</v>
      </c>
      <c r="K549">
        <v>212.64</v>
      </c>
      <c r="N549">
        <v>-3</v>
      </c>
      <c r="O549">
        <v>-53.16</v>
      </c>
      <c r="X549">
        <v>9</v>
      </c>
      <c r="Y549">
        <v>159.47999999999999</v>
      </c>
      <c r="Z549" s="3">
        <f t="shared" si="8"/>
        <v>17.72</v>
      </c>
    </row>
    <row r="550" spans="1:26" hidden="1">
      <c r="A550" t="s">
        <v>707</v>
      </c>
      <c r="B550" s="6">
        <v>44287</v>
      </c>
      <c r="C550" s="6">
        <v>44651</v>
      </c>
      <c r="D550">
        <v>20210401</v>
      </c>
      <c r="E550">
        <v>20220331</v>
      </c>
      <c r="F550" t="s">
        <v>6303</v>
      </c>
      <c r="G550" t="s">
        <v>6304</v>
      </c>
      <c r="H550" t="s">
        <v>590</v>
      </c>
      <c r="I550" t="s">
        <v>1462</v>
      </c>
      <c r="L550">
        <v>32</v>
      </c>
      <c r="M550">
        <v>2160</v>
      </c>
      <c r="N550">
        <v>-8</v>
      </c>
      <c r="O550">
        <v>-640</v>
      </c>
      <c r="X550">
        <v>24</v>
      </c>
      <c r="Y550">
        <v>1520</v>
      </c>
      <c r="Z550" s="3">
        <f t="shared" si="8"/>
        <v>80</v>
      </c>
    </row>
    <row r="551" spans="1:26" hidden="1">
      <c r="A551" t="s">
        <v>707</v>
      </c>
      <c r="B551" s="6">
        <v>44287</v>
      </c>
      <c r="C551" s="6">
        <v>44651</v>
      </c>
      <c r="D551">
        <v>20210401</v>
      </c>
      <c r="E551">
        <v>20220331</v>
      </c>
      <c r="F551" t="s">
        <v>6305</v>
      </c>
      <c r="G551" t="s">
        <v>6306</v>
      </c>
      <c r="H551" t="s">
        <v>590</v>
      </c>
      <c r="I551" t="s">
        <v>1462</v>
      </c>
      <c r="J551">
        <v>50</v>
      </c>
      <c r="K551">
        <v>800</v>
      </c>
      <c r="N551">
        <v>-8</v>
      </c>
      <c r="O551">
        <v>-128</v>
      </c>
      <c r="X551">
        <v>42</v>
      </c>
      <c r="Y551">
        <v>672</v>
      </c>
      <c r="Z551" s="3">
        <f t="shared" si="8"/>
        <v>16</v>
      </c>
    </row>
    <row r="552" spans="1:26" hidden="1">
      <c r="A552" t="s">
        <v>707</v>
      </c>
      <c r="B552" s="6">
        <v>44287</v>
      </c>
      <c r="C552" s="6">
        <v>44651</v>
      </c>
      <c r="D552">
        <v>20210401</v>
      </c>
      <c r="E552">
        <v>20220331</v>
      </c>
      <c r="F552" t="s">
        <v>2960</v>
      </c>
      <c r="G552" t="s">
        <v>2961</v>
      </c>
      <c r="H552" t="s">
        <v>590</v>
      </c>
      <c r="I552" t="s">
        <v>1462</v>
      </c>
      <c r="J552">
        <v>16</v>
      </c>
      <c r="K552">
        <v>496</v>
      </c>
      <c r="X552">
        <v>16</v>
      </c>
      <c r="Y552">
        <v>496</v>
      </c>
      <c r="Z552" s="3">
        <f t="shared" si="8"/>
        <v>31</v>
      </c>
    </row>
    <row r="553" spans="1:26" hidden="1">
      <c r="A553" t="s">
        <v>707</v>
      </c>
      <c r="B553" s="6">
        <v>44287</v>
      </c>
      <c r="C553" s="6">
        <v>44651</v>
      </c>
      <c r="D553">
        <v>20210401</v>
      </c>
      <c r="E553">
        <v>20220331</v>
      </c>
      <c r="F553" t="s">
        <v>2962</v>
      </c>
      <c r="G553" t="s">
        <v>2963</v>
      </c>
      <c r="H553" t="s">
        <v>590</v>
      </c>
      <c r="I553" t="s">
        <v>1462</v>
      </c>
      <c r="J553">
        <v>26</v>
      </c>
      <c r="K553">
        <v>806</v>
      </c>
      <c r="N553">
        <v>-6</v>
      </c>
      <c r="O553">
        <v>-186</v>
      </c>
      <c r="X553">
        <v>20</v>
      </c>
      <c r="Y553">
        <v>620</v>
      </c>
      <c r="Z553" s="3">
        <f t="shared" si="8"/>
        <v>31</v>
      </c>
    </row>
    <row r="554" spans="1:26" hidden="1">
      <c r="A554" t="s">
        <v>707</v>
      </c>
      <c r="B554" s="6">
        <v>44287</v>
      </c>
      <c r="C554" s="6">
        <v>44651</v>
      </c>
      <c r="D554">
        <v>20210401</v>
      </c>
      <c r="E554">
        <v>20220331</v>
      </c>
      <c r="F554" t="s">
        <v>6307</v>
      </c>
      <c r="G554" t="s">
        <v>6308</v>
      </c>
      <c r="H554" t="s">
        <v>590</v>
      </c>
      <c r="I554" t="s">
        <v>1462</v>
      </c>
      <c r="J554">
        <v>22</v>
      </c>
      <c r="K554">
        <v>883.66</v>
      </c>
      <c r="N554">
        <v>-5</v>
      </c>
      <c r="O554">
        <v>-200.83</v>
      </c>
      <c r="X554">
        <v>17</v>
      </c>
      <c r="Y554">
        <v>682.83</v>
      </c>
      <c r="Z554" s="3">
        <f t="shared" si="8"/>
        <v>40.166000000000004</v>
      </c>
    </row>
    <row r="555" spans="1:26" hidden="1">
      <c r="A555" t="s">
        <v>707</v>
      </c>
      <c r="B555" s="6">
        <v>44287</v>
      </c>
      <c r="C555" s="6">
        <v>44651</v>
      </c>
      <c r="D555">
        <v>20210401</v>
      </c>
      <c r="E555">
        <v>20220331</v>
      </c>
      <c r="F555" t="s">
        <v>6309</v>
      </c>
      <c r="G555" t="s">
        <v>6310</v>
      </c>
      <c r="H555" t="s">
        <v>590</v>
      </c>
      <c r="I555" t="s">
        <v>1462</v>
      </c>
      <c r="J555">
        <v>20</v>
      </c>
      <c r="K555">
        <v>829.52</v>
      </c>
      <c r="N555">
        <v>-5</v>
      </c>
      <c r="O555">
        <v>-207.38</v>
      </c>
      <c r="X555">
        <v>15</v>
      </c>
      <c r="Y555">
        <v>622.14</v>
      </c>
      <c r="Z555" s="3">
        <f t="shared" si="8"/>
        <v>41.475999999999999</v>
      </c>
    </row>
    <row r="556" spans="1:26" hidden="1">
      <c r="A556" t="s">
        <v>707</v>
      </c>
      <c r="B556" s="6">
        <v>44287</v>
      </c>
      <c r="C556" s="6">
        <v>44651</v>
      </c>
      <c r="D556">
        <v>20210401</v>
      </c>
      <c r="E556">
        <v>20220331</v>
      </c>
      <c r="F556" t="s">
        <v>6311</v>
      </c>
      <c r="G556" t="s">
        <v>6312</v>
      </c>
      <c r="H556" t="s">
        <v>590</v>
      </c>
      <c r="I556" t="s">
        <v>1462</v>
      </c>
      <c r="J556">
        <v>33</v>
      </c>
      <c r="K556">
        <v>1233.6400000000001</v>
      </c>
      <c r="N556">
        <v>-20</v>
      </c>
      <c r="O556">
        <v>-747.66</v>
      </c>
      <c r="X556">
        <v>13</v>
      </c>
      <c r="Y556">
        <v>485.98</v>
      </c>
      <c r="Z556" s="3">
        <f t="shared" si="8"/>
        <v>37.382999999999996</v>
      </c>
    </row>
    <row r="557" spans="1:26" hidden="1">
      <c r="A557" t="s">
        <v>707</v>
      </c>
      <c r="B557" s="6">
        <v>44287</v>
      </c>
      <c r="C557" s="6">
        <v>44651</v>
      </c>
      <c r="D557">
        <v>20210401</v>
      </c>
      <c r="E557">
        <v>20220331</v>
      </c>
      <c r="F557" t="s">
        <v>6313</v>
      </c>
      <c r="G557" t="s">
        <v>6314</v>
      </c>
      <c r="H557" t="s">
        <v>590</v>
      </c>
      <c r="I557" t="s">
        <v>1462</v>
      </c>
      <c r="J557">
        <v>9</v>
      </c>
      <c r="K557">
        <v>498.66</v>
      </c>
      <c r="N557">
        <v>-9</v>
      </c>
      <c r="O557">
        <v>-498.65</v>
      </c>
      <c r="Y557">
        <v>0.01</v>
      </c>
      <c r="Z557" s="3">
        <f t="shared" si="8"/>
        <v>55.405555555555551</v>
      </c>
    </row>
    <row r="558" spans="1:26" hidden="1">
      <c r="A558" t="s">
        <v>707</v>
      </c>
      <c r="B558" s="6">
        <v>44287</v>
      </c>
      <c r="C558" s="6">
        <v>44651</v>
      </c>
      <c r="D558">
        <v>20210401</v>
      </c>
      <c r="E558">
        <v>20220331</v>
      </c>
      <c r="F558" t="s">
        <v>6315</v>
      </c>
      <c r="G558" t="s">
        <v>6316</v>
      </c>
      <c r="H558" t="s">
        <v>590</v>
      </c>
      <c r="I558" t="s">
        <v>1462</v>
      </c>
      <c r="J558">
        <v>28</v>
      </c>
      <c r="K558">
        <v>2230.12</v>
      </c>
      <c r="N558">
        <v>-28</v>
      </c>
      <c r="O558">
        <v>-2230.11</v>
      </c>
      <c r="Y558">
        <v>0.01</v>
      </c>
      <c r="Z558" s="3">
        <f t="shared" si="8"/>
        <v>79.646785714285713</v>
      </c>
    </row>
    <row r="559" spans="1:26" hidden="1">
      <c r="A559" t="s">
        <v>707</v>
      </c>
      <c r="B559" s="6">
        <v>44287</v>
      </c>
      <c r="C559" s="6">
        <v>44651</v>
      </c>
      <c r="D559">
        <v>20210401</v>
      </c>
      <c r="E559">
        <v>20220331</v>
      </c>
      <c r="F559" t="s">
        <v>6317</v>
      </c>
      <c r="G559" t="s">
        <v>6318</v>
      </c>
      <c r="H559" t="s">
        <v>590</v>
      </c>
      <c r="I559" t="s">
        <v>1462</v>
      </c>
      <c r="J559">
        <v>3</v>
      </c>
      <c r="K559">
        <v>918.09</v>
      </c>
      <c r="N559">
        <v>-2</v>
      </c>
      <c r="O559">
        <v>-612.05999999999995</v>
      </c>
      <c r="X559">
        <v>1</v>
      </c>
      <c r="Y559">
        <v>306.02999999999997</v>
      </c>
      <c r="Z559" s="3">
        <f t="shared" si="8"/>
        <v>306.02999999999997</v>
      </c>
    </row>
    <row r="560" spans="1:26" hidden="1">
      <c r="A560" t="s">
        <v>707</v>
      </c>
      <c r="B560" s="6">
        <v>44287</v>
      </c>
      <c r="C560" s="6">
        <v>44651</v>
      </c>
      <c r="D560">
        <v>20210401</v>
      </c>
      <c r="E560">
        <v>20220331</v>
      </c>
      <c r="F560" t="s">
        <v>6319</v>
      </c>
      <c r="G560" t="s">
        <v>6320</v>
      </c>
      <c r="H560" t="s">
        <v>590</v>
      </c>
      <c r="I560" t="s">
        <v>1462</v>
      </c>
      <c r="J560">
        <v>13</v>
      </c>
      <c r="K560">
        <v>8273.6299999999992</v>
      </c>
      <c r="X560">
        <v>13</v>
      </c>
      <c r="Y560">
        <v>8273.6299999999992</v>
      </c>
      <c r="Z560" s="3">
        <f t="shared" si="8"/>
        <v>636.4330769230769</v>
      </c>
    </row>
    <row r="561" spans="1:26" hidden="1">
      <c r="A561" t="s">
        <v>707</v>
      </c>
      <c r="B561" s="6">
        <v>44287</v>
      </c>
      <c r="C561" s="6">
        <v>44651</v>
      </c>
      <c r="D561">
        <v>20210401</v>
      </c>
      <c r="E561">
        <v>20220331</v>
      </c>
      <c r="F561" t="s">
        <v>6321</v>
      </c>
      <c r="G561" t="s">
        <v>6322</v>
      </c>
      <c r="H561" t="s">
        <v>590</v>
      </c>
      <c r="I561" t="s">
        <v>1462</v>
      </c>
      <c r="J561">
        <v>6</v>
      </c>
      <c r="K561">
        <v>1694.7</v>
      </c>
      <c r="N561">
        <v>-4</v>
      </c>
      <c r="O561">
        <v>-1129.8</v>
      </c>
      <c r="X561">
        <v>2</v>
      </c>
      <c r="Y561">
        <v>564.9</v>
      </c>
      <c r="Z561" s="3">
        <f t="shared" si="8"/>
        <v>282.45</v>
      </c>
    </row>
    <row r="562" spans="1:26" hidden="1">
      <c r="A562" t="s">
        <v>707</v>
      </c>
      <c r="B562" s="6">
        <v>44287</v>
      </c>
      <c r="C562" s="6">
        <v>44651</v>
      </c>
      <c r="D562">
        <v>20210401</v>
      </c>
      <c r="E562">
        <v>20220331</v>
      </c>
      <c r="F562" t="s">
        <v>2964</v>
      </c>
      <c r="G562" t="s">
        <v>2965</v>
      </c>
      <c r="H562" t="s">
        <v>590</v>
      </c>
      <c r="I562" t="s">
        <v>1462</v>
      </c>
      <c r="J562">
        <v>11</v>
      </c>
      <c r="K562">
        <v>53.68</v>
      </c>
      <c r="N562">
        <v>-3</v>
      </c>
      <c r="O562">
        <v>-14.64</v>
      </c>
      <c r="X562">
        <v>8</v>
      </c>
      <c r="Y562">
        <v>39.04</v>
      </c>
      <c r="Z562" s="3">
        <f t="shared" si="8"/>
        <v>4.88</v>
      </c>
    </row>
    <row r="563" spans="1:26" hidden="1">
      <c r="A563" t="s">
        <v>707</v>
      </c>
      <c r="B563" s="6">
        <v>44287</v>
      </c>
      <c r="C563" s="6">
        <v>44651</v>
      </c>
      <c r="D563">
        <v>20210401</v>
      </c>
      <c r="E563">
        <v>20220331</v>
      </c>
      <c r="F563" t="s">
        <v>2966</v>
      </c>
      <c r="G563" t="s">
        <v>2967</v>
      </c>
      <c r="H563" t="s">
        <v>590</v>
      </c>
      <c r="I563" t="s">
        <v>1462</v>
      </c>
      <c r="J563">
        <v>12</v>
      </c>
      <c r="K563">
        <v>72</v>
      </c>
      <c r="N563">
        <v>-2</v>
      </c>
      <c r="O563">
        <v>-12</v>
      </c>
      <c r="X563">
        <v>10</v>
      </c>
      <c r="Y563">
        <v>60</v>
      </c>
      <c r="Z563" s="3">
        <f t="shared" si="8"/>
        <v>6</v>
      </c>
    </row>
    <row r="564" spans="1:26" hidden="1">
      <c r="A564" t="s">
        <v>707</v>
      </c>
      <c r="B564" s="6">
        <v>44287</v>
      </c>
      <c r="C564" s="6">
        <v>44651</v>
      </c>
      <c r="D564">
        <v>20210401</v>
      </c>
      <c r="E564">
        <v>20220331</v>
      </c>
      <c r="F564" t="s">
        <v>6323</v>
      </c>
      <c r="G564" t="s">
        <v>6324</v>
      </c>
      <c r="H564" t="s">
        <v>590</v>
      </c>
      <c r="I564" t="s">
        <v>1462</v>
      </c>
      <c r="N564">
        <v>-1</v>
      </c>
      <c r="O564">
        <v>-194.98</v>
      </c>
      <c r="X564">
        <v>-1</v>
      </c>
      <c r="Y564">
        <v>-194.98</v>
      </c>
      <c r="Z564" s="3">
        <f t="shared" si="8"/>
        <v>194.98</v>
      </c>
    </row>
    <row r="565" spans="1:26" hidden="1">
      <c r="A565" t="s">
        <v>707</v>
      </c>
      <c r="B565" s="6">
        <v>44287</v>
      </c>
      <c r="C565" s="6">
        <v>44651</v>
      </c>
      <c r="D565">
        <v>20210401</v>
      </c>
      <c r="E565">
        <v>20220331</v>
      </c>
      <c r="F565" t="s">
        <v>2972</v>
      </c>
      <c r="G565" t="s">
        <v>2973</v>
      </c>
      <c r="H565" t="s">
        <v>590</v>
      </c>
      <c r="I565" t="s">
        <v>1462</v>
      </c>
      <c r="J565">
        <v>6</v>
      </c>
      <c r="K565">
        <v>2733.6</v>
      </c>
      <c r="N565">
        <v>-3</v>
      </c>
      <c r="O565">
        <v>-1366.8</v>
      </c>
      <c r="X565">
        <v>3</v>
      </c>
      <c r="Y565">
        <v>1366.8</v>
      </c>
      <c r="Z565" s="3">
        <f t="shared" si="8"/>
        <v>455.59999999999997</v>
      </c>
    </row>
    <row r="566" spans="1:26" hidden="1">
      <c r="A566" t="s">
        <v>707</v>
      </c>
      <c r="B566" s="6">
        <v>44287</v>
      </c>
      <c r="C566" s="6">
        <v>44651</v>
      </c>
      <c r="D566">
        <v>20210401</v>
      </c>
      <c r="E566">
        <v>20220331</v>
      </c>
      <c r="F566" t="s">
        <v>6325</v>
      </c>
      <c r="G566" t="s">
        <v>6326</v>
      </c>
      <c r="H566" t="s">
        <v>590</v>
      </c>
      <c r="I566" t="s">
        <v>1462</v>
      </c>
      <c r="K566">
        <v>0.04</v>
      </c>
      <c r="Y566">
        <v>0.04</v>
      </c>
      <c r="Z566" s="3" t="e">
        <f t="shared" si="8"/>
        <v>#DIV/0!</v>
      </c>
    </row>
    <row r="567" spans="1:26" hidden="1">
      <c r="A567" t="s">
        <v>707</v>
      </c>
      <c r="B567" s="6">
        <v>44287</v>
      </c>
      <c r="C567" s="6">
        <v>44651</v>
      </c>
      <c r="D567">
        <v>20210401</v>
      </c>
      <c r="E567">
        <v>20220331</v>
      </c>
      <c r="F567" t="s">
        <v>6327</v>
      </c>
      <c r="G567" t="s">
        <v>6328</v>
      </c>
      <c r="H567" t="s">
        <v>1882</v>
      </c>
      <c r="I567" t="s">
        <v>1462</v>
      </c>
      <c r="J567">
        <v>1</v>
      </c>
      <c r="K567">
        <v>350</v>
      </c>
      <c r="X567">
        <v>1</v>
      </c>
      <c r="Y567">
        <v>350</v>
      </c>
      <c r="Z567" s="3">
        <f t="shared" si="8"/>
        <v>350</v>
      </c>
    </row>
    <row r="568" spans="1:26" hidden="1">
      <c r="A568" t="s">
        <v>707</v>
      </c>
      <c r="B568" s="6">
        <v>44287</v>
      </c>
      <c r="C568" s="6">
        <v>44651</v>
      </c>
      <c r="D568">
        <v>20210401</v>
      </c>
      <c r="E568">
        <v>20220331</v>
      </c>
      <c r="F568" t="s">
        <v>6329</v>
      </c>
      <c r="G568" t="s">
        <v>6330</v>
      </c>
      <c r="H568" t="s">
        <v>1882</v>
      </c>
      <c r="I568" t="s">
        <v>1462</v>
      </c>
      <c r="J568">
        <v>2</v>
      </c>
      <c r="K568">
        <v>700</v>
      </c>
      <c r="X568">
        <v>2</v>
      </c>
      <c r="Y568">
        <v>700</v>
      </c>
      <c r="Z568" s="3">
        <f t="shared" si="8"/>
        <v>350</v>
      </c>
    </row>
    <row r="569" spans="1:26" hidden="1">
      <c r="A569" t="s">
        <v>707</v>
      </c>
      <c r="B569" s="6">
        <v>44287</v>
      </c>
      <c r="C569" s="6">
        <v>44651</v>
      </c>
      <c r="D569">
        <v>20210401</v>
      </c>
      <c r="E569">
        <v>20220331</v>
      </c>
      <c r="F569" t="s">
        <v>2974</v>
      </c>
      <c r="G569" t="s">
        <v>2975</v>
      </c>
      <c r="H569" t="s">
        <v>590</v>
      </c>
      <c r="I569" t="s">
        <v>1462</v>
      </c>
      <c r="J569">
        <v>19</v>
      </c>
      <c r="K569">
        <v>76</v>
      </c>
      <c r="N569">
        <v>-3</v>
      </c>
      <c r="O569">
        <v>-12</v>
      </c>
      <c r="X569">
        <v>16</v>
      </c>
      <c r="Y569">
        <v>64</v>
      </c>
      <c r="Z569" s="3">
        <f t="shared" si="8"/>
        <v>4</v>
      </c>
    </row>
    <row r="570" spans="1:26" hidden="1">
      <c r="A570" t="s">
        <v>707</v>
      </c>
      <c r="B570" s="6">
        <v>44287</v>
      </c>
      <c r="C570" s="6">
        <v>44651</v>
      </c>
      <c r="D570">
        <v>20210401</v>
      </c>
      <c r="E570">
        <v>20220331</v>
      </c>
      <c r="F570" t="s">
        <v>6331</v>
      </c>
      <c r="G570" t="s">
        <v>6332</v>
      </c>
      <c r="H570" t="s">
        <v>590</v>
      </c>
      <c r="I570" t="s">
        <v>1462</v>
      </c>
      <c r="J570">
        <v>28</v>
      </c>
      <c r="K570">
        <v>1176</v>
      </c>
      <c r="N570">
        <v>-26</v>
      </c>
      <c r="O570">
        <v>-1092</v>
      </c>
      <c r="X570">
        <v>2</v>
      </c>
      <c r="Y570">
        <v>84</v>
      </c>
      <c r="Z570" s="3">
        <f t="shared" si="8"/>
        <v>42</v>
      </c>
    </row>
    <row r="571" spans="1:26" hidden="1">
      <c r="A571" t="s">
        <v>707</v>
      </c>
      <c r="B571" s="6">
        <v>44287</v>
      </c>
      <c r="C571" s="6">
        <v>44651</v>
      </c>
      <c r="D571">
        <v>20210401</v>
      </c>
      <c r="E571">
        <v>20220331</v>
      </c>
      <c r="F571" t="s">
        <v>2978</v>
      </c>
      <c r="G571" t="s">
        <v>2979</v>
      </c>
      <c r="H571" t="s">
        <v>590</v>
      </c>
      <c r="I571" t="s">
        <v>1462</v>
      </c>
      <c r="J571">
        <v>2</v>
      </c>
      <c r="K571">
        <v>12</v>
      </c>
      <c r="X571">
        <v>2</v>
      </c>
      <c r="Y571">
        <v>12</v>
      </c>
      <c r="Z571" s="3">
        <f t="shared" si="8"/>
        <v>6</v>
      </c>
    </row>
    <row r="572" spans="1:26" hidden="1">
      <c r="A572" t="s">
        <v>707</v>
      </c>
      <c r="B572" s="6">
        <v>44287</v>
      </c>
      <c r="C572" s="6">
        <v>44651</v>
      </c>
      <c r="D572">
        <v>20210401</v>
      </c>
      <c r="E572">
        <v>20220331</v>
      </c>
      <c r="F572" t="s">
        <v>6333</v>
      </c>
      <c r="G572" t="s">
        <v>6334</v>
      </c>
      <c r="H572" t="s">
        <v>590</v>
      </c>
      <c r="I572" t="s">
        <v>805</v>
      </c>
      <c r="L572">
        <v>6</v>
      </c>
      <c r="M572">
        <v>1872</v>
      </c>
      <c r="N572">
        <v>-6</v>
      </c>
      <c r="O572">
        <v>-1872</v>
      </c>
      <c r="Z572" s="3">
        <f t="shared" si="8"/>
        <v>312</v>
      </c>
    </row>
    <row r="573" spans="1:26" hidden="1">
      <c r="A573" t="s">
        <v>707</v>
      </c>
      <c r="B573" s="6">
        <v>44287</v>
      </c>
      <c r="C573" s="6">
        <v>44651</v>
      </c>
      <c r="D573">
        <v>20210401</v>
      </c>
      <c r="E573">
        <v>20220331</v>
      </c>
      <c r="F573" t="s">
        <v>6335</v>
      </c>
      <c r="G573" t="s">
        <v>6336</v>
      </c>
      <c r="H573" t="s">
        <v>590</v>
      </c>
      <c r="I573" t="s">
        <v>1462</v>
      </c>
      <c r="J573">
        <v>6</v>
      </c>
      <c r="K573">
        <v>1146</v>
      </c>
      <c r="N573">
        <v>-1</v>
      </c>
      <c r="O573">
        <v>-191</v>
      </c>
      <c r="X573">
        <v>5</v>
      </c>
      <c r="Y573">
        <v>955</v>
      </c>
      <c r="Z573" s="3">
        <f t="shared" si="8"/>
        <v>191</v>
      </c>
    </row>
    <row r="574" spans="1:26" hidden="1">
      <c r="A574" t="s">
        <v>707</v>
      </c>
      <c r="B574" s="6">
        <v>44287</v>
      </c>
      <c r="C574" s="6">
        <v>44651</v>
      </c>
      <c r="D574">
        <v>20210401</v>
      </c>
      <c r="E574">
        <v>20220331</v>
      </c>
      <c r="F574" t="s">
        <v>6337</v>
      </c>
      <c r="G574" t="s">
        <v>6338</v>
      </c>
      <c r="H574" t="s">
        <v>590</v>
      </c>
      <c r="I574" t="s">
        <v>1462</v>
      </c>
      <c r="J574">
        <v>18</v>
      </c>
      <c r="K574">
        <v>1458</v>
      </c>
      <c r="X574">
        <v>18</v>
      </c>
      <c r="Y574">
        <v>1458</v>
      </c>
      <c r="Z574" s="3">
        <f t="shared" si="8"/>
        <v>81</v>
      </c>
    </row>
    <row r="575" spans="1:26" hidden="1">
      <c r="A575" t="s">
        <v>707</v>
      </c>
      <c r="B575" s="6">
        <v>44287</v>
      </c>
      <c r="C575" s="6">
        <v>44651</v>
      </c>
      <c r="D575">
        <v>20210401</v>
      </c>
      <c r="E575">
        <v>20220331</v>
      </c>
      <c r="F575" t="s">
        <v>2982</v>
      </c>
      <c r="G575" t="s">
        <v>2983</v>
      </c>
      <c r="H575" t="s">
        <v>590</v>
      </c>
      <c r="I575" t="s">
        <v>1462</v>
      </c>
      <c r="L575">
        <v>1</v>
      </c>
      <c r="M575">
        <v>5188.9399999999996</v>
      </c>
      <c r="X575">
        <v>1</v>
      </c>
      <c r="Y575">
        <v>5188.9399999999996</v>
      </c>
      <c r="Z575" s="3">
        <f t="shared" si="8"/>
        <v>5188.9399999999996</v>
      </c>
    </row>
    <row r="576" spans="1:26" hidden="1">
      <c r="A576" t="s">
        <v>707</v>
      </c>
      <c r="B576" s="6">
        <v>44287</v>
      </c>
      <c r="C576" s="6">
        <v>44651</v>
      </c>
      <c r="D576">
        <v>20210401</v>
      </c>
      <c r="E576">
        <v>20220331</v>
      </c>
      <c r="F576" t="s">
        <v>2988</v>
      </c>
      <c r="G576" t="s">
        <v>2989</v>
      </c>
      <c r="H576" t="s">
        <v>590</v>
      </c>
      <c r="I576" t="s">
        <v>1462</v>
      </c>
      <c r="J576">
        <v>2</v>
      </c>
      <c r="K576">
        <v>5400</v>
      </c>
      <c r="N576">
        <v>-2</v>
      </c>
      <c r="O576">
        <v>-5400</v>
      </c>
      <c r="Z576" s="3">
        <f t="shared" si="8"/>
        <v>2700</v>
      </c>
    </row>
    <row r="577" spans="1:26" hidden="1">
      <c r="A577" t="s">
        <v>707</v>
      </c>
      <c r="B577" s="6">
        <v>44287</v>
      </c>
      <c r="C577" s="6">
        <v>44651</v>
      </c>
      <c r="D577">
        <v>20210401</v>
      </c>
      <c r="E577">
        <v>20220331</v>
      </c>
      <c r="F577" t="s">
        <v>6339</v>
      </c>
      <c r="G577" t="s">
        <v>6340</v>
      </c>
      <c r="H577" t="s">
        <v>590</v>
      </c>
      <c r="I577" t="s">
        <v>1462</v>
      </c>
      <c r="J577">
        <v>4</v>
      </c>
      <c r="K577">
        <v>5700</v>
      </c>
      <c r="L577">
        <v>4</v>
      </c>
      <c r="M577">
        <v>5600</v>
      </c>
      <c r="N577">
        <v>-7</v>
      </c>
      <c r="O577">
        <v>-9895</v>
      </c>
      <c r="X577">
        <v>1</v>
      </c>
      <c r="Y577">
        <v>1405</v>
      </c>
      <c r="Z577" s="3">
        <f t="shared" si="8"/>
        <v>1413.5714285714287</v>
      </c>
    </row>
    <row r="578" spans="1:26" hidden="1">
      <c r="A578" t="s">
        <v>707</v>
      </c>
      <c r="B578" s="6">
        <v>44287</v>
      </c>
      <c r="C578" s="6">
        <v>44651</v>
      </c>
      <c r="D578">
        <v>20210401</v>
      </c>
      <c r="E578">
        <v>20220331</v>
      </c>
      <c r="F578" t="s">
        <v>6341</v>
      </c>
      <c r="G578" t="s">
        <v>6342</v>
      </c>
      <c r="H578" t="s">
        <v>590</v>
      </c>
      <c r="I578" t="s">
        <v>1462</v>
      </c>
      <c r="L578">
        <v>1</v>
      </c>
      <c r="M578">
        <v>5459</v>
      </c>
      <c r="X578">
        <v>1</v>
      </c>
      <c r="Y578">
        <v>5459</v>
      </c>
      <c r="Z578" s="3">
        <f t="shared" si="8"/>
        <v>5459</v>
      </c>
    </row>
    <row r="579" spans="1:26" hidden="1">
      <c r="A579" t="s">
        <v>707</v>
      </c>
      <c r="B579" s="6">
        <v>44287</v>
      </c>
      <c r="C579" s="6">
        <v>44651</v>
      </c>
      <c r="D579">
        <v>20210401</v>
      </c>
      <c r="E579">
        <v>20220331</v>
      </c>
      <c r="F579" t="s">
        <v>6343</v>
      </c>
      <c r="G579" t="s">
        <v>6344</v>
      </c>
      <c r="H579" t="s">
        <v>590</v>
      </c>
      <c r="I579" t="s">
        <v>1462</v>
      </c>
      <c r="J579">
        <v>2</v>
      </c>
      <c r="K579">
        <v>1638.13</v>
      </c>
      <c r="X579">
        <v>2</v>
      </c>
      <c r="Y579">
        <v>1638.13</v>
      </c>
      <c r="Z579" s="3">
        <f t="shared" ref="Z579:Z642" si="9">IFERROR((O579+Q579)/(N579+P579),Y579/X579)</f>
        <v>819.06500000000005</v>
      </c>
    </row>
    <row r="580" spans="1:26" hidden="1">
      <c r="A580" t="s">
        <v>707</v>
      </c>
      <c r="B580" s="6">
        <v>44287</v>
      </c>
      <c r="C580" s="6">
        <v>44651</v>
      </c>
      <c r="D580">
        <v>20210401</v>
      </c>
      <c r="E580">
        <v>20220331</v>
      </c>
      <c r="F580" t="s">
        <v>6345</v>
      </c>
      <c r="G580" t="s">
        <v>6346</v>
      </c>
      <c r="H580" t="s">
        <v>590</v>
      </c>
      <c r="I580" t="s">
        <v>1462</v>
      </c>
      <c r="J580">
        <v>1</v>
      </c>
      <c r="K580">
        <v>1077.3599999999999</v>
      </c>
      <c r="X580">
        <v>1</v>
      </c>
      <c r="Y580">
        <v>1077.3599999999999</v>
      </c>
      <c r="Z580" s="3">
        <f t="shared" si="9"/>
        <v>1077.3599999999999</v>
      </c>
    </row>
    <row r="581" spans="1:26" hidden="1">
      <c r="A581" t="s">
        <v>707</v>
      </c>
      <c r="B581" s="6">
        <v>44287</v>
      </c>
      <c r="C581" s="6">
        <v>44651</v>
      </c>
      <c r="D581">
        <v>20210401</v>
      </c>
      <c r="E581">
        <v>20220331</v>
      </c>
      <c r="F581" t="s">
        <v>6347</v>
      </c>
      <c r="G581" t="s">
        <v>6348</v>
      </c>
      <c r="H581" t="s">
        <v>590</v>
      </c>
      <c r="I581" t="s">
        <v>1462</v>
      </c>
      <c r="J581">
        <v>2</v>
      </c>
      <c r="K581">
        <v>20000</v>
      </c>
      <c r="X581">
        <v>2</v>
      </c>
      <c r="Y581">
        <v>20000</v>
      </c>
      <c r="Z581" s="3">
        <f t="shared" si="9"/>
        <v>10000</v>
      </c>
    </row>
    <row r="582" spans="1:26" hidden="1">
      <c r="A582" t="s">
        <v>707</v>
      </c>
      <c r="B582" s="6">
        <v>44287</v>
      </c>
      <c r="C582" s="6">
        <v>44651</v>
      </c>
      <c r="D582">
        <v>20210401</v>
      </c>
      <c r="E582">
        <v>20220331</v>
      </c>
      <c r="F582" t="s">
        <v>6349</v>
      </c>
      <c r="G582" t="s">
        <v>6350</v>
      </c>
      <c r="H582" t="s">
        <v>590</v>
      </c>
      <c r="I582" t="s">
        <v>1462</v>
      </c>
      <c r="L582">
        <v>6</v>
      </c>
      <c r="M582">
        <v>3900</v>
      </c>
      <c r="X582">
        <v>6</v>
      </c>
      <c r="Y582">
        <v>3900</v>
      </c>
      <c r="Z582" s="3">
        <f t="shared" si="9"/>
        <v>650</v>
      </c>
    </row>
    <row r="583" spans="1:26" hidden="1">
      <c r="A583" t="s">
        <v>707</v>
      </c>
      <c r="B583" s="6">
        <v>44287</v>
      </c>
      <c r="C583" s="6">
        <v>44651</v>
      </c>
      <c r="D583">
        <v>20210401</v>
      </c>
      <c r="E583">
        <v>20220331</v>
      </c>
      <c r="F583" t="s">
        <v>2996</v>
      </c>
      <c r="G583" t="s">
        <v>2997</v>
      </c>
      <c r="H583" t="s">
        <v>590</v>
      </c>
      <c r="I583" t="s">
        <v>1462</v>
      </c>
      <c r="J583">
        <v>1</v>
      </c>
      <c r="K583">
        <v>1700</v>
      </c>
      <c r="X583">
        <v>1</v>
      </c>
      <c r="Y583">
        <v>1700</v>
      </c>
      <c r="Z583" s="3">
        <f t="shared" si="9"/>
        <v>1700</v>
      </c>
    </row>
    <row r="584" spans="1:26" hidden="1">
      <c r="A584" t="s">
        <v>707</v>
      </c>
      <c r="B584" s="6">
        <v>44287</v>
      </c>
      <c r="C584" s="6">
        <v>44651</v>
      </c>
      <c r="D584">
        <v>20210401</v>
      </c>
      <c r="E584">
        <v>20220331</v>
      </c>
      <c r="F584" t="s">
        <v>6351</v>
      </c>
      <c r="G584" t="s">
        <v>6352</v>
      </c>
      <c r="H584" t="s">
        <v>590</v>
      </c>
      <c r="I584" t="s">
        <v>1462</v>
      </c>
      <c r="J584">
        <v>1</v>
      </c>
      <c r="K584">
        <v>270</v>
      </c>
      <c r="X584">
        <v>1</v>
      </c>
      <c r="Y584">
        <v>270</v>
      </c>
      <c r="Z584" s="3">
        <f t="shared" si="9"/>
        <v>270</v>
      </c>
    </row>
    <row r="585" spans="1:26" hidden="1">
      <c r="A585" t="s">
        <v>707</v>
      </c>
      <c r="B585" s="6">
        <v>44287</v>
      </c>
      <c r="C585" s="6">
        <v>44651</v>
      </c>
      <c r="D585">
        <v>20210401</v>
      </c>
      <c r="E585">
        <v>20220331</v>
      </c>
      <c r="F585" t="s">
        <v>3004</v>
      </c>
      <c r="G585" t="s">
        <v>3005</v>
      </c>
      <c r="H585" t="s">
        <v>590</v>
      </c>
      <c r="I585" t="s">
        <v>1462</v>
      </c>
      <c r="J585">
        <v>2</v>
      </c>
      <c r="K585">
        <v>585.71</v>
      </c>
      <c r="L585">
        <v>6</v>
      </c>
      <c r="M585">
        <v>1950</v>
      </c>
      <c r="N585">
        <v>-3</v>
      </c>
      <c r="O585">
        <v>-950.89</v>
      </c>
      <c r="X585">
        <v>5</v>
      </c>
      <c r="Y585">
        <v>1584.82</v>
      </c>
      <c r="Z585" s="3">
        <f t="shared" si="9"/>
        <v>316.96333333333331</v>
      </c>
    </row>
    <row r="586" spans="1:26" hidden="1">
      <c r="A586" t="s">
        <v>707</v>
      </c>
      <c r="B586" s="6">
        <v>44287</v>
      </c>
      <c r="C586" s="6">
        <v>44651</v>
      </c>
      <c r="D586">
        <v>20210401</v>
      </c>
      <c r="E586">
        <v>20220331</v>
      </c>
      <c r="F586" t="s">
        <v>3008</v>
      </c>
      <c r="G586" t="s">
        <v>3009</v>
      </c>
      <c r="H586" t="s">
        <v>590</v>
      </c>
      <c r="I586" t="s">
        <v>1462</v>
      </c>
      <c r="J586">
        <v>18</v>
      </c>
      <c r="K586">
        <v>151.84</v>
      </c>
      <c r="L586">
        <v>220</v>
      </c>
      <c r="M586">
        <v>2030</v>
      </c>
      <c r="N586">
        <v>-162</v>
      </c>
      <c r="O586">
        <v>-1499.96</v>
      </c>
      <c r="X586">
        <v>76</v>
      </c>
      <c r="Y586">
        <v>681.88</v>
      </c>
      <c r="Z586" s="3">
        <f t="shared" si="9"/>
        <v>9.2590123456790128</v>
      </c>
    </row>
    <row r="587" spans="1:26" hidden="1">
      <c r="A587" t="s">
        <v>707</v>
      </c>
      <c r="B587" s="6">
        <v>44287</v>
      </c>
      <c r="C587" s="6">
        <v>44651</v>
      </c>
      <c r="D587">
        <v>20210401</v>
      </c>
      <c r="E587">
        <v>20220331</v>
      </c>
      <c r="F587" t="s">
        <v>6353</v>
      </c>
      <c r="G587" t="s">
        <v>6354</v>
      </c>
      <c r="H587" t="s">
        <v>590</v>
      </c>
      <c r="I587" t="s">
        <v>1462</v>
      </c>
      <c r="L587">
        <v>12</v>
      </c>
      <c r="M587">
        <v>1020</v>
      </c>
      <c r="X587">
        <v>12</v>
      </c>
      <c r="Y587">
        <v>1020</v>
      </c>
      <c r="Z587" s="3">
        <f t="shared" si="9"/>
        <v>85</v>
      </c>
    </row>
    <row r="588" spans="1:26" hidden="1">
      <c r="A588" t="s">
        <v>707</v>
      </c>
      <c r="B588" s="6">
        <v>44287</v>
      </c>
      <c r="C588" s="6">
        <v>44651</v>
      </c>
      <c r="D588">
        <v>20210401</v>
      </c>
      <c r="E588">
        <v>20220331</v>
      </c>
      <c r="F588" t="s">
        <v>6355</v>
      </c>
      <c r="G588" t="s">
        <v>6356</v>
      </c>
      <c r="H588" t="s">
        <v>3319</v>
      </c>
      <c r="I588" t="s">
        <v>1462</v>
      </c>
      <c r="L588">
        <v>328</v>
      </c>
      <c r="M588">
        <v>1149.6400000000001</v>
      </c>
      <c r="N588">
        <v>-328</v>
      </c>
      <c r="O588">
        <v>-1149.6400000000001</v>
      </c>
      <c r="Z588" s="3">
        <f t="shared" si="9"/>
        <v>3.5050000000000003</v>
      </c>
    </row>
    <row r="589" spans="1:26" hidden="1">
      <c r="A589" t="s">
        <v>707</v>
      </c>
      <c r="B589" s="6">
        <v>44287</v>
      </c>
      <c r="C589" s="6">
        <v>44651</v>
      </c>
      <c r="D589">
        <v>20210401</v>
      </c>
      <c r="E589">
        <v>20220331</v>
      </c>
      <c r="F589" t="s">
        <v>6357</v>
      </c>
      <c r="G589" t="s">
        <v>6358</v>
      </c>
      <c r="H589" t="s">
        <v>3319</v>
      </c>
      <c r="I589" t="s">
        <v>1462</v>
      </c>
      <c r="L589">
        <v>328</v>
      </c>
      <c r="M589">
        <v>2150.0300000000002</v>
      </c>
      <c r="N589">
        <v>-328</v>
      </c>
      <c r="O589">
        <v>-2150.02</v>
      </c>
      <c r="Y589">
        <v>0.01</v>
      </c>
      <c r="Z589" s="3">
        <f t="shared" si="9"/>
        <v>6.5549390243902437</v>
      </c>
    </row>
    <row r="590" spans="1:26" hidden="1">
      <c r="A590" t="s">
        <v>707</v>
      </c>
      <c r="B590" s="6">
        <v>44287</v>
      </c>
      <c r="C590" s="6">
        <v>44651</v>
      </c>
      <c r="D590">
        <v>20210401</v>
      </c>
      <c r="E590">
        <v>20220331</v>
      </c>
      <c r="F590" t="s">
        <v>6359</v>
      </c>
      <c r="G590" t="s">
        <v>6360</v>
      </c>
      <c r="H590" t="s">
        <v>3319</v>
      </c>
      <c r="I590" t="s">
        <v>1462</v>
      </c>
      <c r="J590">
        <v>46</v>
      </c>
      <c r="K590">
        <v>5130</v>
      </c>
      <c r="X590">
        <v>46</v>
      </c>
      <c r="Y590">
        <v>5130</v>
      </c>
      <c r="Z590" s="3">
        <f t="shared" si="9"/>
        <v>111.52173913043478</v>
      </c>
    </row>
    <row r="591" spans="1:26" hidden="1">
      <c r="A591" t="s">
        <v>707</v>
      </c>
      <c r="B591" s="6">
        <v>44287</v>
      </c>
      <c r="C591" s="6">
        <v>44651</v>
      </c>
      <c r="D591">
        <v>20210401</v>
      </c>
      <c r="E591">
        <v>20220331</v>
      </c>
      <c r="F591" t="s">
        <v>6361</v>
      </c>
      <c r="G591" t="s">
        <v>6362</v>
      </c>
      <c r="H591" t="s">
        <v>590</v>
      </c>
      <c r="I591" t="s">
        <v>1462</v>
      </c>
      <c r="J591">
        <v>9</v>
      </c>
      <c r="K591">
        <v>2475</v>
      </c>
      <c r="X591">
        <v>9</v>
      </c>
      <c r="Y591">
        <v>2475</v>
      </c>
      <c r="Z591" s="3">
        <f t="shared" si="9"/>
        <v>275</v>
      </c>
    </row>
    <row r="592" spans="1:26" hidden="1">
      <c r="A592" t="s">
        <v>707</v>
      </c>
      <c r="B592" s="6">
        <v>44287</v>
      </c>
      <c r="C592" s="6">
        <v>44651</v>
      </c>
      <c r="D592">
        <v>20210401</v>
      </c>
      <c r="E592">
        <v>20220331</v>
      </c>
      <c r="F592" t="s">
        <v>6363</v>
      </c>
      <c r="G592" t="s">
        <v>6364</v>
      </c>
      <c r="H592" t="s">
        <v>590</v>
      </c>
      <c r="I592" t="s">
        <v>1462</v>
      </c>
      <c r="J592">
        <v>7</v>
      </c>
      <c r="K592">
        <v>77.7</v>
      </c>
      <c r="N592">
        <v>-3</v>
      </c>
      <c r="O592">
        <v>-33.299999999999997</v>
      </c>
      <c r="X592">
        <v>4</v>
      </c>
      <c r="Y592">
        <v>44.4</v>
      </c>
      <c r="Z592" s="3">
        <f t="shared" si="9"/>
        <v>11.1</v>
      </c>
    </row>
    <row r="593" spans="1:26" hidden="1">
      <c r="A593" t="s">
        <v>707</v>
      </c>
      <c r="B593" s="6">
        <v>44287</v>
      </c>
      <c r="C593" s="6">
        <v>44651</v>
      </c>
      <c r="D593">
        <v>20210401</v>
      </c>
      <c r="E593">
        <v>20220331</v>
      </c>
      <c r="F593" t="s">
        <v>6365</v>
      </c>
      <c r="G593" t="s">
        <v>6366</v>
      </c>
      <c r="H593" t="s">
        <v>590</v>
      </c>
      <c r="I593" t="s">
        <v>1462</v>
      </c>
      <c r="L593">
        <v>12</v>
      </c>
      <c r="M593">
        <v>30746.880000000001</v>
      </c>
      <c r="X593">
        <v>12</v>
      </c>
      <c r="Y593">
        <v>30746.880000000001</v>
      </c>
      <c r="Z593" s="3">
        <f t="shared" si="9"/>
        <v>2562.2400000000002</v>
      </c>
    </row>
    <row r="594" spans="1:26" hidden="1">
      <c r="A594" t="s">
        <v>707</v>
      </c>
      <c r="B594" s="6">
        <v>44287</v>
      </c>
      <c r="C594" s="6">
        <v>44651</v>
      </c>
      <c r="D594">
        <v>20210401</v>
      </c>
      <c r="E594">
        <v>20220331</v>
      </c>
      <c r="F594" t="s">
        <v>6367</v>
      </c>
      <c r="G594" t="s">
        <v>6368</v>
      </c>
      <c r="H594" t="s">
        <v>590</v>
      </c>
      <c r="I594" t="s">
        <v>1462</v>
      </c>
      <c r="J594">
        <v>12</v>
      </c>
      <c r="K594">
        <v>540</v>
      </c>
      <c r="L594">
        <v>18</v>
      </c>
      <c r="M594">
        <v>828</v>
      </c>
      <c r="N594">
        <v>-11</v>
      </c>
      <c r="O594">
        <v>-501.6</v>
      </c>
      <c r="X594">
        <v>19</v>
      </c>
      <c r="Y594">
        <v>866.4</v>
      </c>
      <c r="Z594" s="3">
        <f t="shared" si="9"/>
        <v>45.6</v>
      </c>
    </row>
    <row r="595" spans="1:26" hidden="1">
      <c r="A595" t="s">
        <v>707</v>
      </c>
      <c r="B595" s="6">
        <v>44287</v>
      </c>
      <c r="C595" s="6">
        <v>44651</v>
      </c>
      <c r="D595">
        <v>20210401</v>
      </c>
      <c r="E595">
        <v>20220331</v>
      </c>
      <c r="F595" t="s">
        <v>6369</v>
      </c>
      <c r="G595" t="s">
        <v>6370</v>
      </c>
      <c r="H595" t="s">
        <v>590</v>
      </c>
      <c r="I595" t="s">
        <v>1462</v>
      </c>
      <c r="L595">
        <v>12</v>
      </c>
      <c r="M595">
        <v>1200</v>
      </c>
      <c r="X595">
        <v>12</v>
      </c>
      <c r="Y595">
        <v>1200</v>
      </c>
      <c r="Z595" s="3">
        <f t="shared" si="9"/>
        <v>100</v>
      </c>
    </row>
    <row r="596" spans="1:26" hidden="1">
      <c r="A596" t="s">
        <v>707</v>
      </c>
      <c r="B596" s="6">
        <v>44287</v>
      </c>
      <c r="C596" s="6">
        <v>44651</v>
      </c>
      <c r="D596">
        <v>20210401</v>
      </c>
      <c r="E596">
        <v>20220331</v>
      </c>
      <c r="F596" t="s">
        <v>6371</v>
      </c>
      <c r="G596" t="s">
        <v>6372</v>
      </c>
      <c r="H596" t="s">
        <v>590</v>
      </c>
      <c r="I596" t="s">
        <v>805</v>
      </c>
      <c r="L596">
        <v>1</v>
      </c>
      <c r="M596">
        <v>490</v>
      </c>
      <c r="N596">
        <v>-1</v>
      </c>
      <c r="O596">
        <v>-490</v>
      </c>
      <c r="Z596" s="3">
        <f t="shared" si="9"/>
        <v>490</v>
      </c>
    </row>
    <row r="597" spans="1:26" hidden="1">
      <c r="A597" t="s">
        <v>707</v>
      </c>
      <c r="B597" s="6">
        <v>44287</v>
      </c>
      <c r="C597" s="6">
        <v>44651</v>
      </c>
      <c r="D597">
        <v>20210401</v>
      </c>
      <c r="E597">
        <v>20220331</v>
      </c>
      <c r="F597" t="s">
        <v>6373</v>
      </c>
      <c r="G597" t="s">
        <v>6374</v>
      </c>
      <c r="H597" t="s">
        <v>590</v>
      </c>
      <c r="I597" t="s">
        <v>1462</v>
      </c>
      <c r="J597">
        <v>24</v>
      </c>
      <c r="K597">
        <v>840.41</v>
      </c>
      <c r="X597">
        <v>24</v>
      </c>
      <c r="Y597">
        <v>840.41</v>
      </c>
      <c r="Z597" s="3">
        <f t="shared" si="9"/>
        <v>35.017083333333332</v>
      </c>
    </row>
    <row r="598" spans="1:26" hidden="1">
      <c r="A598" t="s">
        <v>707</v>
      </c>
      <c r="B598" s="6">
        <v>44287</v>
      </c>
      <c r="C598" s="6">
        <v>44651</v>
      </c>
      <c r="D598">
        <v>20210401</v>
      </c>
      <c r="E598">
        <v>20220331</v>
      </c>
      <c r="F598" t="s">
        <v>6375</v>
      </c>
      <c r="G598" t="s">
        <v>6376</v>
      </c>
      <c r="H598" t="s">
        <v>613</v>
      </c>
      <c r="I598" t="s">
        <v>1462</v>
      </c>
      <c r="J598">
        <v>7.7</v>
      </c>
      <c r="K598">
        <v>5240.6099999999997</v>
      </c>
      <c r="X598">
        <v>7.7</v>
      </c>
      <c r="Y598">
        <v>5240.6099999999997</v>
      </c>
      <c r="Z598" s="3">
        <f t="shared" si="9"/>
        <v>680.59870129870126</v>
      </c>
    </row>
    <row r="599" spans="1:26" hidden="1">
      <c r="A599" t="s">
        <v>707</v>
      </c>
      <c r="B599" s="6">
        <v>44287</v>
      </c>
      <c r="C599" s="6">
        <v>44651</v>
      </c>
      <c r="D599">
        <v>20210401</v>
      </c>
      <c r="E599">
        <v>20220331</v>
      </c>
      <c r="F599" t="s">
        <v>6377</v>
      </c>
      <c r="G599" t="s">
        <v>6378</v>
      </c>
      <c r="H599" t="s">
        <v>590</v>
      </c>
      <c r="I599" t="s">
        <v>1462</v>
      </c>
      <c r="L599">
        <v>2</v>
      </c>
      <c r="M599">
        <v>10306.56</v>
      </c>
      <c r="N599">
        <v>-2</v>
      </c>
      <c r="O599">
        <v>-10306.56</v>
      </c>
      <c r="Z599" s="3">
        <f t="shared" si="9"/>
        <v>5153.28</v>
      </c>
    </row>
    <row r="600" spans="1:26" hidden="1">
      <c r="A600" t="s">
        <v>707</v>
      </c>
      <c r="B600" s="6">
        <v>44287</v>
      </c>
      <c r="C600" s="6">
        <v>44651</v>
      </c>
      <c r="D600">
        <v>20210401</v>
      </c>
      <c r="E600">
        <v>20220331</v>
      </c>
      <c r="F600" t="s">
        <v>6379</v>
      </c>
      <c r="G600" t="s">
        <v>6380</v>
      </c>
      <c r="H600" t="s">
        <v>590</v>
      </c>
      <c r="I600" t="s">
        <v>1462</v>
      </c>
      <c r="L600">
        <v>200</v>
      </c>
      <c r="M600">
        <v>10400</v>
      </c>
      <c r="N600">
        <v>-27</v>
      </c>
      <c r="O600">
        <v>-1338.43</v>
      </c>
      <c r="R600">
        <v>-20</v>
      </c>
      <c r="S600">
        <v>-1047.58</v>
      </c>
      <c r="X600">
        <v>153</v>
      </c>
      <c r="Y600">
        <v>8013.99</v>
      </c>
      <c r="Z600" s="3">
        <f t="shared" si="9"/>
        <v>49.571481481481484</v>
      </c>
    </row>
    <row r="601" spans="1:26" hidden="1">
      <c r="A601" t="s">
        <v>707</v>
      </c>
      <c r="B601" s="6">
        <v>44287</v>
      </c>
      <c r="C601" s="6">
        <v>44651</v>
      </c>
      <c r="D601">
        <v>20210401</v>
      </c>
      <c r="E601">
        <v>20220331</v>
      </c>
      <c r="F601" t="s">
        <v>3040</v>
      </c>
      <c r="G601" t="s">
        <v>3041</v>
      </c>
      <c r="H601" t="s">
        <v>590</v>
      </c>
      <c r="I601" t="s">
        <v>1462</v>
      </c>
      <c r="L601">
        <v>1</v>
      </c>
      <c r="M601">
        <v>1750</v>
      </c>
      <c r="X601">
        <v>1</v>
      </c>
      <c r="Y601">
        <v>1750</v>
      </c>
      <c r="Z601" s="3">
        <f t="shared" si="9"/>
        <v>1750</v>
      </c>
    </row>
    <row r="602" spans="1:26" hidden="1">
      <c r="A602" t="s">
        <v>707</v>
      </c>
      <c r="B602" s="6">
        <v>44287</v>
      </c>
      <c r="C602" s="6">
        <v>44651</v>
      </c>
      <c r="D602">
        <v>20210401</v>
      </c>
      <c r="E602">
        <v>20220331</v>
      </c>
      <c r="F602" t="s">
        <v>6381</v>
      </c>
      <c r="G602" t="s">
        <v>6382</v>
      </c>
      <c r="H602" t="s">
        <v>590</v>
      </c>
      <c r="I602" t="s">
        <v>1462</v>
      </c>
      <c r="L602">
        <v>3000</v>
      </c>
      <c r="M602">
        <v>12000</v>
      </c>
      <c r="N602">
        <v>-1450</v>
      </c>
      <c r="O602">
        <v>-5797</v>
      </c>
      <c r="X602">
        <v>1550</v>
      </c>
      <c r="Y602">
        <v>6203</v>
      </c>
      <c r="Z602" s="3">
        <f t="shared" si="9"/>
        <v>3.9979310344827588</v>
      </c>
    </row>
    <row r="603" spans="1:26" hidden="1">
      <c r="A603" t="s">
        <v>707</v>
      </c>
      <c r="B603" s="6">
        <v>44287</v>
      </c>
      <c r="C603" s="6">
        <v>44651</v>
      </c>
      <c r="D603">
        <v>20210401</v>
      </c>
      <c r="E603">
        <v>20220331</v>
      </c>
      <c r="F603" t="s">
        <v>3048</v>
      </c>
      <c r="G603" t="s">
        <v>3049</v>
      </c>
      <c r="H603" t="s">
        <v>590</v>
      </c>
      <c r="I603" t="s">
        <v>1462</v>
      </c>
      <c r="L603">
        <v>8</v>
      </c>
      <c r="M603">
        <v>1984</v>
      </c>
      <c r="N603">
        <v>-8</v>
      </c>
      <c r="O603">
        <v>-1984</v>
      </c>
      <c r="Z603" s="3">
        <f t="shared" si="9"/>
        <v>248</v>
      </c>
    </row>
    <row r="604" spans="1:26" hidden="1">
      <c r="A604" t="s">
        <v>707</v>
      </c>
      <c r="B604" s="6">
        <v>44287</v>
      </c>
      <c r="C604" s="6">
        <v>44651</v>
      </c>
      <c r="D604">
        <v>20210401</v>
      </c>
      <c r="E604">
        <v>20220331</v>
      </c>
      <c r="F604" t="s">
        <v>6383</v>
      </c>
      <c r="G604" t="s">
        <v>6384</v>
      </c>
      <c r="H604" t="s">
        <v>1882</v>
      </c>
      <c r="I604" t="s">
        <v>1462</v>
      </c>
      <c r="L604">
        <v>150</v>
      </c>
      <c r="M604">
        <v>4500</v>
      </c>
      <c r="N604">
        <v>-150</v>
      </c>
      <c r="O604">
        <v>-4500</v>
      </c>
      <c r="Z604" s="3">
        <f t="shared" si="9"/>
        <v>30</v>
      </c>
    </row>
    <row r="605" spans="1:26" hidden="1">
      <c r="A605" t="s">
        <v>707</v>
      </c>
      <c r="B605" s="6">
        <v>44287</v>
      </c>
      <c r="C605" s="6">
        <v>44651</v>
      </c>
      <c r="D605">
        <v>20210401</v>
      </c>
      <c r="E605">
        <v>20220331</v>
      </c>
      <c r="F605" t="s">
        <v>6385</v>
      </c>
      <c r="G605" t="s">
        <v>6386</v>
      </c>
      <c r="H605" t="s">
        <v>590</v>
      </c>
      <c r="I605" t="s">
        <v>1462</v>
      </c>
      <c r="J605">
        <v>1</v>
      </c>
      <c r="K605">
        <v>10645</v>
      </c>
      <c r="N605">
        <v>-1</v>
      </c>
      <c r="O605">
        <v>-10645</v>
      </c>
      <c r="Z605" s="3">
        <f t="shared" si="9"/>
        <v>10645</v>
      </c>
    </row>
    <row r="606" spans="1:26" hidden="1">
      <c r="A606" t="s">
        <v>707</v>
      </c>
      <c r="B606" s="6">
        <v>44287</v>
      </c>
      <c r="C606" s="6">
        <v>44651</v>
      </c>
      <c r="D606">
        <v>20210401</v>
      </c>
      <c r="E606">
        <v>20220331</v>
      </c>
      <c r="F606" t="s">
        <v>6387</v>
      </c>
      <c r="G606" t="s">
        <v>6388</v>
      </c>
      <c r="H606" t="s">
        <v>590</v>
      </c>
      <c r="I606" t="s">
        <v>1462</v>
      </c>
      <c r="J606">
        <v>5</v>
      </c>
      <c r="K606">
        <v>600</v>
      </c>
      <c r="N606">
        <v>-5</v>
      </c>
      <c r="O606">
        <v>-600</v>
      </c>
      <c r="Z606" s="3">
        <f t="shared" si="9"/>
        <v>120</v>
      </c>
    </row>
    <row r="607" spans="1:26" hidden="1">
      <c r="A607" t="s">
        <v>707</v>
      </c>
      <c r="B607" s="6">
        <v>44287</v>
      </c>
      <c r="C607" s="6">
        <v>44651</v>
      </c>
      <c r="D607">
        <v>20210401</v>
      </c>
      <c r="E607">
        <v>20220331</v>
      </c>
      <c r="F607" t="s">
        <v>6389</v>
      </c>
      <c r="G607" t="s">
        <v>6390</v>
      </c>
      <c r="H607" t="s">
        <v>590</v>
      </c>
      <c r="I607" t="s">
        <v>1462</v>
      </c>
      <c r="J607">
        <v>2</v>
      </c>
      <c r="K607">
        <v>340</v>
      </c>
      <c r="N607">
        <v>-1</v>
      </c>
      <c r="O607">
        <v>-170</v>
      </c>
      <c r="X607">
        <v>1</v>
      </c>
      <c r="Y607">
        <v>170</v>
      </c>
      <c r="Z607" s="3">
        <f t="shared" si="9"/>
        <v>170</v>
      </c>
    </row>
    <row r="608" spans="1:26" hidden="1">
      <c r="A608" t="s">
        <v>707</v>
      </c>
      <c r="B608" s="6">
        <v>44287</v>
      </c>
      <c r="C608" s="6">
        <v>44651</v>
      </c>
      <c r="D608">
        <v>20210401</v>
      </c>
      <c r="E608">
        <v>20220331</v>
      </c>
      <c r="F608" t="s">
        <v>3062</v>
      </c>
      <c r="G608" t="s">
        <v>3063</v>
      </c>
      <c r="H608" t="s">
        <v>2073</v>
      </c>
      <c r="I608" t="s">
        <v>1462</v>
      </c>
      <c r="L608">
        <v>60</v>
      </c>
      <c r="M608">
        <v>64889.8</v>
      </c>
      <c r="X608">
        <v>60</v>
      </c>
      <c r="Y608">
        <v>64889.8</v>
      </c>
      <c r="Z608" s="3">
        <f t="shared" si="9"/>
        <v>1081.4966666666667</v>
      </c>
    </row>
    <row r="609" spans="1:26" hidden="1">
      <c r="A609" t="s">
        <v>707</v>
      </c>
      <c r="B609" s="6">
        <v>44287</v>
      </c>
      <c r="C609" s="6">
        <v>44651</v>
      </c>
      <c r="D609">
        <v>20210401</v>
      </c>
      <c r="E609">
        <v>20220331</v>
      </c>
      <c r="F609" t="s">
        <v>6391</v>
      </c>
      <c r="G609" t="s">
        <v>6392</v>
      </c>
      <c r="H609" t="s">
        <v>590</v>
      </c>
      <c r="I609" t="s">
        <v>1462</v>
      </c>
      <c r="J609">
        <v>6</v>
      </c>
      <c r="K609">
        <v>4080</v>
      </c>
      <c r="N609">
        <v>-6</v>
      </c>
      <c r="O609">
        <v>-4080</v>
      </c>
      <c r="Z609" s="3">
        <f t="shared" si="9"/>
        <v>680</v>
      </c>
    </row>
    <row r="610" spans="1:26" hidden="1">
      <c r="A610" t="s">
        <v>707</v>
      </c>
      <c r="B610" s="6">
        <v>44287</v>
      </c>
      <c r="C610" s="6">
        <v>44651</v>
      </c>
      <c r="D610">
        <v>20210401</v>
      </c>
      <c r="E610">
        <v>20220331</v>
      </c>
      <c r="F610" t="s">
        <v>6393</v>
      </c>
      <c r="G610" t="s">
        <v>6394</v>
      </c>
      <c r="H610" t="s">
        <v>590</v>
      </c>
      <c r="I610" t="s">
        <v>1462</v>
      </c>
      <c r="J610">
        <v>1</v>
      </c>
      <c r="K610">
        <v>724.19</v>
      </c>
      <c r="L610">
        <v>48</v>
      </c>
      <c r="M610">
        <v>41958</v>
      </c>
      <c r="N610">
        <v>-29</v>
      </c>
      <c r="O610">
        <v>-26960.05</v>
      </c>
      <c r="X610">
        <v>20</v>
      </c>
      <c r="Y610">
        <v>15722.14</v>
      </c>
      <c r="Z610" s="3">
        <f t="shared" si="9"/>
        <v>929.65689655172412</v>
      </c>
    </row>
    <row r="611" spans="1:26" hidden="1">
      <c r="A611" t="s">
        <v>707</v>
      </c>
      <c r="B611" s="6">
        <v>44287</v>
      </c>
      <c r="C611" s="6">
        <v>44651</v>
      </c>
      <c r="D611">
        <v>20210401</v>
      </c>
      <c r="E611">
        <v>20220331</v>
      </c>
      <c r="F611" t="s">
        <v>6395</v>
      </c>
      <c r="G611" t="s">
        <v>6396</v>
      </c>
      <c r="H611" t="s">
        <v>590</v>
      </c>
      <c r="I611" t="s">
        <v>1462</v>
      </c>
      <c r="L611">
        <v>1</v>
      </c>
      <c r="M611">
        <v>7800</v>
      </c>
      <c r="X611">
        <v>1</v>
      </c>
      <c r="Y611">
        <v>7800</v>
      </c>
      <c r="Z611" s="3">
        <f t="shared" si="9"/>
        <v>7800</v>
      </c>
    </row>
    <row r="612" spans="1:26" hidden="1">
      <c r="A612" t="s">
        <v>707</v>
      </c>
      <c r="B612" s="6">
        <v>44287</v>
      </c>
      <c r="C612" s="6">
        <v>44651</v>
      </c>
      <c r="D612">
        <v>20210401</v>
      </c>
      <c r="E612">
        <v>20220331</v>
      </c>
      <c r="F612" t="s">
        <v>3068</v>
      </c>
      <c r="G612" t="s">
        <v>3069</v>
      </c>
      <c r="H612" t="s">
        <v>1882</v>
      </c>
      <c r="I612" t="s">
        <v>1462</v>
      </c>
      <c r="L612">
        <v>5</v>
      </c>
      <c r="M612">
        <v>2204.1999999999998</v>
      </c>
      <c r="X612">
        <v>5</v>
      </c>
      <c r="Y612">
        <v>2204.1999999999998</v>
      </c>
      <c r="Z612" s="3">
        <f t="shared" si="9"/>
        <v>440.84</v>
      </c>
    </row>
    <row r="613" spans="1:26" hidden="1">
      <c r="A613" t="s">
        <v>707</v>
      </c>
      <c r="B613" s="6">
        <v>44287</v>
      </c>
      <c r="C613" s="6">
        <v>44651</v>
      </c>
      <c r="D613">
        <v>20210401</v>
      </c>
      <c r="E613">
        <v>20220331</v>
      </c>
      <c r="F613" t="s">
        <v>6397</v>
      </c>
      <c r="G613" t="s">
        <v>6398</v>
      </c>
      <c r="H613" t="s">
        <v>590</v>
      </c>
      <c r="I613" t="s">
        <v>1462</v>
      </c>
      <c r="L613">
        <v>2</v>
      </c>
      <c r="M613">
        <v>2340</v>
      </c>
      <c r="N613">
        <v>-2</v>
      </c>
      <c r="O613">
        <v>-2340</v>
      </c>
      <c r="Z613" s="3">
        <f t="shared" si="9"/>
        <v>1170</v>
      </c>
    </row>
    <row r="614" spans="1:26" hidden="1">
      <c r="A614" t="s">
        <v>707</v>
      </c>
      <c r="B614" s="6">
        <v>44287</v>
      </c>
      <c r="C614" s="6">
        <v>44651</v>
      </c>
      <c r="D614">
        <v>20210401</v>
      </c>
      <c r="E614">
        <v>20220331</v>
      </c>
      <c r="F614" t="s">
        <v>6399</v>
      </c>
      <c r="G614" t="s">
        <v>6400</v>
      </c>
      <c r="H614" t="s">
        <v>590</v>
      </c>
      <c r="I614" t="s">
        <v>1462</v>
      </c>
      <c r="J614">
        <v>1</v>
      </c>
      <c r="K614">
        <v>1036.67</v>
      </c>
      <c r="X614">
        <v>1</v>
      </c>
      <c r="Y614">
        <v>1036.67</v>
      </c>
      <c r="Z614" s="3">
        <f t="shared" si="9"/>
        <v>1036.67</v>
      </c>
    </row>
    <row r="615" spans="1:26" hidden="1">
      <c r="A615" t="s">
        <v>707</v>
      </c>
      <c r="B615" s="6">
        <v>44287</v>
      </c>
      <c r="C615" s="6">
        <v>44651</v>
      </c>
      <c r="D615">
        <v>20210401</v>
      </c>
      <c r="E615">
        <v>20220331</v>
      </c>
      <c r="F615" t="s">
        <v>3076</v>
      </c>
      <c r="G615" t="s">
        <v>3075</v>
      </c>
      <c r="H615" t="s">
        <v>590</v>
      </c>
      <c r="I615" t="s">
        <v>1462</v>
      </c>
      <c r="L615">
        <v>1</v>
      </c>
      <c r="M615">
        <v>7267.4</v>
      </c>
      <c r="N615">
        <v>-1</v>
      </c>
      <c r="O615">
        <v>-7267.4</v>
      </c>
      <c r="Z615" s="3">
        <f t="shared" si="9"/>
        <v>7267.4</v>
      </c>
    </row>
    <row r="616" spans="1:26" hidden="1">
      <c r="A616" t="s">
        <v>707</v>
      </c>
      <c r="B616" s="6">
        <v>44287</v>
      </c>
      <c r="C616" s="6">
        <v>44651</v>
      </c>
      <c r="D616">
        <v>20210401</v>
      </c>
      <c r="E616">
        <v>20220331</v>
      </c>
      <c r="F616" t="s">
        <v>6401</v>
      </c>
      <c r="G616" t="s">
        <v>6402</v>
      </c>
      <c r="H616" t="s">
        <v>590</v>
      </c>
      <c r="I616" t="s">
        <v>1462</v>
      </c>
      <c r="L616">
        <v>1</v>
      </c>
      <c r="M616">
        <v>1483</v>
      </c>
      <c r="N616">
        <v>-1</v>
      </c>
      <c r="O616">
        <v>-1483</v>
      </c>
      <c r="Z616" s="3">
        <f t="shared" si="9"/>
        <v>1483</v>
      </c>
    </row>
    <row r="617" spans="1:26" hidden="1">
      <c r="A617" t="s">
        <v>707</v>
      </c>
      <c r="B617" s="6">
        <v>44287</v>
      </c>
      <c r="C617" s="6">
        <v>44651</v>
      </c>
      <c r="D617">
        <v>20210401</v>
      </c>
      <c r="E617">
        <v>20220331</v>
      </c>
      <c r="F617" t="s">
        <v>6403</v>
      </c>
      <c r="G617" t="s">
        <v>6404</v>
      </c>
      <c r="H617" t="s">
        <v>590</v>
      </c>
      <c r="I617" t="s">
        <v>1462</v>
      </c>
      <c r="L617">
        <v>10</v>
      </c>
      <c r="M617">
        <v>1130</v>
      </c>
      <c r="N617">
        <v>-10</v>
      </c>
      <c r="O617">
        <v>-1130</v>
      </c>
      <c r="Z617" s="3">
        <f t="shared" si="9"/>
        <v>113</v>
      </c>
    </row>
    <row r="618" spans="1:26" hidden="1">
      <c r="A618" t="s">
        <v>707</v>
      </c>
      <c r="B618" s="6">
        <v>44287</v>
      </c>
      <c r="C618" s="6">
        <v>44651</v>
      </c>
      <c r="D618">
        <v>20210401</v>
      </c>
      <c r="E618">
        <v>20220331</v>
      </c>
      <c r="F618" t="s">
        <v>6405</v>
      </c>
      <c r="G618" t="s">
        <v>6406</v>
      </c>
      <c r="H618" t="s">
        <v>590</v>
      </c>
      <c r="I618" t="s">
        <v>1462</v>
      </c>
      <c r="L618">
        <v>2</v>
      </c>
      <c r="M618">
        <v>2340</v>
      </c>
      <c r="N618">
        <v>-2</v>
      </c>
      <c r="O618">
        <v>-2340</v>
      </c>
      <c r="Z618" s="3">
        <f t="shared" si="9"/>
        <v>1170</v>
      </c>
    </row>
    <row r="619" spans="1:26" hidden="1">
      <c r="A619" t="s">
        <v>707</v>
      </c>
      <c r="B619" s="6">
        <v>44287</v>
      </c>
      <c r="C619" s="6">
        <v>44651</v>
      </c>
      <c r="D619">
        <v>20210401</v>
      </c>
      <c r="E619">
        <v>20220331</v>
      </c>
      <c r="F619" t="s">
        <v>6407</v>
      </c>
      <c r="G619" t="s">
        <v>6408</v>
      </c>
      <c r="H619" t="s">
        <v>590</v>
      </c>
      <c r="I619" t="s">
        <v>1462</v>
      </c>
      <c r="L619">
        <v>6</v>
      </c>
      <c r="M619">
        <v>7020</v>
      </c>
      <c r="N619">
        <v>-6</v>
      </c>
      <c r="O619">
        <v>-7020</v>
      </c>
      <c r="Z619" s="3">
        <f t="shared" si="9"/>
        <v>1170</v>
      </c>
    </row>
    <row r="620" spans="1:26" hidden="1">
      <c r="A620" t="s">
        <v>707</v>
      </c>
      <c r="B620" s="6">
        <v>44287</v>
      </c>
      <c r="C620" s="6">
        <v>44651</v>
      </c>
      <c r="D620">
        <v>20210401</v>
      </c>
      <c r="E620">
        <v>20220331</v>
      </c>
      <c r="F620" t="s">
        <v>6409</v>
      </c>
      <c r="G620" t="s">
        <v>6410</v>
      </c>
      <c r="H620" t="s">
        <v>590</v>
      </c>
      <c r="I620" t="s">
        <v>1462</v>
      </c>
      <c r="L620">
        <v>13</v>
      </c>
      <c r="M620">
        <v>84500</v>
      </c>
      <c r="R620">
        <v>-4</v>
      </c>
      <c r="S620">
        <v>-26000</v>
      </c>
      <c r="X620">
        <v>9</v>
      </c>
      <c r="Y620">
        <v>58500</v>
      </c>
      <c r="Z620" s="3">
        <f t="shared" si="9"/>
        <v>6500</v>
      </c>
    </row>
    <row r="621" spans="1:26" hidden="1">
      <c r="A621" t="s">
        <v>707</v>
      </c>
      <c r="B621" s="6">
        <v>44287</v>
      </c>
      <c r="C621" s="6">
        <v>44651</v>
      </c>
      <c r="D621">
        <v>20210401</v>
      </c>
      <c r="E621">
        <v>20220331</v>
      </c>
      <c r="F621" t="s">
        <v>6411</v>
      </c>
      <c r="G621" t="s">
        <v>6412</v>
      </c>
      <c r="H621" t="s">
        <v>1973</v>
      </c>
      <c r="I621" t="s">
        <v>1462</v>
      </c>
      <c r="L621">
        <v>3005</v>
      </c>
      <c r="M621">
        <v>387450</v>
      </c>
      <c r="N621">
        <v>-255</v>
      </c>
      <c r="O621">
        <v>-30266.68</v>
      </c>
      <c r="R621">
        <v>-2620</v>
      </c>
      <c r="S621">
        <v>-340543.32</v>
      </c>
      <c r="X621">
        <v>130</v>
      </c>
      <c r="Y621">
        <v>16640</v>
      </c>
      <c r="Z621" s="3">
        <f t="shared" si="9"/>
        <v>118.69286274509804</v>
      </c>
    </row>
    <row r="622" spans="1:26" hidden="1">
      <c r="A622" t="s">
        <v>707</v>
      </c>
      <c r="B622" s="6">
        <v>44287</v>
      </c>
      <c r="C622" s="6">
        <v>44651</v>
      </c>
      <c r="D622">
        <v>20210401</v>
      </c>
      <c r="E622">
        <v>20220331</v>
      </c>
      <c r="F622" t="s">
        <v>6413</v>
      </c>
      <c r="G622" t="s">
        <v>6414</v>
      </c>
      <c r="H622" t="s">
        <v>590</v>
      </c>
      <c r="I622" t="s">
        <v>1462</v>
      </c>
      <c r="L622">
        <v>10</v>
      </c>
      <c r="M622">
        <v>2250</v>
      </c>
      <c r="X622">
        <v>10</v>
      </c>
      <c r="Y622">
        <v>2250</v>
      </c>
      <c r="Z622" s="3">
        <f t="shared" si="9"/>
        <v>225</v>
      </c>
    </row>
    <row r="623" spans="1:26" hidden="1">
      <c r="A623" t="s">
        <v>707</v>
      </c>
      <c r="B623" s="6">
        <v>44287</v>
      </c>
      <c r="C623" s="6">
        <v>44651</v>
      </c>
      <c r="D623">
        <v>20210401</v>
      </c>
      <c r="E623">
        <v>20220331</v>
      </c>
      <c r="F623" t="s">
        <v>6415</v>
      </c>
      <c r="G623" t="s">
        <v>6416</v>
      </c>
      <c r="H623" t="s">
        <v>590</v>
      </c>
      <c r="I623" t="s">
        <v>1462</v>
      </c>
      <c r="L623">
        <v>1</v>
      </c>
      <c r="M623">
        <v>36860.199999999997</v>
      </c>
      <c r="X623">
        <v>1</v>
      </c>
      <c r="Y623">
        <v>36860.199999999997</v>
      </c>
      <c r="Z623" s="3">
        <f t="shared" si="9"/>
        <v>36860.199999999997</v>
      </c>
    </row>
    <row r="624" spans="1:26" hidden="1">
      <c r="A624" t="s">
        <v>707</v>
      </c>
      <c r="B624" s="6">
        <v>44287</v>
      </c>
      <c r="C624" s="6">
        <v>44651</v>
      </c>
      <c r="D624">
        <v>20210401</v>
      </c>
      <c r="E624">
        <v>20220331</v>
      </c>
      <c r="F624" t="s">
        <v>6417</v>
      </c>
      <c r="G624" t="s">
        <v>6418</v>
      </c>
      <c r="H624" t="s">
        <v>590</v>
      </c>
      <c r="I624" t="s">
        <v>1462</v>
      </c>
      <c r="L624">
        <v>25</v>
      </c>
      <c r="M624">
        <v>49800</v>
      </c>
      <c r="N624">
        <v>-5</v>
      </c>
      <c r="O624">
        <v>-9250</v>
      </c>
      <c r="R624">
        <v>-13</v>
      </c>
      <c r="S624">
        <v>-27625</v>
      </c>
      <c r="X624">
        <v>7</v>
      </c>
      <c r="Y624">
        <v>12925</v>
      </c>
      <c r="Z624" s="3">
        <f t="shared" si="9"/>
        <v>1850</v>
      </c>
    </row>
    <row r="625" spans="1:26" hidden="1">
      <c r="A625" t="s">
        <v>707</v>
      </c>
      <c r="B625" s="6">
        <v>44287</v>
      </c>
      <c r="C625" s="6">
        <v>44651</v>
      </c>
      <c r="D625">
        <v>20210401</v>
      </c>
      <c r="E625">
        <v>20220331</v>
      </c>
      <c r="F625" t="s">
        <v>6419</v>
      </c>
      <c r="G625" t="s">
        <v>6420</v>
      </c>
      <c r="H625" t="s">
        <v>590</v>
      </c>
      <c r="I625" t="s">
        <v>805</v>
      </c>
      <c r="L625">
        <v>100</v>
      </c>
      <c r="M625">
        <v>110</v>
      </c>
      <c r="N625">
        <v>-100</v>
      </c>
      <c r="O625">
        <v>-110</v>
      </c>
      <c r="Z625" s="3">
        <f t="shared" si="9"/>
        <v>1.1000000000000001</v>
      </c>
    </row>
    <row r="626" spans="1:26" hidden="1">
      <c r="A626" t="s">
        <v>707</v>
      </c>
      <c r="B626" s="6">
        <v>44287</v>
      </c>
      <c r="C626" s="6">
        <v>44651</v>
      </c>
      <c r="D626">
        <v>20210401</v>
      </c>
      <c r="E626">
        <v>20220331</v>
      </c>
      <c r="F626" t="s">
        <v>3153</v>
      </c>
      <c r="G626" t="s">
        <v>3154</v>
      </c>
      <c r="H626" t="s">
        <v>590</v>
      </c>
      <c r="I626" t="s">
        <v>774</v>
      </c>
      <c r="L626">
        <v>1</v>
      </c>
      <c r="M626">
        <v>140000</v>
      </c>
      <c r="N626">
        <v>-1</v>
      </c>
      <c r="O626">
        <v>-140000</v>
      </c>
      <c r="Z626" s="3">
        <f t="shared" si="9"/>
        <v>140000</v>
      </c>
    </row>
    <row r="627" spans="1:26" hidden="1">
      <c r="A627" t="s">
        <v>707</v>
      </c>
      <c r="B627" s="6">
        <v>44287</v>
      </c>
      <c r="C627" s="6">
        <v>44651</v>
      </c>
      <c r="D627">
        <v>20210401</v>
      </c>
      <c r="E627">
        <v>20220331</v>
      </c>
      <c r="F627" t="s">
        <v>3157</v>
      </c>
      <c r="G627" t="s">
        <v>3158</v>
      </c>
      <c r="H627" t="s">
        <v>590</v>
      </c>
      <c r="I627" t="s">
        <v>774</v>
      </c>
      <c r="L627">
        <v>1</v>
      </c>
      <c r="M627">
        <v>1</v>
      </c>
      <c r="N627">
        <v>-1</v>
      </c>
      <c r="O627">
        <v>-1</v>
      </c>
      <c r="Z627" s="3">
        <f t="shared" si="9"/>
        <v>1</v>
      </c>
    </row>
    <row r="628" spans="1:26" hidden="1">
      <c r="A628" t="s">
        <v>707</v>
      </c>
      <c r="B628" s="6">
        <v>44287</v>
      </c>
      <c r="C628" s="6">
        <v>44651</v>
      </c>
      <c r="D628">
        <v>20210401</v>
      </c>
      <c r="E628">
        <v>20220331</v>
      </c>
      <c r="F628" t="s">
        <v>6421</v>
      </c>
      <c r="G628" t="s">
        <v>6422</v>
      </c>
      <c r="H628" t="s">
        <v>590</v>
      </c>
      <c r="I628" t="s">
        <v>1462</v>
      </c>
      <c r="J628">
        <v>4</v>
      </c>
      <c r="K628">
        <v>48</v>
      </c>
      <c r="L628">
        <v>9</v>
      </c>
      <c r="M628">
        <v>207</v>
      </c>
      <c r="N628">
        <v>-3</v>
      </c>
      <c r="O628">
        <v>-36</v>
      </c>
      <c r="X628">
        <v>10</v>
      </c>
      <c r="Y628">
        <v>219</v>
      </c>
      <c r="Z628" s="3">
        <f t="shared" si="9"/>
        <v>12</v>
      </c>
    </row>
    <row r="629" spans="1:26" hidden="1">
      <c r="A629" t="s">
        <v>707</v>
      </c>
      <c r="B629" s="6">
        <v>44287</v>
      </c>
      <c r="C629" s="6">
        <v>44651</v>
      </c>
      <c r="D629">
        <v>20210401</v>
      </c>
      <c r="E629">
        <v>20220331</v>
      </c>
      <c r="F629" t="s">
        <v>3159</v>
      </c>
      <c r="G629" t="s">
        <v>3160</v>
      </c>
      <c r="H629" t="s">
        <v>613</v>
      </c>
      <c r="I629" t="s">
        <v>805</v>
      </c>
      <c r="J629">
        <v>108.88</v>
      </c>
      <c r="K629">
        <v>5444.01</v>
      </c>
      <c r="L629">
        <v>275</v>
      </c>
      <c r="M629">
        <v>17875</v>
      </c>
      <c r="N629">
        <v>-108.88</v>
      </c>
      <c r="O629">
        <v>-5444</v>
      </c>
      <c r="X629">
        <v>275</v>
      </c>
      <c r="Y629">
        <v>17875.009999999998</v>
      </c>
      <c r="Z629" s="3">
        <f t="shared" si="9"/>
        <v>50</v>
      </c>
    </row>
    <row r="630" spans="1:26" hidden="1">
      <c r="A630" t="s">
        <v>707</v>
      </c>
      <c r="B630" s="6">
        <v>44287</v>
      </c>
      <c r="C630" s="6">
        <v>44651</v>
      </c>
      <c r="D630">
        <v>20210401</v>
      </c>
      <c r="E630">
        <v>20220331</v>
      </c>
      <c r="F630" t="s">
        <v>3165</v>
      </c>
      <c r="G630" t="s">
        <v>3166</v>
      </c>
      <c r="H630" t="s">
        <v>613</v>
      </c>
      <c r="I630" t="s">
        <v>805</v>
      </c>
      <c r="L630">
        <v>475.1</v>
      </c>
      <c r="M630">
        <v>40937.199999999997</v>
      </c>
      <c r="N630">
        <v>-475.1</v>
      </c>
      <c r="O630">
        <v>-40937.18</v>
      </c>
      <c r="Y630">
        <v>0.02</v>
      </c>
      <c r="Z630" s="3">
        <f t="shared" si="9"/>
        <v>86.165396758577131</v>
      </c>
    </row>
    <row r="631" spans="1:26" hidden="1">
      <c r="A631" t="s">
        <v>707</v>
      </c>
      <c r="B631" s="6">
        <v>44287</v>
      </c>
      <c r="C631" s="6">
        <v>44651</v>
      </c>
      <c r="D631">
        <v>20210401</v>
      </c>
      <c r="E631">
        <v>20220331</v>
      </c>
      <c r="F631" t="s">
        <v>3179</v>
      </c>
      <c r="G631" t="s">
        <v>3180</v>
      </c>
      <c r="H631" t="s">
        <v>2073</v>
      </c>
      <c r="I631" t="s">
        <v>805</v>
      </c>
      <c r="L631">
        <v>30</v>
      </c>
      <c r="M631">
        <v>6990</v>
      </c>
      <c r="X631">
        <v>30</v>
      </c>
      <c r="Y631">
        <v>6990</v>
      </c>
      <c r="Z631" s="3">
        <f t="shared" si="9"/>
        <v>233</v>
      </c>
    </row>
    <row r="632" spans="1:26" hidden="1">
      <c r="A632" t="s">
        <v>707</v>
      </c>
      <c r="B632" s="6">
        <v>44287</v>
      </c>
      <c r="C632" s="6">
        <v>44651</v>
      </c>
      <c r="D632">
        <v>20210401</v>
      </c>
      <c r="E632">
        <v>20220331</v>
      </c>
      <c r="F632" t="s">
        <v>6423</v>
      </c>
      <c r="G632" t="s">
        <v>6424</v>
      </c>
      <c r="H632" t="s">
        <v>613</v>
      </c>
      <c r="I632" t="s">
        <v>1462</v>
      </c>
      <c r="J632">
        <v>323</v>
      </c>
      <c r="K632">
        <v>24225</v>
      </c>
      <c r="N632">
        <v>-323</v>
      </c>
      <c r="O632">
        <v>-24225</v>
      </c>
      <c r="Z632" s="3">
        <f t="shared" si="9"/>
        <v>75</v>
      </c>
    </row>
    <row r="633" spans="1:26" hidden="1">
      <c r="A633" t="s">
        <v>707</v>
      </c>
      <c r="B633" s="6">
        <v>44287</v>
      </c>
      <c r="C633" s="6">
        <v>44651</v>
      </c>
      <c r="D633">
        <v>20210401</v>
      </c>
      <c r="E633">
        <v>20220331</v>
      </c>
      <c r="F633" t="s">
        <v>3193</v>
      </c>
      <c r="G633" t="s">
        <v>3194</v>
      </c>
      <c r="H633" t="s">
        <v>1173</v>
      </c>
      <c r="I633" t="s">
        <v>1462</v>
      </c>
      <c r="J633">
        <v>18</v>
      </c>
      <c r="K633">
        <v>3690.34</v>
      </c>
      <c r="L633">
        <v>52</v>
      </c>
      <c r="M633">
        <v>11420</v>
      </c>
      <c r="N633">
        <v>-48</v>
      </c>
      <c r="O633">
        <v>-10270.33</v>
      </c>
      <c r="X633">
        <v>22</v>
      </c>
      <c r="Y633">
        <v>4840.01</v>
      </c>
      <c r="Z633" s="3">
        <f t="shared" si="9"/>
        <v>213.96520833333332</v>
      </c>
    </row>
    <row r="634" spans="1:26" hidden="1">
      <c r="A634" t="s">
        <v>707</v>
      </c>
      <c r="B634" s="6">
        <v>44287</v>
      </c>
      <c r="C634" s="6">
        <v>44651</v>
      </c>
      <c r="D634">
        <v>20210401</v>
      </c>
      <c r="E634">
        <v>20220331</v>
      </c>
      <c r="F634" t="s">
        <v>6425</v>
      </c>
      <c r="G634" t="s">
        <v>6426</v>
      </c>
      <c r="H634" t="s">
        <v>1173</v>
      </c>
      <c r="I634" t="s">
        <v>805</v>
      </c>
      <c r="J634">
        <v>64</v>
      </c>
      <c r="K634">
        <v>85413.759999999995</v>
      </c>
      <c r="L634">
        <v>590</v>
      </c>
      <c r="M634">
        <v>148294.97</v>
      </c>
      <c r="N634">
        <v>-360</v>
      </c>
      <c r="O634">
        <v>-90491.96</v>
      </c>
      <c r="R634">
        <v>-294</v>
      </c>
      <c r="S634">
        <v>-73967.28</v>
      </c>
      <c r="Y634">
        <v>69249.490000000005</v>
      </c>
      <c r="Z634" s="3">
        <f t="shared" si="9"/>
        <v>251.36655555555558</v>
      </c>
    </row>
    <row r="635" spans="1:26" hidden="1">
      <c r="A635" t="s">
        <v>707</v>
      </c>
      <c r="B635" s="6">
        <v>44287</v>
      </c>
      <c r="C635" s="6">
        <v>44651</v>
      </c>
      <c r="D635">
        <v>20210401</v>
      </c>
      <c r="E635">
        <v>20220331</v>
      </c>
      <c r="F635" t="s">
        <v>6427</v>
      </c>
      <c r="G635" t="s">
        <v>6428</v>
      </c>
      <c r="H635" t="s">
        <v>1173</v>
      </c>
      <c r="I635" t="s">
        <v>805</v>
      </c>
      <c r="L635">
        <v>11</v>
      </c>
      <c r="M635">
        <v>10750</v>
      </c>
      <c r="N635">
        <v>-8</v>
      </c>
      <c r="O635">
        <v>-7630</v>
      </c>
      <c r="P635">
        <v>3</v>
      </c>
      <c r="Q635">
        <v>2775</v>
      </c>
      <c r="R635">
        <v>-5</v>
      </c>
      <c r="S635">
        <v>-4855</v>
      </c>
      <c r="X635">
        <v>1</v>
      </c>
      <c r="Y635">
        <v>1040</v>
      </c>
      <c r="Z635" s="3">
        <f t="shared" si="9"/>
        <v>971</v>
      </c>
    </row>
    <row r="636" spans="1:26" hidden="1">
      <c r="A636" t="s">
        <v>707</v>
      </c>
      <c r="B636" s="6">
        <v>44287</v>
      </c>
      <c r="C636" s="6">
        <v>44651</v>
      </c>
      <c r="D636">
        <v>20210401</v>
      </c>
      <c r="E636">
        <v>20220331</v>
      </c>
      <c r="F636" t="s">
        <v>6429</v>
      </c>
      <c r="G636" t="s">
        <v>6430</v>
      </c>
      <c r="H636" t="s">
        <v>590</v>
      </c>
      <c r="I636" t="s">
        <v>805</v>
      </c>
      <c r="L636">
        <v>2</v>
      </c>
      <c r="M636">
        <v>3719.4</v>
      </c>
      <c r="X636">
        <v>2</v>
      </c>
      <c r="Y636">
        <v>3719.4</v>
      </c>
      <c r="Z636" s="3">
        <f t="shared" si="9"/>
        <v>1859.7</v>
      </c>
    </row>
    <row r="637" spans="1:26" hidden="1">
      <c r="A637" t="s">
        <v>707</v>
      </c>
      <c r="B637" s="6">
        <v>44287</v>
      </c>
      <c r="C637" s="6">
        <v>44651</v>
      </c>
      <c r="D637">
        <v>20210401</v>
      </c>
      <c r="E637">
        <v>20220331</v>
      </c>
      <c r="F637" t="s">
        <v>6431</v>
      </c>
      <c r="G637" t="s">
        <v>6432</v>
      </c>
      <c r="H637" t="s">
        <v>590</v>
      </c>
      <c r="I637" t="s">
        <v>805</v>
      </c>
      <c r="J637">
        <v>1</v>
      </c>
      <c r="K637">
        <v>1550</v>
      </c>
      <c r="N637">
        <v>-1</v>
      </c>
      <c r="O637">
        <v>-1550</v>
      </c>
      <c r="Z637" s="3">
        <f t="shared" si="9"/>
        <v>1550</v>
      </c>
    </row>
    <row r="638" spans="1:26" hidden="1">
      <c r="A638" t="s">
        <v>707</v>
      </c>
      <c r="B638" s="6">
        <v>44287</v>
      </c>
      <c r="C638" s="6">
        <v>44651</v>
      </c>
      <c r="D638">
        <v>20210401</v>
      </c>
      <c r="E638">
        <v>20220331</v>
      </c>
      <c r="F638" t="s">
        <v>6433</v>
      </c>
      <c r="G638" t="s">
        <v>6434</v>
      </c>
      <c r="H638" t="s">
        <v>613</v>
      </c>
      <c r="I638" t="s">
        <v>805</v>
      </c>
      <c r="J638">
        <v>0.252</v>
      </c>
      <c r="K638">
        <v>6832.19</v>
      </c>
      <c r="L638">
        <v>0.255</v>
      </c>
      <c r="M638">
        <v>9562.5</v>
      </c>
      <c r="N638">
        <v>-7.9000000000000001E-2</v>
      </c>
      <c r="O638">
        <v>-2423.87</v>
      </c>
      <c r="X638">
        <v>0.42799999999999999</v>
      </c>
      <c r="Y638">
        <v>13970.82</v>
      </c>
      <c r="Z638" s="3">
        <f t="shared" si="9"/>
        <v>30681.898734177212</v>
      </c>
    </row>
    <row r="639" spans="1:26" hidden="1">
      <c r="A639" t="s">
        <v>707</v>
      </c>
      <c r="B639" s="6">
        <v>44287</v>
      </c>
      <c r="C639" s="6">
        <v>44651</v>
      </c>
      <c r="D639">
        <v>20210401</v>
      </c>
      <c r="E639">
        <v>20220331</v>
      </c>
      <c r="F639" t="s">
        <v>6435</v>
      </c>
      <c r="G639" t="s">
        <v>6436</v>
      </c>
      <c r="H639" t="s">
        <v>590</v>
      </c>
      <c r="I639" t="s">
        <v>805</v>
      </c>
      <c r="J639">
        <v>2</v>
      </c>
      <c r="K639">
        <v>3560</v>
      </c>
      <c r="X639">
        <v>2</v>
      </c>
      <c r="Y639">
        <v>3560</v>
      </c>
      <c r="Z639" s="3">
        <f t="shared" si="9"/>
        <v>1780</v>
      </c>
    </row>
    <row r="640" spans="1:26" hidden="1">
      <c r="A640" t="s">
        <v>707</v>
      </c>
      <c r="B640" s="6">
        <v>44287</v>
      </c>
      <c r="C640" s="6">
        <v>44651</v>
      </c>
      <c r="D640">
        <v>20210401</v>
      </c>
      <c r="E640">
        <v>20220331</v>
      </c>
      <c r="F640" t="s">
        <v>3201</v>
      </c>
      <c r="G640" t="s">
        <v>3202</v>
      </c>
      <c r="H640" t="s">
        <v>590</v>
      </c>
      <c r="I640" t="s">
        <v>805</v>
      </c>
      <c r="L640">
        <v>25</v>
      </c>
      <c r="M640">
        <v>4375</v>
      </c>
      <c r="N640">
        <v>-25</v>
      </c>
      <c r="O640">
        <v>-4375</v>
      </c>
      <c r="Z640" s="3">
        <f t="shared" si="9"/>
        <v>175</v>
      </c>
    </row>
    <row r="641" spans="1:26" hidden="1">
      <c r="A641" t="s">
        <v>707</v>
      </c>
      <c r="B641" s="6">
        <v>44287</v>
      </c>
      <c r="C641" s="6">
        <v>44651</v>
      </c>
      <c r="D641">
        <v>20210401</v>
      </c>
      <c r="E641">
        <v>20220331</v>
      </c>
      <c r="F641" t="s">
        <v>3205</v>
      </c>
      <c r="G641" t="s">
        <v>3206</v>
      </c>
      <c r="H641" t="s">
        <v>590</v>
      </c>
      <c r="I641" t="s">
        <v>805</v>
      </c>
      <c r="L641">
        <v>25</v>
      </c>
      <c r="M641">
        <v>200</v>
      </c>
      <c r="N641">
        <v>-6</v>
      </c>
      <c r="O641">
        <v>-48</v>
      </c>
      <c r="X641">
        <v>19</v>
      </c>
      <c r="Y641">
        <v>152</v>
      </c>
      <c r="Z641" s="3">
        <f t="shared" si="9"/>
        <v>8</v>
      </c>
    </row>
    <row r="642" spans="1:26" hidden="1">
      <c r="A642" t="s">
        <v>707</v>
      </c>
      <c r="B642" s="6">
        <v>44287</v>
      </c>
      <c r="C642" s="6">
        <v>44651</v>
      </c>
      <c r="D642">
        <v>20210401</v>
      </c>
      <c r="E642">
        <v>20220331</v>
      </c>
      <c r="F642" t="s">
        <v>3211</v>
      </c>
      <c r="G642" t="s">
        <v>3212</v>
      </c>
      <c r="H642" t="s">
        <v>590</v>
      </c>
      <c r="I642" t="s">
        <v>805</v>
      </c>
      <c r="J642">
        <v>1</v>
      </c>
      <c r="K642">
        <v>2432.04</v>
      </c>
      <c r="X642">
        <v>1</v>
      </c>
      <c r="Y642">
        <v>2432.04</v>
      </c>
      <c r="Z642" s="3">
        <f t="shared" si="9"/>
        <v>2432.04</v>
      </c>
    </row>
    <row r="643" spans="1:26" hidden="1">
      <c r="A643" t="s">
        <v>707</v>
      </c>
      <c r="B643" s="6">
        <v>44287</v>
      </c>
      <c r="C643" s="6">
        <v>44651</v>
      </c>
      <c r="D643">
        <v>20210401</v>
      </c>
      <c r="E643">
        <v>20220331</v>
      </c>
      <c r="F643" t="s">
        <v>3225</v>
      </c>
      <c r="G643" t="s">
        <v>3226</v>
      </c>
      <c r="H643" t="s">
        <v>1173</v>
      </c>
      <c r="I643" t="s">
        <v>805</v>
      </c>
      <c r="L643">
        <v>6</v>
      </c>
      <c r="M643">
        <v>9500</v>
      </c>
      <c r="N643">
        <v>-3</v>
      </c>
      <c r="O643">
        <v>-4760</v>
      </c>
      <c r="P643">
        <v>2</v>
      </c>
      <c r="Q643">
        <v>3200</v>
      </c>
      <c r="R643">
        <v>-2</v>
      </c>
      <c r="S643">
        <v>-3200</v>
      </c>
      <c r="X643">
        <v>3</v>
      </c>
      <c r="Y643">
        <v>4740</v>
      </c>
      <c r="Z643" s="3">
        <f t="shared" ref="Z643:Z706" si="10">IFERROR((O643+Q643)/(N643+P643),Y643/X643)</f>
        <v>1560</v>
      </c>
    </row>
    <row r="644" spans="1:26" hidden="1">
      <c r="A644" t="s">
        <v>707</v>
      </c>
      <c r="B644" s="6">
        <v>44287</v>
      </c>
      <c r="C644" s="6">
        <v>44651</v>
      </c>
      <c r="D644">
        <v>20210401</v>
      </c>
      <c r="E644">
        <v>20220331</v>
      </c>
      <c r="F644" t="s">
        <v>3233</v>
      </c>
      <c r="G644" t="s">
        <v>3234</v>
      </c>
      <c r="H644" t="s">
        <v>3235</v>
      </c>
      <c r="I644" t="s">
        <v>805</v>
      </c>
      <c r="J644">
        <v>70</v>
      </c>
      <c r="K644">
        <v>17429.77</v>
      </c>
      <c r="L644">
        <v>994</v>
      </c>
      <c r="M644">
        <v>193830</v>
      </c>
      <c r="N644">
        <v>-931</v>
      </c>
      <c r="O644">
        <v>-181545</v>
      </c>
      <c r="X644">
        <v>133</v>
      </c>
      <c r="Y644">
        <v>29714.77</v>
      </c>
      <c r="Z644" s="3">
        <f t="shared" si="10"/>
        <v>195</v>
      </c>
    </row>
    <row r="645" spans="1:26" hidden="1">
      <c r="A645" t="s">
        <v>707</v>
      </c>
      <c r="B645" s="6">
        <v>44287</v>
      </c>
      <c r="C645" s="6">
        <v>44651</v>
      </c>
      <c r="D645">
        <v>20210401</v>
      </c>
      <c r="E645">
        <v>20220331</v>
      </c>
      <c r="F645" t="s">
        <v>6437</v>
      </c>
      <c r="G645" t="s">
        <v>6438</v>
      </c>
      <c r="H645" t="s">
        <v>613</v>
      </c>
      <c r="I645" t="s">
        <v>805</v>
      </c>
      <c r="L645">
        <v>130</v>
      </c>
      <c r="M645">
        <v>81050</v>
      </c>
      <c r="N645">
        <v>-130</v>
      </c>
      <c r="O645">
        <v>-81050</v>
      </c>
      <c r="Z645" s="3">
        <f t="shared" si="10"/>
        <v>623.46153846153845</v>
      </c>
    </row>
    <row r="646" spans="1:26" hidden="1">
      <c r="A646" t="s">
        <v>707</v>
      </c>
      <c r="B646" s="6">
        <v>44287</v>
      </c>
      <c r="C646" s="6">
        <v>44651</v>
      </c>
      <c r="D646">
        <v>20210401</v>
      </c>
      <c r="E646">
        <v>20220331</v>
      </c>
      <c r="F646" t="s">
        <v>3244</v>
      </c>
      <c r="G646" t="s">
        <v>3245</v>
      </c>
      <c r="H646" t="s">
        <v>590</v>
      </c>
      <c r="I646" t="s">
        <v>805</v>
      </c>
      <c r="J646">
        <v>10</v>
      </c>
      <c r="K646">
        <v>16858.05</v>
      </c>
      <c r="L646">
        <v>365</v>
      </c>
      <c r="M646">
        <v>596664.51</v>
      </c>
      <c r="N646">
        <v>-9</v>
      </c>
      <c r="O646">
        <v>-13590.44</v>
      </c>
      <c r="R646">
        <v>-353</v>
      </c>
      <c r="S646">
        <v>-573547.88</v>
      </c>
      <c r="X646">
        <v>13</v>
      </c>
      <c r="Y646">
        <v>26384.240000000002</v>
      </c>
      <c r="Z646" s="3">
        <f t="shared" si="10"/>
        <v>1510.048888888889</v>
      </c>
    </row>
    <row r="647" spans="1:26" hidden="1">
      <c r="A647" t="s">
        <v>707</v>
      </c>
      <c r="B647" s="6">
        <v>44287</v>
      </c>
      <c r="C647" s="6">
        <v>44651</v>
      </c>
      <c r="D647">
        <v>20210401</v>
      </c>
      <c r="E647">
        <v>20220331</v>
      </c>
      <c r="F647" t="s">
        <v>6439</v>
      </c>
      <c r="G647" t="s">
        <v>6440</v>
      </c>
      <c r="H647" t="s">
        <v>590</v>
      </c>
      <c r="I647" t="s">
        <v>805</v>
      </c>
      <c r="J647">
        <v>1</v>
      </c>
      <c r="K647">
        <v>103.32</v>
      </c>
      <c r="N647">
        <v>-1</v>
      </c>
      <c r="O647">
        <v>-146.19</v>
      </c>
      <c r="Y647">
        <v>-42.87</v>
      </c>
      <c r="Z647" s="3">
        <f t="shared" si="10"/>
        <v>146.19</v>
      </c>
    </row>
    <row r="648" spans="1:26" hidden="1">
      <c r="A648" t="s">
        <v>707</v>
      </c>
      <c r="B648" s="6">
        <v>44287</v>
      </c>
      <c r="C648" s="6">
        <v>44651</v>
      </c>
      <c r="D648">
        <v>20210401</v>
      </c>
      <c r="E648">
        <v>20220331</v>
      </c>
      <c r="F648" t="s">
        <v>3246</v>
      </c>
      <c r="G648" t="s">
        <v>3247</v>
      </c>
      <c r="H648" t="s">
        <v>590</v>
      </c>
      <c r="I648" t="s">
        <v>805</v>
      </c>
      <c r="J648">
        <v>1</v>
      </c>
      <c r="K648">
        <v>1150</v>
      </c>
      <c r="X648">
        <v>1</v>
      </c>
      <c r="Y648">
        <v>1150</v>
      </c>
      <c r="Z648" s="3">
        <f t="shared" si="10"/>
        <v>1150</v>
      </c>
    </row>
    <row r="649" spans="1:26" hidden="1">
      <c r="A649" t="s">
        <v>707</v>
      </c>
      <c r="B649" s="6">
        <v>44287</v>
      </c>
      <c r="C649" s="6">
        <v>44651</v>
      </c>
      <c r="D649">
        <v>20210401</v>
      </c>
      <c r="E649">
        <v>20220331</v>
      </c>
      <c r="F649" t="s">
        <v>6441</v>
      </c>
      <c r="G649" t="s">
        <v>6442</v>
      </c>
      <c r="H649" t="s">
        <v>590</v>
      </c>
      <c r="I649" t="s">
        <v>805</v>
      </c>
      <c r="L649">
        <v>2</v>
      </c>
      <c r="M649">
        <v>1350</v>
      </c>
      <c r="X649">
        <v>2</v>
      </c>
      <c r="Y649">
        <v>1350</v>
      </c>
      <c r="Z649" s="3">
        <f t="shared" si="10"/>
        <v>675</v>
      </c>
    </row>
    <row r="650" spans="1:26" hidden="1">
      <c r="A650" t="s">
        <v>707</v>
      </c>
      <c r="B650" s="6">
        <v>44287</v>
      </c>
      <c r="C650" s="6">
        <v>44651</v>
      </c>
      <c r="D650">
        <v>20210401</v>
      </c>
      <c r="E650">
        <v>20220331</v>
      </c>
      <c r="F650" t="s">
        <v>6443</v>
      </c>
      <c r="G650" t="s">
        <v>6444</v>
      </c>
      <c r="H650" t="s">
        <v>2834</v>
      </c>
      <c r="I650" t="s">
        <v>805</v>
      </c>
      <c r="L650">
        <v>10</v>
      </c>
      <c r="M650">
        <v>490</v>
      </c>
      <c r="N650">
        <v>-10</v>
      </c>
      <c r="O650">
        <v>-490</v>
      </c>
      <c r="Z650" s="3">
        <f t="shared" si="10"/>
        <v>49</v>
      </c>
    </row>
    <row r="651" spans="1:26" hidden="1">
      <c r="A651" t="s">
        <v>707</v>
      </c>
      <c r="B651" s="6">
        <v>44287</v>
      </c>
      <c r="C651" s="6">
        <v>44651</v>
      </c>
      <c r="D651">
        <v>20210401</v>
      </c>
      <c r="E651">
        <v>20220331</v>
      </c>
      <c r="F651" t="s">
        <v>6445</v>
      </c>
      <c r="G651" t="s">
        <v>6446</v>
      </c>
      <c r="H651" t="s">
        <v>590</v>
      </c>
      <c r="I651" t="s">
        <v>805</v>
      </c>
      <c r="J651">
        <v>6</v>
      </c>
      <c r="K651">
        <v>2970</v>
      </c>
      <c r="X651">
        <v>6</v>
      </c>
      <c r="Y651">
        <v>2970</v>
      </c>
      <c r="Z651" s="3">
        <f t="shared" si="10"/>
        <v>495</v>
      </c>
    </row>
    <row r="652" spans="1:26" hidden="1">
      <c r="A652" t="s">
        <v>707</v>
      </c>
      <c r="B652" s="6">
        <v>44287</v>
      </c>
      <c r="C652" s="6">
        <v>44651</v>
      </c>
      <c r="D652">
        <v>20210401</v>
      </c>
      <c r="E652">
        <v>20220331</v>
      </c>
      <c r="F652" t="s">
        <v>6447</v>
      </c>
      <c r="G652" t="s">
        <v>6448</v>
      </c>
      <c r="H652" t="s">
        <v>590</v>
      </c>
      <c r="I652" t="s">
        <v>805</v>
      </c>
      <c r="J652">
        <v>1</v>
      </c>
      <c r="K652">
        <v>175.5</v>
      </c>
      <c r="L652">
        <v>12</v>
      </c>
      <c r="M652">
        <v>360.2</v>
      </c>
      <c r="N652">
        <v>-1</v>
      </c>
      <c r="O652">
        <v>-41.21</v>
      </c>
      <c r="X652">
        <v>12</v>
      </c>
      <c r="Y652">
        <v>494.49</v>
      </c>
      <c r="Z652" s="3">
        <f t="shared" si="10"/>
        <v>41.21</v>
      </c>
    </row>
    <row r="653" spans="1:26" hidden="1">
      <c r="A653" t="s">
        <v>707</v>
      </c>
      <c r="B653" s="6">
        <v>44287</v>
      </c>
      <c r="C653" s="6">
        <v>44651</v>
      </c>
      <c r="D653">
        <v>20210401</v>
      </c>
      <c r="E653">
        <v>20220331</v>
      </c>
      <c r="F653" t="s">
        <v>3260</v>
      </c>
      <c r="G653" t="s">
        <v>3261</v>
      </c>
      <c r="H653" t="s">
        <v>2073</v>
      </c>
      <c r="I653" t="s">
        <v>805</v>
      </c>
      <c r="L653">
        <v>10</v>
      </c>
      <c r="M653">
        <v>490</v>
      </c>
      <c r="N653">
        <v>-10</v>
      </c>
      <c r="O653">
        <v>-490</v>
      </c>
      <c r="Z653" s="3">
        <f t="shared" si="10"/>
        <v>49</v>
      </c>
    </row>
    <row r="654" spans="1:26" hidden="1">
      <c r="A654" t="s">
        <v>707</v>
      </c>
      <c r="B654" s="6">
        <v>44287</v>
      </c>
      <c r="C654" s="6">
        <v>44651</v>
      </c>
      <c r="D654">
        <v>20210401</v>
      </c>
      <c r="E654">
        <v>20220331</v>
      </c>
      <c r="F654" t="s">
        <v>6449</v>
      </c>
      <c r="G654" t="s">
        <v>6450</v>
      </c>
      <c r="H654" t="s">
        <v>590</v>
      </c>
      <c r="I654" t="s">
        <v>805</v>
      </c>
      <c r="L654">
        <v>2</v>
      </c>
      <c r="M654">
        <v>3906</v>
      </c>
      <c r="N654">
        <v>-2</v>
      </c>
      <c r="O654">
        <v>-3906</v>
      </c>
      <c r="Z654" s="3">
        <f t="shared" si="10"/>
        <v>1953</v>
      </c>
    </row>
    <row r="655" spans="1:26" hidden="1">
      <c r="A655" t="s">
        <v>707</v>
      </c>
      <c r="B655" s="6">
        <v>44287</v>
      </c>
      <c r="C655" s="6">
        <v>44651</v>
      </c>
      <c r="D655">
        <v>20210401</v>
      </c>
      <c r="E655">
        <v>20220331</v>
      </c>
      <c r="F655" t="s">
        <v>6451</v>
      </c>
      <c r="G655" t="s">
        <v>6452</v>
      </c>
      <c r="H655" t="s">
        <v>590</v>
      </c>
      <c r="I655" t="s">
        <v>805</v>
      </c>
      <c r="J655">
        <v>375</v>
      </c>
      <c r="K655">
        <v>11062.55</v>
      </c>
      <c r="L655">
        <v>30150</v>
      </c>
      <c r="M655">
        <v>889097</v>
      </c>
      <c r="N655">
        <v>-488</v>
      </c>
      <c r="O655">
        <v>-14368</v>
      </c>
      <c r="R655">
        <v>-29440</v>
      </c>
      <c r="S655">
        <v>-868179.85</v>
      </c>
      <c r="X655">
        <v>597</v>
      </c>
      <c r="Y655">
        <v>17611.7</v>
      </c>
      <c r="Z655" s="3">
        <f t="shared" si="10"/>
        <v>29.442622950819672</v>
      </c>
    </row>
    <row r="656" spans="1:26" hidden="1">
      <c r="A656" t="s">
        <v>707</v>
      </c>
      <c r="B656" s="6">
        <v>44287</v>
      </c>
      <c r="C656" s="6">
        <v>44651</v>
      </c>
      <c r="D656">
        <v>20210401</v>
      </c>
      <c r="E656">
        <v>20220331</v>
      </c>
      <c r="F656" t="s">
        <v>6453</v>
      </c>
      <c r="G656" t="s">
        <v>6454</v>
      </c>
      <c r="H656" t="s">
        <v>1173</v>
      </c>
      <c r="I656" t="s">
        <v>805</v>
      </c>
      <c r="L656">
        <v>20</v>
      </c>
      <c r="M656">
        <v>25150</v>
      </c>
      <c r="N656">
        <v>-20</v>
      </c>
      <c r="O656">
        <v>-25150</v>
      </c>
      <c r="Z656" s="3">
        <f t="shared" si="10"/>
        <v>1257.5</v>
      </c>
    </row>
    <row r="657" spans="1:26" hidden="1">
      <c r="A657" t="s">
        <v>707</v>
      </c>
      <c r="B657" s="6">
        <v>44287</v>
      </c>
      <c r="C657" s="6">
        <v>44651</v>
      </c>
      <c r="D657">
        <v>20210401</v>
      </c>
      <c r="E657">
        <v>20220331</v>
      </c>
      <c r="F657" t="s">
        <v>3278</v>
      </c>
      <c r="G657" t="s">
        <v>3279</v>
      </c>
      <c r="H657" t="s">
        <v>613</v>
      </c>
      <c r="I657" t="s">
        <v>805</v>
      </c>
      <c r="J657">
        <v>2.5099999999999998</v>
      </c>
      <c r="K657">
        <v>1184.72</v>
      </c>
      <c r="L657">
        <v>10</v>
      </c>
      <c r="M657">
        <v>7100</v>
      </c>
      <c r="P657">
        <v>2.181</v>
      </c>
      <c r="Q657">
        <v>1029.43</v>
      </c>
      <c r="R657">
        <v>-11.644</v>
      </c>
      <c r="S657">
        <v>-7188.39</v>
      </c>
      <c r="X657">
        <v>3.0470000000000002</v>
      </c>
      <c r="Y657">
        <v>2125.7600000000002</v>
      </c>
      <c r="Z657" s="3">
        <f t="shared" si="10"/>
        <v>471.99908298945439</v>
      </c>
    </row>
    <row r="658" spans="1:26" hidden="1">
      <c r="A658" t="s">
        <v>707</v>
      </c>
      <c r="B658" s="6">
        <v>44287</v>
      </c>
      <c r="C658" s="6">
        <v>44651</v>
      </c>
      <c r="D658">
        <v>20210401</v>
      </c>
      <c r="E658">
        <v>20220331</v>
      </c>
      <c r="F658" t="s">
        <v>3280</v>
      </c>
      <c r="G658" t="s">
        <v>3281</v>
      </c>
      <c r="H658" t="s">
        <v>613</v>
      </c>
      <c r="I658" t="s">
        <v>805</v>
      </c>
      <c r="L658">
        <v>10</v>
      </c>
      <c r="M658">
        <v>5300</v>
      </c>
      <c r="R658">
        <v>-5</v>
      </c>
      <c r="S658">
        <v>-2650</v>
      </c>
      <c r="X658">
        <v>5</v>
      </c>
      <c r="Y658">
        <v>2650</v>
      </c>
      <c r="Z658" s="3">
        <f t="shared" si="10"/>
        <v>530</v>
      </c>
    </row>
    <row r="659" spans="1:26" hidden="1">
      <c r="A659" t="s">
        <v>707</v>
      </c>
      <c r="B659" s="6">
        <v>44287</v>
      </c>
      <c r="C659" s="6">
        <v>44651</v>
      </c>
      <c r="D659">
        <v>20210401</v>
      </c>
      <c r="E659">
        <v>20220331</v>
      </c>
      <c r="F659" t="s">
        <v>6455</v>
      </c>
      <c r="G659" t="s">
        <v>6456</v>
      </c>
      <c r="H659" t="s">
        <v>1173</v>
      </c>
      <c r="I659" t="s">
        <v>805</v>
      </c>
      <c r="N659">
        <v>-1</v>
      </c>
      <c r="O659">
        <v>-1850</v>
      </c>
      <c r="X659">
        <v>-1</v>
      </c>
      <c r="Y659">
        <v>-1850</v>
      </c>
      <c r="Z659" s="3">
        <f t="shared" si="10"/>
        <v>1850</v>
      </c>
    </row>
    <row r="660" spans="1:26" hidden="1">
      <c r="A660" t="s">
        <v>707</v>
      </c>
      <c r="B660" s="6">
        <v>44287</v>
      </c>
      <c r="C660" s="6">
        <v>44651</v>
      </c>
      <c r="D660">
        <v>20210401</v>
      </c>
      <c r="E660">
        <v>20220331</v>
      </c>
      <c r="F660" t="s">
        <v>3291</v>
      </c>
      <c r="G660" t="s">
        <v>3292</v>
      </c>
      <c r="H660" t="s">
        <v>590</v>
      </c>
      <c r="I660" t="s">
        <v>805</v>
      </c>
      <c r="J660">
        <v>5</v>
      </c>
      <c r="K660">
        <v>600</v>
      </c>
      <c r="N660">
        <v>-1</v>
      </c>
      <c r="O660">
        <v>-120</v>
      </c>
      <c r="X660">
        <v>4</v>
      </c>
      <c r="Y660">
        <v>480</v>
      </c>
      <c r="Z660" s="3">
        <f t="shared" si="10"/>
        <v>120</v>
      </c>
    </row>
    <row r="661" spans="1:26" hidden="1">
      <c r="A661" t="s">
        <v>707</v>
      </c>
      <c r="B661" s="6">
        <v>44287</v>
      </c>
      <c r="C661" s="6">
        <v>44651</v>
      </c>
      <c r="D661">
        <v>20210401</v>
      </c>
      <c r="E661">
        <v>20220331</v>
      </c>
      <c r="F661" t="s">
        <v>6457</v>
      </c>
      <c r="G661" t="s">
        <v>6458</v>
      </c>
      <c r="H661" t="s">
        <v>590</v>
      </c>
      <c r="I661" t="s">
        <v>1462</v>
      </c>
      <c r="J661">
        <v>3</v>
      </c>
      <c r="K661">
        <v>24</v>
      </c>
      <c r="N661">
        <v>-2</v>
      </c>
      <c r="O661">
        <v>-16</v>
      </c>
      <c r="X661">
        <v>1</v>
      </c>
      <c r="Y661">
        <v>8</v>
      </c>
      <c r="Z661" s="3">
        <f t="shared" si="10"/>
        <v>8</v>
      </c>
    </row>
    <row r="662" spans="1:26" hidden="1">
      <c r="A662" t="s">
        <v>707</v>
      </c>
      <c r="B662" s="6">
        <v>44287</v>
      </c>
      <c r="C662" s="6">
        <v>44651</v>
      </c>
      <c r="D662">
        <v>20210401</v>
      </c>
      <c r="E662">
        <v>20220331</v>
      </c>
      <c r="F662" t="s">
        <v>3320</v>
      </c>
      <c r="G662" t="s">
        <v>3321</v>
      </c>
      <c r="H662" t="s">
        <v>590</v>
      </c>
      <c r="I662" t="s">
        <v>1462</v>
      </c>
      <c r="L662">
        <v>12</v>
      </c>
      <c r="M662">
        <v>1284</v>
      </c>
      <c r="N662">
        <v>-12</v>
      </c>
      <c r="O662">
        <v>-1284</v>
      </c>
      <c r="Z662" s="3">
        <f t="shared" si="10"/>
        <v>107</v>
      </c>
    </row>
    <row r="663" spans="1:26" hidden="1">
      <c r="A663" t="s">
        <v>707</v>
      </c>
      <c r="B663" s="6">
        <v>44287</v>
      </c>
      <c r="C663" s="6">
        <v>44651</v>
      </c>
      <c r="D663">
        <v>20210401</v>
      </c>
      <c r="E663">
        <v>20220331</v>
      </c>
      <c r="F663" t="s">
        <v>3324</v>
      </c>
      <c r="G663" t="s">
        <v>3325</v>
      </c>
      <c r="H663" t="s">
        <v>590</v>
      </c>
      <c r="I663" t="s">
        <v>1462</v>
      </c>
      <c r="J663">
        <v>7</v>
      </c>
      <c r="K663">
        <v>153.12</v>
      </c>
      <c r="L663">
        <v>12</v>
      </c>
      <c r="M663">
        <v>383.88</v>
      </c>
      <c r="N663">
        <v>-12</v>
      </c>
      <c r="O663">
        <v>-339.16</v>
      </c>
      <c r="X663">
        <v>7</v>
      </c>
      <c r="Y663">
        <v>197.84</v>
      </c>
      <c r="Z663" s="3">
        <f t="shared" si="10"/>
        <v>28.263333333333335</v>
      </c>
    </row>
    <row r="664" spans="1:26" hidden="1">
      <c r="A664" t="s">
        <v>707</v>
      </c>
      <c r="B664" s="6">
        <v>44287</v>
      </c>
      <c r="C664" s="6">
        <v>44651</v>
      </c>
      <c r="D664">
        <v>20210401</v>
      </c>
      <c r="E664">
        <v>20220331</v>
      </c>
      <c r="F664" t="s">
        <v>3326</v>
      </c>
      <c r="G664" t="s">
        <v>3327</v>
      </c>
      <c r="H664" t="s">
        <v>590</v>
      </c>
      <c r="I664" t="s">
        <v>1462</v>
      </c>
      <c r="J664">
        <v>15</v>
      </c>
      <c r="K664">
        <v>150</v>
      </c>
      <c r="N664">
        <v>-3</v>
      </c>
      <c r="O664">
        <v>-30</v>
      </c>
      <c r="X664">
        <v>12</v>
      </c>
      <c r="Y664">
        <v>120</v>
      </c>
      <c r="Z664" s="3">
        <f t="shared" si="10"/>
        <v>10</v>
      </c>
    </row>
    <row r="665" spans="1:26" hidden="1">
      <c r="A665" t="s">
        <v>707</v>
      </c>
      <c r="B665" s="6">
        <v>44287</v>
      </c>
      <c r="C665" s="6">
        <v>44651</v>
      </c>
      <c r="D665">
        <v>20210401</v>
      </c>
      <c r="E665">
        <v>20220331</v>
      </c>
      <c r="F665" t="s">
        <v>6459</v>
      </c>
      <c r="G665" t="s">
        <v>6460</v>
      </c>
      <c r="H665" t="s">
        <v>590</v>
      </c>
      <c r="I665" t="s">
        <v>1462</v>
      </c>
      <c r="L665">
        <v>9</v>
      </c>
      <c r="M665">
        <v>540</v>
      </c>
      <c r="X665">
        <v>9</v>
      </c>
      <c r="Y665">
        <v>540</v>
      </c>
      <c r="Z665" s="3">
        <f t="shared" si="10"/>
        <v>60</v>
      </c>
    </row>
    <row r="666" spans="1:26" hidden="1">
      <c r="A666" t="s">
        <v>707</v>
      </c>
      <c r="B666" s="6">
        <v>44287</v>
      </c>
      <c r="C666" s="6">
        <v>44651</v>
      </c>
      <c r="D666">
        <v>20210401</v>
      </c>
      <c r="E666">
        <v>20220331</v>
      </c>
      <c r="F666" t="s">
        <v>6461</v>
      </c>
      <c r="G666" t="s">
        <v>6462</v>
      </c>
      <c r="H666" t="s">
        <v>3319</v>
      </c>
      <c r="I666" t="s">
        <v>1462</v>
      </c>
      <c r="L666">
        <v>59.04</v>
      </c>
      <c r="M666">
        <v>6227.74</v>
      </c>
      <c r="X666">
        <v>59.04</v>
      </c>
      <c r="Y666">
        <v>6227.74</v>
      </c>
      <c r="Z666" s="3">
        <f t="shared" si="10"/>
        <v>105.48340108401084</v>
      </c>
    </row>
    <row r="667" spans="1:26" hidden="1">
      <c r="A667" t="s">
        <v>707</v>
      </c>
      <c r="B667" s="6">
        <v>44287</v>
      </c>
      <c r="C667" s="6">
        <v>44651</v>
      </c>
      <c r="D667">
        <v>20210401</v>
      </c>
      <c r="E667">
        <v>20220331</v>
      </c>
      <c r="F667" t="s">
        <v>6463</v>
      </c>
      <c r="G667" t="s">
        <v>6464</v>
      </c>
      <c r="H667" t="s">
        <v>590</v>
      </c>
      <c r="I667" t="s">
        <v>1462</v>
      </c>
      <c r="J667">
        <v>6</v>
      </c>
      <c r="K667">
        <v>1128</v>
      </c>
      <c r="N667">
        <v>-6</v>
      </c>
      <c r="O667">
        <v>-1128</v>
      </c>
      <c r="Z667" s="3">
        <f t="shared" si="10"/>
        <v>188</v>
      </c>
    </row>
    <row r="668" spans="1:26" hidden="1">
      <c r="A668" t="s">
        <v>707</v>
      </c>
      <c r="B668" s="6">
        <v>44287</v>
      </c>
      <c r="C668" s="6">
        <v>44651</v>
      </c>
      <c r="D668">
        <v>20210401</v>
      </c>
      <c r="E668">
        <v>20220331</v>
      </c>
      <c r="F668" t="s">
        <v>3330</v>
      </c>
      <c r="G668" t="s">
        <v>3331</v>
      </c>
      <c r="H668" t="s">
        <v>590</v>
      </c>
      <c r="I668" t="s">
        <v>805</v>
      </c>
      <c r="J668">
        <v>20</v>
      </c>
      <c r="K668">
        <v>1700</v>
      </c>
      <c r="X668">
        <v>20</v>
      </c>
      <c r="Y668">
        <v>1700</v>
      </c>
      <c r="Z668" s="3">
        <f t="shared" si="10"/>
        <v>85</v>
      </c>
    </row>
    <row r="669" spans="1:26" hidden="1">
      <c r="A669" t="s">
        <v>707</v>
      </c>
      <c r="B669" s="6">
        <v>44287</v>
      </c>
      <c r="C669" s="6">
        <v>44651</v>
      </c>
      <c r="D669">
        <v>20210401</v>
      </c>
      <c r="E669">
        <v>20220331</v>
      </c>
      <c r="F669" t="s">
        <v>6465</v>
      </c>
      <c r="G669" t="s">
        <v>6466</v>
      </c>
      <c r="H669" t="s">
        <v>590</v>
      </c>
      <c r="I669" t="s">
        <v>1462</v>
      </c>
      <c r="J669">
        <v>25</v>
      </c>
      <c r="K669">
        <v>1964.69</v>
      </c>
      <c r="N669">
        <v>-8</v>
      </c>
      <c r="O669">
        <v>-628.70000000000005</v>
      </c>
      <c r="X669">
        <v>17</v>
      </c>
      <c r="Y669">
        <v>1335.99</v>
      </c>
      <c r="Z669" s="3">
        <f t="shared" si="10"/>
        <v>78.587500000000006</v>
      </c>
    </row>
    <row r="670" spans="1:26" hidden="1">
      <c r="A670" t="s">
        <v>707</v>
      </c>
      <c r="B670" s="6">
        <v>44287</v>
      </c>
      <c r="C670" s="6">
        <v>44651</v>
      </c>
      <c r="D670">
        <v>20210401</v>
      </c>
      <c r="E670">
        <v>20220331</v>
      </c>
      <c r="F670" t="s">
        <v>6467</v>
      </c>
      <c r="G670" t="s">
        <v>6468</v>
      </c>
      <c r="H670" t="s">
        <v>590</v>
      </c>
      <c r="I670" t="s">
        <v>1462</v>
      </c>
      <c r="J670">
        <v>3</v>
      </c>
      <c r="K670">
        <v>540</v>
      </c>
      <c r="X670">
        <v>3</v>
      </c>
      <c r="Y670">
        <v>540</v>
      </c>
      <c r="Z670" s="3">
        <f t="shared" si="10"/>
        <v>180</v>
      </c>
    </row>
    <row r="671" spans="1:26" hidden="1">
      <c r="A671" t="s">
        <v>707</v>
      </c>
      <c r="B671" s="6">
        <v>44287</v>
      </c>
      <c r="C671" s="6">
        <v>44651</v>
      </c>
      <c r="D671">
        <v>20210401</v>
      </c>
      <c r="E671">
        <v>20220331</v>
      </c>
      <c r="F671" t="s">
        <v>6469</v>
      </c>
      <c r="G671" t="s">
        <v>6470</v>
      </c>
      <c r="H671" t="s">
        <v>590</v>
      </c>
      <c r="I671" t="s">
        <v>1462</v>
      </c>
      <c r="J671">
        <v>11</v>
      </c>
      <c r="K671">
        <v>896.28</v>
      </c>
      <c r="N671">
        <v>-5</v>
      </c>
      <c r="O671">
        <v>-407.4</v>
      </c>
      <c r="X671">
        <v>6</v>
      </c>
      <c r="Y671">
        <v>488.88</v>
      </c>
      <c r="Z671" s="3">
        <f t="shared" si="10"/>
        <v>81.47999999999999</v>
      </c>
    </row>
    <row r="672" spans="1:26" hidden="1">
      <c r="A672" t="s">
        <v>707</v>
      </c>
      <c r="B672" s="6">
        <v>44287</v>
      </c>
      <c r="C672" s="6">
        <v>44651</v>
      </c>
      <c r="D672">
        <v>20210401</v>
      </c>
      <c r="E672">
        <v>20220331</v>
      </c>
      <c r="F672" t="s">
        <v>6471</v>
      </c>
      <c r="G672" t="s">
        <v>6472</v>
      </c>
      <c r="H672" t="s">
        <v>590</v>
      </c>
      <c r="I672" t="s">
        <v>1462</v>
      </c>
      <c r="J672">
        <v>3</v>
      </c>
      <c r="K672">
        <v>101.73</v>
      </c>
      <c r="L672">
        <v>18</v>
      </c>
      <c r="M672">
        <v>1080</v>
      </c>
      <c r="N672">
        <v>-18</v>
      </c>
      <c r="O672">
        <v>-1012.94</v>
      </c>
      <c r="X672">
        <v>3</v>
      </c>
      <c r="Y672">
        <v>168.79</v>
      </c>
      <c r="Z672" s="3">
        <f t="shared" si="10"/>
        <v>56.274444444444448</v>
      </c>
    </row>
    <row r="673" spans="1:26" hidden="1">
      <c r="A673" t="s">
        <v>707</v>
      </c>
      <c r="B673" s="6">
        <v>44287</v>
      </c>
      <c r="C673" s="6">
        <v>44651</v>
      </c>
      <c r="D673">
        <v>20210401</v>
      </c>
      <c r="E673">
        <v>20220331</v>
      </c>
      <c r="F673" t="s">
        <v>3338</v>
      </c>
      <c r="G673" t="s">
        <v>3339</v>
      </c>
      <c r="H673" t="s">
        <v>590</v>
      </c>
      <c r="I673" t="s">
        <v>1462</v>
      </c>
      <c r="J673">
        <v>3</v>
      </c>
      <c r="L673">
        <v>54</v>
      </c>
      <c r="M673">
        <v>1068</v>
      </c>
      <c r="N673">
        <v>-34</v>
      </c>
      <c r="O673">
        <v>-632.71</v>
      </c>
      <c r="X673">
        <v>23</v>
      </c>
      <c r="Y673">
        <v>435.29</v>
      </c>
      <c r="Z673" s="3">
        <f t="shared" si="10"/>
        <v>18.609117647058824</v>
      </c>
    </row>
    <row r="674" spans="1:26" hidden="1">
      <c r="A674" t="s">
        <v>707</v>
      </c>
      <c r="B674" s="6">
        <v>44287</v>
      </c>
      <c r="C674" s="6">
        <v>44651</v>
      </c>
      <c r="D674">
        <v>20210401</v>
      </c>
      <c r="E674">
        <v>20220331</v>
      </c>
      <c r="F674" t="s">
        <v>6473</v>
      </c>
      <c r="G674" t="s">
        <v>6474</v>
      </c>
      <c r="H674" t="s">
        <v>590</v>
      </c>
      <c r="I674" t="s">
        <v>1462</v>
      </c>
      <c r="L674">
        <v>12</v>
      </c>
      <c r="M674">
        <v>300</v>
      </c>
      <c r="N674">
        <v>-5</v>
      </c>
      <c r="O674">
        <v>-125</v>
      </c>
      <c r="X674">
        <v>7</v>
      </c>
      <c r="Y674">
        <v>175</v>
      </c>
      <c r="Z674" s="3">
        <f t="shared" si="10"/>
        <v>25</v>
      </c>
    </row>
    <row r="675" spans="1:26" hidden="1">
      <c r="A675" t="s">
        <v>707</v>
      </c>
      <c r="B675" s="6">
        <v>44287</v>
      </c>
      <c r="C675" s="6">
        <v>44651</v>
      </c>
      <c r="D675">
        <v>20210401</v>
      </c>
      <c r="E675">
        <v>20220331</v>
      </c>
      <c r="F675" t="s">
        <v>6475</v>
      </c>
      <c r="G675" t="s">
        <v>6476</v>
      </c>
      <c r="H675" t="s">
        <v>590</v>
      </c>
      <c r="I675" t="s">
        <v>1462</v>
      </c>
      <c r="L675">
        <v>12</v>
      </c>
      <c r="M675">
        <v>1488</v>
      </c>
      <c r="N675">
        <v>-7</v>
      </c>
      <c r="O675">
        <v>-868</v>
      </c>
      <c r="X675">
        <v>5</v>
      </c>
      <c r="Y675">
        <v>620</v>
      </c>
      <c r="Z675" s="3">
        <f t="shared" si="10"/>
        <v>124</v>
      </c>
    </row>
    <row r="676" spans="1:26" hidden="1">
      <c r="A676" t="s">
        <v>707</v>
      </c>
      <c r="B676" s="6">
        <v>44287</v>
      </c>
      <c r="C676" s="6">
        <v>44651</v>
      </c>
      <c r="D676">
        <v>20210401</v>
      </c>
      <c r="E676">
        <v>20220331</v>
      </c>
      <c r="F676" t="s">
        <v>6477</v>
      </c>
      <c r="G676" t="s">
        <v>6478</v>
      </c>
      <c r="H676" t="s">
        <v>590</v>
      </c>
      <c r="I676" t="s">
        <v>1462</v>
      </c>
      <c r="J676">
        <v>1</v>
      </c>
      <c r="K676">
        <v>78</v>
      </c>
      <c r="L676">
        <v>12</v>
      </c>
      <c r="M676">
        <v>960</v>
      </c>
      <c r="N676">
        <v>-1</v>
      </c>
      <c r="O676">
        <v>-78</v>
      </c>
      <c r="X676">
        <v>12</v>
      </c>
      <c r="Y676">
        <v>960</v>
      </c>
      <c r="Z676" s="3">
        <f t="shared" si="10"/>
        <v>78</v>
      </c>
    </row>
    <row r="677" spans="1:26" hidden="1">
      <c r="A677" t="s">
        <v>707</v>
      </c>
      <c r="B677" s="6">
        <v>44287</v>
      </c>
      <c r="C677" s="6">
        <v>44651</v>
      </c>
      <c r="D677">
        <v>20210401</v>
      </c>
      <c r="E677">
        <v>20220331</v>
      </c>
      <c r="F677" t="s">
        <v>6479</v>
      </c>
      <c r="G677" t="s">
        <v>6480</v>
      </c>
      <c r="H677" t="s">
        <v>590</v>
      </c>
      <c r="I677" t="s">
        <v>1462</v>
      </c>
      <c r="J677">
        <v>8</v>
      </c>
      <c r="K677">
        <v>288</v>
      </c>
      <c r="L677">
        <v>30</v>
      </c>
      <c r="M677">
        <v>1134</v>
      </c>
      <c r="N677">
        <v>-16</v>
      </c>
      <c r="O677">
        <v>-665.12</v>
      </c>
      <c r="X677">
        <v>22</v>
      </c>
      <c r="Y677">
        <v>756.88</v>
      </c>
      <c r="Z677" s="3">
        <f t="shared" si="10"/>
        <v>41.57</v>
      </c>
    </row>
    <row r="678" spans="1:26" hidden="1">
      <c r="A678" t="s">
        <v>707</v>
      </c>
      <c r="B678" s="6">
        <v>44287</v>
      </c>
      <c r="C678" s="6">
        <v>44651</v>
      </c>
      <c r="D678">
        <v>20210401</v>
      </c>
      <c r="E678">
        <v>20220331</v>
      </c>
      <c r="F678" t="s">
        <v>6481</v>
      </c>
      <c r="G678" t="s">
        <v>6482</v>
      </c>
      <c r="H678" t="s">
        <v>590</v>
      </c>
      <c r="I678" t="s">
        <v>1462</v>
      </c>
      <c r="L678">
        <v>6</v>
      </c>
      <c r="M678">
        <v>510</v>
      </c>
      <c r="N678">
        <v>-11</v>
      </c>
      <c r="O678">
        <v>-935</v>
      </c>
      <c r="X678">
        <v>-5</v>
      </c>
      <c r="Y678">
        <v>-425</v>
      </c>
      <c r="Z678" s="3">
        <f t="shared" si="10"/>
        <v>85</v>
      </c>
    </row>
    <row r="679" spans="1:26" hidden="1">
      <c r="A679" t="s">
        <v>707</v>
      </c>
      <c r="B679" s="6">
        <v>44287</v>
      </c>
      <c r="C679" s="6">
        <v>44651</v>
      </c>
      <c r="D679">
        <v>20210401</v>
      </c>
      <c r="E679">
        <v>20220331</v>
      </c>
      <c r="F679" t="s">
        <v>3350</v>
      </c>
      <c r="G679" t="s">
        <v>3351</v>
      </c>
      <c r="H679" t="s">
        <v>590</v>
      </c>
      <c r="I679" t="s">
        <v>1462</v>
      </c>
      <c r="J679">
        <v>7</v>
      </c>
      <c r="K679">
        <v>112</v>
      </c>
      <c r="N679">
        <v>-1</v>
      </c>
      <c r="O679">
        <v>-16</v>
      </c>
      <c r="X679">
        <v>6</v>
      </c>
      <c r="Y679">
        <v>96</v>
      </c>
      <c r="Z679" s="3">
        <f t="shared" si="10"/>
        <v>16</v>
      </c>
    </row>
    <row r="680" spans="1:26" hidden="1">
      <c r="A680" t="s">
        <v>707</v>
      </c>
      <c r="B680" s="6">
        <v>44287</v>
      </c>
      <c r="C680" s="6">
        <v>44651</v>
      </c>
      <c r="D680">
        <v>20210401</v>
      </c>
      <c r="E680">
        <v>20220331</v>
      </c>
      <c r="F680" t="s">
        <v>6483</v>
      </c>
      <c r="G680" t="s">
        <v>6484</v>
      </c>
      <c r="H680" t="s">
        <v>590</v>
      </c>
      <c r="I680" t="s">
        <v>1462</v>
      </c>
      <c r="K680">
        <v>0.01</v>
      </c>
      <c r="L680">
        <v>12</v>
      </c>
      <c r="M680">
        <v>144</v>
      </c>
      <c r="N680">
        <v>-2</v>
      </c>
      <c r="O680">
        <v>-24</v>
      </c>
      <c r="X680">
        <v>10</v>
      </c>
      <c r="Y680">
        <v>120.01</v>
      </c>
      <c r="Z680" s="3">
        <f t="shared" si="10"/>
        <v>12</v>
      </c>
    </row>
    <row r="681" spans="1:26" hidden="1">
      <c r="A681" t="s">
        <v>707</v>
      </c>
      <c r="B681" s="6">
        <v>44287</v>
      </c>
      <c r="C681" s="6">
        <v>44651</v>
      </c>
      <c r="D681">
        <v>20210401</v>
      </c>
      <c r="E681">
        <v>20220331</v>
      </c>
      <c r="F681" t="s">
        <v>6485</v>
      </c>
      <c r="G681" t="s">
        <v>6486</v>
      </c>
      <c r="H681" t="s">
        <v>590</v>
      </c>
      <c r="I681" t="s">
        <v>1462</v>
      </c>
      <c r="J681">
        <v>4</v>
      </c>
      <c r="K681">
        <v>550.66</v>
      </c>
      <c r="L681">
        <v>12</v>
      </c>
      <c r="M681">
        <v>1560</v>
      </c>
      <c r="X681">
        <v>16</v>
      </c>
      <c r="Y681">
        <v>2110.66</v>
      </c>
      <c r="Z681" s="3">
        <f t="shared" si="10"/>
        <v>131.91624999999999</v>
      </c>
    </row>
    <row r="682" spans="1:26" hidden="1">
      <c r="A682" t="s">
        <v>707</v>
      </c>
      <c r="B682" s="6">
        <v>44287</v>
      </c>
      <c r="C682" s="6">
        <v>44651</v>
      </c>
      <c r="D682">
        <v>20210401</v>
      </c>
      <c r="E682">
        <v>20220331</v>
      </c>
      <c r="F682" t="s">
        <v>3356</v>
      </c>
      <c r="G682" t="s">
        <v>3357</v>
      </c>
      <c r="H682" t="s">
        <v>590</v>
      </c>
      <c r="I682" t="s">
        <v>1462</v>
      </c>
      <c r="L682">
        <v>4</v>
      </c>
      <c r="M682">
        <v>480</v>
      </c>
      <c r="N682">
        <v>-4</v>
      </c>
      <c r="O682">
        <v>-480</v>
      </c>
      <c r="Z682" s="3">
        <f t="shared" si="10"/>
        <v>120</v>
      </c>
    </row>
    <row r="683" spans="1:26" hidden="1">
      <c r="A683" t="s">
        <v>707</v>
      </c>
      <c r="B683" s="6">
        <v>44287</v>
      </c>
      <c r="C683" s="6">
        <v>44651</v>
      </c>
      <c r="D683">
        <v>20210401</v>
      </c>
      <c r="E683">
        <v>20220331</v>
      </c>
      <c r="F683" t="s">
        <v>6487</v>
      </c>
      <c r="G683" t="s">
        <v>6488</v>
      </c>
      <c r="H683" t="s">
        <v>590</v>
      </c>
      <c r="I683" t="s">
        <v>1462</v>
      </c>
      <c r="J683">
        <v>1</v>
      </c>
      <c r="K683">
        <v>13616.67</v>
      </c>
      <c r="X683">
        <v>1</v>
      </c>
      <c r="Y683">
        <v>13616.67</v>
      </c>
      <c r="Z683" s="3">
        <f t="shared" si="10"/>
        <v>13616.67</v>
      </c>
    </row>
    <row r="684" spans="1:26" hidden="1">
      <c r="A684" t="s">
        <v>707</v>
      </c>
      <c r="B684" s="6">
        <v>44287</v>
      </c>
      <c r="C684" s="6">
        <v>44651</v>
      </c>
      <c r="D684">
        <v>20210401</v>
      </c>
      <c r="E684">
        <v>20220331</v>
      </c>
      <c r="F684" t="s">
        <v>6489</v>
      </c>
      <c r="G684" t="s">
        <v>6490</v>
      </c>
      <c r="H684" t="s">
        <v>590</v>
      </c>
      <c r="I684" t="s">
        <v>1462</v>
      </c>
      <c r="L684">
        <v>4</v>
      </c>
      <c r="M684">
        <v>180</v>
      </c>
      <c r="X684">
        <v>4</v>
      </c>
      <c r="Y684">
        <v>180</v>
      </c>
      <c r="Z684" s="3">
        <f t="shared" si="10"/>
        <v>45</v>
      </c>
    </row>
    <row r="685" spans="1:26" hidden="1">
      <c r="A685" t="s">
        <v>707</v>
      </c>
      <c r="B685" s="6">
        <v>44287</v>
      </c>
      <c r="C685" s="6">
        <v>44651</v>
      </c>
      <c r="D685">
        <v>20210401</v>
      </c>
      <c r="E685">
        <v>20220331</v>
      </c>
      <c r="F685" t="s">
        <v>6491</v>
      </c>
      <c r="G685" t="s">
        <v>6492</v>
      </c>
      <c r="H685" t="s">
        <v>590</v>
      </c>
      <c r="I685" t="s">
        <v>1462</v>
      </c>
      <c r="J685">
        <v>6</v>
      </c>
      <c r="K685">
        <v>390</v>
      </c>
      <c r="L685">
        <v>6</v>
      </c>
      <c r="M685">
        <v>402</v>
      </c>
      <c r="N685">
        <v>-6</v>
      </c>
      <c r="O685">
        <v>-396</v>
      </c>
      <c r="X685">
        <v>6</v>
      </c>
      <c r="Y685">
        <v>396</v>
      </c>
      <c r="Z685" s="3">
        <f t="shared" si="10"/>
        <v>66</v>
      </c>
    </row>
    <row r="686" spans="1:26" hidden="1">
      <c r="A686" t="s">
        <v>707</v>
      </c>
      <c r="B686" s="6">
        <v>44287</v>
      </c>
      <c r="C686" s="6">
        <v>44651</v>
      </c>
      <c r="D686">
        <v>20210401</v>
      </c>
      <c r="E686">
        <v>20220331</v>
      </c>
      <c r="F686" t="s">
        <v>3368</v>
      </c>
      <c r="G686" t="s">
        <v>3369</v>
      </c>
      <c r="H686" t="s">
        <v>590</v>
      </c>
      <c r="I686" t="s">
        <v>1462</v>
      </c>
      <c r="L686">
        <v>8</v>
      </c>
      <c r="M686">
        <v>640.20000000000005</v>
      </c>
      <c r="N686">
        <v>-8</v>
      </c>
      <c r="O686">
        <v>-640.20000000000005</v>
      </c>
      <c r="Z686" s="3">
        <f t="shared" si="10"/>
        <v>80.025000000000006</v>
      </c>
    </row>
    <row r="687" spans="1:26" hidden="1">
      <c r="A687" t="s">
        <v>707</v>
      </c>
      <c r="B687" s="6">
        <v>44287</v>
      </c>
      <c r="C687" s="6">
        <v>44651</v>
      </c>
      <c r="D687">
        <v>20210401</v>
      </c>
      <c r="E687">
        <v>20220331</v>
      </c>
      <c r="F687" t="s">
        <v>6493</v>
      </c>
      <c r="G687" t="s">
        <v>6494</v>
      </c>
      <c r="H687" t="s">
        <v>590</v>
      </c>
      <c r="I687" t="s">
        <v>1462</v>
      </c>
      <c r="L687">
        <v>8</v>
      </c>
      <c r="M687">
        <v>2208.86</v>
      </c>
      <c r="X687">
        <v>8</v>
      </c>
      <c r="Y687">
        <v>2208.86</v>
      </c>
      <c r="Z687" s="3">
        <f t="shared" si="10"/>
        <v>276.10750000000002</v>
      </c>
    </row>
    <row r="688" spans="1:26" hidden="1">
      <c r="A688" t="s">
        <v>707</v>
      </c>
      <c r="B688" s="6">
        <v>44287</v>
      </c>
      <c r="C688" s="6">
        <v>44651</v>
      </c>
      <c r="D688">
        <v>20210401</v>
      </c>
      <c r="E688">
        <v>20220331</v>
      </c>
      <c r="F688" t="s">
        <v>6495</v>
      </c>
      <c r="G688" t="s">
        <v>6496</v>
      </c>
      <c r="H688" t="s">
        <v>590</v>
      </c>
      <c r="I688" t="s">
        <v>1462</v>
      </c>
      <c r="L688">
        <v>12</v>
      </c>
      <c r="M688">
        <v>1104</v>
      </c>
      <c r="X688">
        <v>12</v>
      </c>
      <c r="Y688">
        <v>1104</v>
      </c>
      <c r="Z688" s="3">
        <f t="shared" si="10"/>
        <v>92</v>
      </c>
    </row>
    <row r="689" spans="1:26" hidden="1">
      <c r="A689" t="s">
        <v>707</v>
      </c>
      <c r="B689" s="6">
        <v>44287</v>
      </c>
      <c r="C689" s="6">
        <v>44651</v>
      </c>
      <c r="D689">
        <v>20210401</v>
      </c>
      <c r="E689">
        <v>20220331</v>
      </c>
      <c r="F689" t="s">
        <v>6497</v>
      </c>
      <c r="G689" t="s">
        <v>6498</v>
      </c>
      <c r="H689" t="s">
        <v>590</v>
      </c>
      <c r="I689" t="s">
        <v>1462</v>
      </c>
      <c r="J689">
        <v>9</v>
      </c>
      <c r="K689">
        <v>153</v>
      </c>
      <c r="N689">
        <v>-5</v>
      </c>
      <c r="O689">
        <v>-85</v>
      </c>
      <c r="X689">
        <v>4</v>
      </c>
      <c r="Y689">
        <v>68</v>
      </c>
      <c r="Z689" s="3">
        <f t="shared" si="10"/>
        <v>17</v>
      </c>
    </row>
    <row r="690" spans="1:26" hidden="1">
      <c r="A690" t="s">
        <v>707</v>
      </c>
      <c r="B690" s="6">
        <v>44287</v>
      </c>
      <c r="C690" s="6">
        <v>44651</v>
      </c>
      <c r="D690">
        <v>20210401</v>
      </c>
      <c r="E690">
        <v>20220331</v>
      </c>
      <c r="F690" t="s">
        <v>3374</v>
      </c>
      <c r="G690" t="s">
        <v>3375</v>
      </c>
      <c r="H690" t="s">
        <v>590</v>
      </c>
      <c r="I690" t="s">
        <v>1462</v>
      </c>
      <c r="L690">
        <v>12</v>
      </c>
      <c r="M690">
        <v>1476</v>
      </c>
      <c r="N690">
        <v>-11</v>
      </c>
      <c r="O690">
        <v>-1353</v>
      </c>
      <c r="X690">
        <v>1</v>
      </c>
      <c r="Y690">
        <v>123</v>
      </c>
      <c r="Z690" s="3">
        <f t="shared" si="10"/>
        <v>123</v>
      </c>
    </row>
    <row r="691" spans="1:26" hidden="1">
      <c r="A691" t="s">
        <v>707</v>
      </c>
      <c r="B691" s="6">
        <v>44287</v>
      </c>
      <c r="C691" s="6">
        <v>44651</v>
      </c>
      <c r="D691">
        <v>20210401</v>
      </c>
      <c r="E691">
        <v>20220331</v>
      </c>
      <c r="F691" t="s">
        <v>6499</v>
      </c>
      <c r="G691" t="s">
        <v>6500</v>
      </c>
      <c r="H691" t="s">
        <v>590</v>
      </c>
      <c r="I691" t="s">
        <v>1462</v>
      </c>
      <c r="L691">
        <v>2</v>
      </c>
      <c r="M691">
        <v>640</v>
      </c>
      <c r="N691">
        <v>-2</v>
      </c>
      <c r="O691">
        <v>-640</v>
      </c>
      <c r="Z691" s="3">
        <f t="shared" si="10"/>
        <v>320</v>
      </c>
    </row>
    <row r="692" spans="1:26" hidden="1">
      <c r="A692" t="s">
        <v>707</v>
      </c>
      <c r="B692" s="6">
        <v>44287</v>
      </c>
      <c r="C692" s="6">
        <v>44651</v>
      </c>
      <c r="D692">
        <v>20210401</v>
      </c>
      <c r="E692">
        <v>20220331</v>
      </c>
      <c r="F692" t="s">
        <v>6501</v>
      </c>
      <c r="G692" t="s">
        <v>6502</v>
      </c>
      <c r="H692" t="s">
        <v>590</v>
      </c>
      <c r="I692" t="s">
        <v>1462</v>
      </c>
      <c r="L692">
        <v>9</v>
      </c>
      <c r="M692">
        <v>144</v>
      </c>
      <c r="X692">
        <v>9</v>
      </c>
      <c r="Y692">
        <v>144</v>
      </c>
      <c r="Z692" s="3">
        <f t="shared" si="10"/>
        <v>16</v>
      </c>
    </row>
    <row r="693" spans="1:26" hidden="1">
      <c r="A693" t="s">
        <v>707</v>
      </c>
      <c r="B693" s="6">
        <v>44287</v>
      </c>
      <c r="C693" s="6">
        <v>44651</v>
      </c>
      <c r="D693">
        <v>20210401</v>
      </c>
      <c r="E693">
        <v>20220331</v>
      </c>
      <c r="F693" t="s">
        <v>6503</v>
      </c>
      <c r="G693" t="s">
        <v>6504</v>
      </c>
      <c r="H693" t="s">
        <v>590</v>
      </c>
      <c r="I693" t="s">
        <v>1462</v>
      </c>
      <c r="L693">
        <v>9</v>
      </c>
      <c r="M693">
        <v>225</v>
      </c>
      <c r="X693">
        <v>9</v>
      </c>
      <c r="Y693">
        <v>225</v>
      </c>
      <c r="Z693" s="3">
        <f t="shared" si="10"/>
        <v>25</v>
      </c>
    </row>
    <row r="694" spans="1:26" hidden="1">
      <c r="A694" t="s">
        <v>707</v>
      </c>
      <c r="B694" s="6">
        <v>44287</v>
      </c>
      <c r="C694" s="6">
        <v>44651</v>
      </c>
      <c r="D694">
        <v>20210401</v>
      </c>
      <c r="E694">
        <v>20220331</v>
      </c>
      <c r="F694" t="s">
        <v>6505</v>
      </c>
      <c r="G694" t="s">
        <v>6506</v>
      </c>
      <c r="H694" t="s">
        <v>590</v>
      </c>
      <c r="I694" t="s">
        <v>1462</v>
      </c>
      <c r="J694">
        <v>5</v>
      </c>
      <c r="K694">
        <v>455.05</v>
      </c>
      <c r="N694">
        <v>-2</v>
      </c>
      <c r="O694">
        <v>-182.02</v>
      </c>
      <c r="X694">
        <v>3</v>
      </c>
      <c r="Y694">
        <v>273.02999999999997</v>
      </c>
      <c r="Z694" s="3">
        <f t="shared" si="10"/>
        <v>91.01</v>
      </c>
    </row>
    <row r="695" spans="1:26" hidden="1">
      <c r="A695" t="s">
        <v>707</v>
      </c>
      <c r="B695" s="6">
        <v>44287</v>
      </c>
      <c r="C695" s="6">
        <v>44651</v>
      </c>
      <c r="D695">
        <v>20210401</v>
      </c>
      <c r="E695">
        <v>20220331</v>
      </c>
      <c r="F695" t="s">
        <v>6507</v>
      </c>
      <c r="G695" t="s">
        <v>6508</v>
      </c>
      <c r="I695" t="s">
        <v>1462</v>
      </c>
      <c r="J695">
        <v>9</v>
      </c>
      <c r="K695">
        <v>1256.1300000000001</v>
      </c>
      <c r="L695">
        <v>3</v>
      </c>
      <c r="M695">
        <v>495.26</v>
      </c>
      <c r="N695">
        <v>-8</v>
      </c>
      <c r="O695">
        <v>-1113.99</v>
      </c>
      <c r="X695">
        <v>4</v>
      </c>
      <c r="Y695">
        <v>637.4</v>
      </c>
      <c r="Z695" s="3">
        <f t="shared" si="10"/>
        <v>139.24875</v>
      </c>
    </row>
    <row r="696" spans="1:26" hidden="1">
      <c r="A696" t="s">
        <v>707</v>
      </c>
      <c r="B696" s="6">
        <v>44287</v>
      </c>
      <c r="C696" s="6">
        <v>44651</v>
      </c>
      <c r="D696">
        <v>20210401</v>
      </c>
      <c r="E696">
        <v>20220331</v>
      </c>
      <c r="F696" t="s">
        <v>6509</v>
      </c>
      <c r="G696" t="s">
        <v>6510</v>
      </c>
      <c r="H696" t="s">
        <v>590</v>
      </c>
      <c r="I696" t="s">
        <v>1462</v>
      </c>
      <c r="L696">
        <v>1</v>
      </c>
      <c r="M696">
        <v>2650</v>
      </c>
      <c r="X696">
        <v>1</v>
      </c>
      <c r="Y696">
        <v>2650</v>
      </c>
      <c r="Z696" s="3">
        <f t="shared" si="10"/>
        <v>2650</v>
      </c>
    </row>
    <row r="697" spans="1:26" hidden="1">
      <c r="A697" t="s">
        <v>707</v>
      </c>
      <c r="B697" s="6">
        <v>44287</v>
      </c>
      <c r="C697" s="6">
        <v>44651</v>
      </c>
      <c r="D697">
        <v>20210401</v>
      </c>
      <c r="E697">
        <v>20220331</v>
      </c>
      <c r="F697" t="s">
        <v>6511</v>
      </c>
      <c r="G697" t="s">
        <v>6512</v>
      </c>
      <c r="H697" t="s">
        <v>590</v>
      </c>
      <c r="I697" t="s">
        <v>1462</v>
      </c>
      <c r="L697">
        <v>7</v>
      </c>
      <c r="M697">
        <v>858</v>
      </c>
      <c r="N697">
        <v>-2</v>
      </c>
      <c r="O697">
        <v>-245.14</v>
      </c>
      <c r="X697">
        <v>5</v>
      </c>
      <c r="Y697">
        <v>612.86</v>
      </c>
      <c r="Z697" s="3">
        <f t="shared" si="10"/>
        <v>122.57</v>
      </c>
    </row>
    <row r="698" spans="1:26" hidden="1">
      <c r="A698" t="s">
        <v>707</v>
      </c>
      <c r="B698" s="6">
        <v>44287</v>
      </c>
      <c r="C698" s="6">
        <v>44651</v>
      </c>
      <c r="D698">
        <v>20210401</v>
      </c>
      <c r="E698">
        <v>20220331</v>
      </c>
      <c r="F698" t="s">
        <v>6513</v>
      </c>
      <c r="G698" t="s">
        <v>6514</v>
      </c>
      <c r="H698" t="s">
        <v>590</v>
      </c>
      <c r="I698" t="s">
        <v>1462</v>
      </c>
      <c r="J698">
        <v>6</v>
      </c>
      <c r="K698">
        <v>1506</v>
      </c>
      <c r="N698">
        <v>-6</v>
      </c>
      <c r="O698">
        <v>-1506</v>
      </c>
      <c r="Z698" s="3">
        <f t="shared" si="10"/>
        <v>251</v>
      </c>
    </row>
    <row r="699" spans="1:26" hidden="1">
      <c r="A699" t="s">
        <v>707</v>
      </c>
      <c r="B699" s="6">
        <v>44287</v>
      </c>
      <c r="C699" s="6">
        <v>44651</v>
      </c>
      <c r="D699">
        <v>20210401</v>
      </c>
      <c r="E699">
        <v>20220331</v>
      </c>
      <c r="F699" t="s">
        <v>6515</v>
      </c>
      <c r="G699" t="s">
        <v>6516</v>
      </c>
      <c r="H699" t="s">
        <v>590</v>
      </c>
      <c r="I699" t="s">
        <v>1462</v>
      </c>
      <c r="L699">
        <v>12</v>
      </c>
      <c r="M699">
        <v>393</v>
      </c>
      <c r="N699">
        <v>-2</v>
      </c>
      <c r="O699">
        <v>-160</v>
      </c>
      <c r="X699">
        <v>10</v>
      </c>
      <c r="Y699">
        <v>233</v>
      </c>
      <c r="Z699" s="3">
        <f t="shared" si="10"/>
        <v>80</v>
      </c>
    </row>
    <row r="700" spans="1:26" hidden="1">
      <c r="A700" t="s">
        <v>707</v>
      </c>
      <c r="B700" s="6">
        <v>44287</v>
      </c>
      <c r="C700" s="6">
        <v>44651</v>
      </c>
      <c r="D700">
        <v>20210401</v>
      </c>
      <c r="E700">
        <v>20220331</v>
      </c>
      <c r="F700" t="s">
        <v>6517</v>
      </c>
      <c r="G700" t="s">
        <v>6518</v>
      </c>
      <c r="I700" t="s">
        <v>1462</v>
      </c>
      <c r="L700">
        <v>4</v>
      </c>
      <c r="M700">
        <v>1000</v>
      </c>
      <c r="X700">
        <v>4</v>
      </c>
      <c r="Y700">
        <v>1000</v>
      </c>
      <c r="Z700" s="3">
        <f t="shared" si="10"/>
        <v>250</v>
      </c>
    </row>
    <row r="701" spans="1:26" hidden="1">
      <c r="A701" t="s">
        <v>707</v>
      </c>
      <c r="B701" s="6">
        <v>44287</v>
      </c>
      <c r="C701" s="6">
        <v>44651</v>
      </c>
      <c r="D701">
        <v>20210401</v>
      </c>
      <c r="E701">
        <v>20220331</v>
      </c>
      <c r="F701" t="s">
        <v>6519</v>
      </c>
      <c r="G701" t="s">
        <v>6520</v>
      </c>
      <c r="H701" t="s">
        <v>590</v>
      </c>
      <c r="I701" t="s">
        <v>1462</v>
      </c>
      <c r="L701">
        <v>12</v>
      </c>
      <c r="M701">
        <v>864</v>
      </c>
      <c r="N701">
        <v>-12</v>
      </c>
      <c r="O701">
        <v>-864</v>
      </c>
      <c r="Z701" s="3">
        <f t="shared" si="10"/>
        <v>72</v>
      </c>
    </row>
    <row r="702" spans="1:26" hidden="1">
      <c r="A702" t="s">
        <v>707</v>
      </c>
      <c r="B702" s="6">
        <v>44287</v>
      </c>
      <c r="C702" s="6">
        <v>44651</v>
      </c>
      <c r="D702">
        <v>20210401</v>
      </c>
      <c r="E702">
        <v>20220331</v>
      </c>
      <c r="F702" t="s">
        <v>6521</v>
      </c>
      <c r="G702" t="s">
        <v>6522</v>
      </c>
      <c r="I702" t="s">
        <v>1462</v>
      </c>
      <c r="J702">
        <v>4</v>
      </c>
      <c r="K702">
        <v>326.8</v>
      </c>
      <c r="X702">
        <v>4</v>
      </c>
      <c r="Y702">
        <v>326.8</v>
      </c>
      <c r="Z702" s="3">
        <f t="shared" si="10"/>
        <v>81.7</v>
      </c>
    </row>
    <row r="703" spans="1:26" hidden="1">
      <c r="A703" t="s">
        <v>707</v>
      </c>
      <c r="B703" s="6">
        <v>44287</v>
      </c>
      <c r="C703" s="6">
        <v>44651</v>
      </c>
      <c r="D703">
        <v>20210401</v>
      </c>
      <c r="E703">
        <v>20220331</v>
      </c>
      <c r="F703" t="s">
        <v>6523</v>
      </c>
      <c r="G703" t="s">
        <v>6524</v>
      </c>
      <c r="H703" t="s">
        <v>590</v>
      </c>
      <c r="I703" t="s">
        <v>1462</v>
      </c>
      <c r="J703">
        <v>2</v>
      </c>
      <c r="K703">
        <v>22</v>
      </c>
      <c r="L703">
        <v>9</v>
      </c>
      <c r="M703">
        <v>675</v>
      </c>
      <c r="X703">
        <v>11</v>
      </c>
      <c r="Y703">
        <v>697</v>
      </c>
      <c r="Z703" s="3">
        <f t="shared" si="10"/>
        <v>63.363636363636367</v>
      </c>
    </row>
    <row r="704" spans="1:26" hidden="1">
      <c r="A704" t="s">
        <v>707</v>
      </c>
      <c r="B704" s="6">
        <v>44287</v>
      </c>
      <c r="C704" s="6">
        <v>44651</v>
      </c>
      <c r="D704">
        <v>20210401</v>
      </c>
      <c r="E704">
        <v>20220331</v>
      </c>
      <c r="F704" t="s">
        <v>6525</v>
      </c>
      <c r="G704" t="s">
        <v>6526</v>
      </c>
      <c r="H704" t="s">
        <v>590</v>
      </c>
      <c r="I704" t="s">
        <v>1462</v>
      </c>
      <c r="J704">
        <v>11</v>
      </c>
      <c r="K704">
        <v>369.07</v>
      </c>
      <c r="N704">
        <v>-4</v>
      </c>
      <c r="O704">
        <v>-134.19999999999999</v>
      </c>
      <c r="X704">
        <v>7</v>
      </c>
      <c r="Y704">
        <v>234.87</v>
      </c>
      <c r="Z704" s="3">
        <f t="shared" si="10"/>
        <v>33.549999999999997</v>
      </c>
    </row>
    <row r="705" spans="1:26" hidden="1">
      <c r="A705" t="s">
        <v>707</v>
      </c>
      <c r="B705" s="6">
        <v>44287</v>
      </c>
      <c r="C705" s="6">
        <v>44651</v>
      </c>
      <c r="D705">
        <v>20210401</v>
      </c>
      <c r="E705">
        <v>20220331</v>
      </c>
      <c r="F705" t="s">
        <v>6527</v>
      </c>
      <c r="G705" t="s">
        <v>6528</v>
      </c>
      <c r="H705" t="s">
        <v>590</v>
      </c>
      <c r="I705" t="s">
        <v>1462</v>
      </c>
      <c r="J705">
        <v>10</v>
      </c>
      <c r="K705">
        <v>320</v>
      </c>
      <c r="N705">
        <v>-2</v>
      </c>
      <c r="O705">
        <v>-64</v>
      </c>
      <c r="X705">
        <v>8</v>
      </c>
      <c r="Y705">
        <v>256</v>
      </c>
      <c r="Z705" s="3">
        <f t="shared" si="10"/>
        <v>32</v>
      </c>
    </row>
    <row r="706" spans="1:26" hidden="1">
      <c r="A706" t="s">
        <v>707</v>
      </c>
      <c r="B706" s="6">
        <v>44287</v>
      </c>
      <c r="C706" s="6">
        <v>44651</v>
      </c>
      <c r="D706">
        <v>20210401</v>
      </c>
      <c r="E706">
        <v>20220331</v>
      </c>
      <c r="F706" t="s">
        <v>6529</v>
      </c>
      <c r="G706" t="s">
        <v>6530</v>
      </c>
      <c r="H706" t="s">
        <v>590</v>
      </c>
      <c r="I706" t="s">
        <v>1462</v>
      </c>
      <c r="J706">
        <v>2</v>
      </c>
      <c r="K706">
        <v>144</v>
      </c>
      <c r="X706">
        <v>2</v>
      </c>
      <c r="Y706">
        <v>144</v>
      </c>
      <c r="Z706" s="3">
        <f t="shared" si="10"/>
        <v>72</v>
      </c>
    </row>
    <row r="707" spans="1:26" hidden="1">
      <c r="A707" t="s">
        <v>707</v>
      </c>
      <c r="B707" s="6">
        <v>44287</v>
      </c>
      <c r="C707" s="6">
        <v>44651</v>
      </c>
      <c r="D707">
        <v>20210401</v>
      </c>
      <c r="E707">
        <v>20220331</v>
      </c>
      <c r="F707" t="s">
        <v>6531</v>
      </c>
      <c r="G707" t="s">
        <v>6532</v>
      </c>
      <c r="H707" t="s">
        <v>590</v>
      </c>
      <c r="I707" t="s">
        <v>1462</v>
      </c>
      <c r="J707">
        <v>10</v>
      </c>
      <c r="K707">
        <v>942.2</v>
      </c>
      <c r="N707">
        <v>-2</v>
      </c>
      <c r="O707">
        <v>-188.44</v>
      </c>
      <c r="X707">
        <v>8</v>
      </c>
      <c r="Y707">
        <v>753.76</v>
      </c>
      <c r="Z707" s="3">
        <f t="shared" ref="Z707:Z770" si="11">IFERROR((O707+Q707)/(N707+P707),Y707/X707)</f>
        <v>94.22</v>
      </c>
    </row>
    <row r="708" spans="1:26" hidden="1">
      <c r="A708" t="s">
        <v>707</v>
      </c>
      <c r="B708" s="6">
        <v>44287</v>
      </c>
      <c r="C708" s="6">
        <v>44651</v>
      </c>
      <c r="D708">
        <v>20210401</v>
      </c>
      <c r="E708">
        <v>20220331</v>
      </c>
      <c r="F708" t="s">
        <v>6533</v>
      </c>
      <c r="G708" t="s">
        <v>6534</v>
      </c>
      <c r="H708" t="s">
        <v>590</v>
      </c>
      <c r="I708" t="s">
        <v>1462</v>
      </c>
      <c r="J708">
        <v>7</v>
      </c>
      <c r="K708">
        <v>97.2</v>
      </c>
      <c r="L708">
        <v>12</v>
      </c>
      <c r="M708">
        <v>240</v>
      </c>
      <c r="N708">
        <v>-17</v>
      </c>
      <c r="O708">
        <v>-300.14999999999998</v>
      </c>
      <c r="X708">
        <v>2</v>
      </c>
      <c r="Y708">
        <v>37.049999999999997</v>
      </c>
      <c r="Z708" s="3">
        <f t="shared" si="11"/>
        <v>17.655882352941177</v>
      </c>
    </row>
    <row r="709" spans="1:26" hidden="1">
      <c r="A709" t="s">
        <v>707</v>
      </c>
      <c r="B709" s="6">
        <v>44287</v>
      </c>
      <c r="C709" s="6">
        <v>44651</v>
      </c>
      <c r="D709">
        <v>20210401</v>
      </c>
      <c r="E709">
        <v>20220331</v>
      </c>
      <c r="F709" t="s">
        <v>6535</v>
      </c>
      <c r="G709" t="s">
        <v>6536</v>
      </c>
      <c r="H709" t="s">
        <v>590</v>
      </c>
      <c r="I709" t="s">
        <v>1462</v>
      </c>
      <c r="J709">
        <v>14</v>
      </c>
      <c r="K709">
        <v>2317</v>
      </c>
      <c r="N709">
        <v>-1</v>
      </c>
      <c r="O709">
        <v>-165.5</v>
      </c>
      <c r="X709">
        <v>13</v>
      </c>
      <c r="Y709">
        <v>2151.5</v>
      </c>
      <c r="Z709" s="3">
        <f t="shared" si="11"/>
        <v>165.5</v>
      </c>
    </row>
    <row r="710" spans="1:26" hidden="1">
      <c r="A710" t="s">
        <v>707</v>
      </c>
      <c r="B710" s="6">
        <v>44287</v>
      </c>
      <c r="C710" s="6">
        <v>44651</v>
      </c>
      <c r="D710">
        <v>20210401</v>
      </c>
      <c r="E710">
        <v>20220331</v>
      </c>
      <c r="F710" t="s">
        <v>6537</v>
      </c>
      <c r="G710" t="s">
        <v>6538</v>
      </c>
      <c r="H710" t="s">
        <v>590</v>
      </c>
      <c r="I710" t="s">
        <v>1462</v>
      </c>
      <c r="N710">
        <v>-1</v>
      </c>
      <c r="O710">
        <v>-750</v>
      </c>
      <c r="X710">
        <v>-1</v>
      </c>
      <c r="Y710">
        <v>-750</v>
      </c>
      <c r="Z710" s="3">
        <f t="shared" si="11"/>
        <v>750</v>
      </c>
    </row>
    <row r="711" spans="1:26" hidden="1">
      <c r="A711" t="s">
        <v>707</v>
      </c>
      <c r="B711" s="6">
        <v>44287</v>
      </c>
      <c r="C711" s="6">
        <v>44651</v>
      </c>
      <c r="D711">
        <v>20210401</v>
      </c>
      <c r="E711">
        <v>20220331</v>
      </c>
      <c r="F711" t="s">
        <v>6539</v>
      </c>
      <c r="G711" t="s">
        <v>6540</v>
      </c>
      <c r="I711" t="s">
        <v>1462</v>
      </c>
      <c r="J711">
        <v>2</v>
      </c>
      <c r="K711">
        <v>233.7</v>
      </c>
      <c r="N711">
        <v>-1</v>
      </c>
      <c r="O711">
        <v>-116.85</v>
      </c>
      <c r="X711">
        <v>1</v>
      </c>
      <c r="Y711">
        <v>116.85</v>
      </c>
      <c r="Z711" s="3">
        <f t="shared" si="11"/>
        <v>116.85</v>
      </c>
    </row>
    <row r="712" spans="1:26" hidden="1">
      <c r="A712" t="s">
        <v>707</v>
      </c>
      <c r="B712" s="6">
        <v>44287</v>
      </c>
      <c r="C712" s="6">
        <v>44651</v>
      </c>
      <c r="D712">
        <v>20210401</v>
      </c>
      <c r="E712">
        <v>20220331</v>
      </c>
      <c r="F712" t="s">
        <v>6541</v>
      </c>
      <c r="G712" t="s">
        <v>6542</v>
      </c>
      <c r="H712" t="s">
        <v>590</v>
      </c>
      <c r="I712" t="s">
        <v>1462</v>
      </c>
      <c r="J712">
        <v>30</v>
      </c>
      <c r="K712">
        <v>3930</v>
      </c>
      <c r="L712">
        <v>30</v>
      </c>
      <c r="M712">
        <v>5100</v>
      </c>
      <c r="N712">
        <v>-14</v>
      </c>
      <c r="O712">
        <v>-1905.64</v>
      </c>
      <c r="X712">
        <v>46</v>
      </c>
      <c r="Y712">
        <v>7124.36</v>
      </c>
      <c r="Z712" s="3">
        <f t="shared" si="11"/>
        <v>136.11714285714285</v>
      </c>
    </row>
    <row r="713" spans="1:26" hidden="1">
      <c r="A713" t="s">
        <v>707</v>
      </c>
      <c r="B713" s="6">
        <v>44287</v>
      </c>
      <c r="C713" s="6">
        <v>44651</v>
      </c>
      <c r="D713">
        <v>20210401</v>
      </c>
      <c r="E713">
        <v>20220331</v>
      </c>
      <c r="F713" t="s">
        <v>3402</v>
      </c>
      <c r="G713" t="s">
        <v>3403</v>
      </c>
      <c r="H713" t="s">
        <v>1267</v>
      </c>
      <c r="I713" t="s">
        <v>1462</v>
      </c>
      <c r="J713">
        <v>210</v>
      </c>
      <c r="K713">
        <v>20264.79</v>
      </c>
      <c r="L713">
        <v>210</v>
      </c>
      <c r="M713">
        <v>22627.49</v>
      </c>
      <c r="N713">
        <v>-420</v>
      </c>
      <c r="O713">
        <v>-42892.29</v>
      </c>
      <c r="Y713">
        <v>-0.01</v>
      </c>
      <c r="Z713" s="3">
        <f t="shared" si="11"/>
        <v>102.1245</v>
      </c>
    </row>
    <row r="714" spans="1:26" hidden="1">
      <c r="A714" t="s">
        <v>707</v>
      </c>
      <c r="B714" s="6">
        <v>44287</v>
      </c>
      <c r="C714" s="6">
        <v>44651</v>
      </c>
      <c r="D714">
        <v>20210401</v>
      </c>
      <c r="E714">
        <v>20220331</v>
      </c>
      <c r="F714" t="s">
        <v>6543</v>
      </c>
      <c r="G714" t="s">
        <v>6544</v>
      </c>
      <c r="H714" t="s">
        <v>1267</v>
      </c>
      <c r="I714" t="s">
        <v>1462</v>
      </c>
      <c r="J714">
        <v>210</v>
      </c>
      <c r="K714">
        <v>16170.4</v>
      </c>
      <c r="X714">
        <v>210</v>
      </c>
      <c r="Y714">
        <v>16170.4</v>
      </c>
      <c r="Z714" s="3">
        <f t="shared" si="11"/>
        <v>77.001904761904754</v>
      </c>
    </row>
    <row r="715" spans="1:26" hidden="1">
      <c r="A715" t="s">
        <v>707</v>
      </c>
      <c r="B715" s="6">
        <v>44287</v>
      </c>
      <c r="C715" s="6">
        <v>44651</v>
      </c>
      <c r="D715">
        <v>20210401</v>
      </c>
      <c r="E715">
        <v>20220331</v>
      </c>
      <c r="F715" t="s">
        <v>3408</v>
      </c>
      <c r="G715" t="s">
        <v>3409</v>
      </c>
      <c r="H715" t="s">
        <v>1267</v>
      </c>
      <c r="I715" t="s">
        <v>1462</v>
      </c>
      <c r="L715">
        <v>208</v>
      </c>
      <c r="M715">
        <v>19662.240000000002</v>
      </c>
      <c r="N715">
        <v>-208</v>
      </c>
      <c r="O715">
        <v>-19662.240000000002</v>
      </c>
      <c r="Z715" s="3">
        <f t="shared" si="11"/>
        <v>94.53</v>
      </c>
    </row>
    <row r="716" spans="1:26" hidden="1">
      <c r="A716" t="s">
        <v>707</v>
      </c>
      <c r="B716" s="6">
        <v>44287</v>
      </c>
      <c r="C716" s="6">
        <v>44651</v>
      </c>
      <c r="D716">
        <v>20210401</v>
      </c>
      <c r="E716">
        <v>20220331</v>
      </c>
      <c r="F716" t="s">
        <v>6545</v>
      </c>
      <c r="G716" t="s">
        <v>6546</v>
      </c>
      <c r="H716" t="s">
        <v>590</v>
      </c>
      <c r="I716" t="s">
        <v>1462</v>
      </c>
      <c r="J716">
        <v>20</v>
      </c>
      <c r="K716">
        <v>3200</v>
      </c>
      <c r="L716">
        <v>25</v>
      </c>
      <c r="M716">
        <v>3250</v>
      </c>
      <c r="N716">
        <v>-45</v>
      </c>
      <c r="O716">
        <v>-6450</v>
      </c>
      <c r="Z716" s="3">
        <f t="shared" si="11"/>
        <v>143.33333333333334</v>
      </c>
    </row>
    <row r="717" spans="1:26" hidden="1">
      <c r="A717" t="s">
        <v>707</v>
      </c>
      <c r="B717" s="6">
        <v>44287</v>
      </c>
      <c r="C717" s="6">
        <v>44651</v>
      </c>
      <c r="D717">
        <v>20210401</v>
      </c>
      <c r="E717">
        <v>20220331</v>
      </c>
      <c r="F717" t="s">
        <v>3410</v>
      </c>
      <c r="G717" t="s">
        <v>3411</v>
      </c>
      <c r="H717" t="s">
        <v>1267</v>
      </c>
      <c r="I717" t="s">
        <v>805</v>
      </c>
      <c r="L717">
        <v>10</v>
      </c>
      <c r="M717">
        <v>4900</v>
      </c>
      <c r="X717">
        <v>10</v>
      </c>
      <c r="Y717">
        <v>4900</v>
      </c>
      <c r="Z717" s="3">
        <f t="shared" si="11"/>
        <v>490</v>
      </c>
    </row>
    <row r="718" spans="1:26" hidden="1">
      <c r="A718" t="s">
        <v>707</v>
      </c>
      <c r="B718" s="6">
        <v>44287</v>
      </c>
      <c r="C718" s="6">
        <v>44651</v>
      </c>
      <c r="D718">
        <v>20210401</v>
      </c>
      <c r="E718">
        <v>20220331</v>
      </c>
      <c r="F718" t="s">
        <v>6547</v>
      </c>
      <c r="G718" t="s">
        <v>6548</v>
      </c>
      <c r="H718" t="s">
        <v>1267</v>
      </c>
      <c r="I718" t="s">
        <v>805</v>
      </c>
      <c r="J718">
        <v>420</v>
      </c>
      <c r="K718">
        <v>52500.01</v>
      </c>
      <c r="L718">
        <v>420</v>
      </c>
      <c r="M718">
        <v>59850</v>
      </c>
      <c r="N718">
        <v>-630</v>
      </c>
      <c r="O718">
        <v>-82950</v>
      </c>
      <c r="X718">
        <v>210</v>
      </c>
      <c r="Y718">
        <v>29400.01</v>
      </c>
      <c r="Z718" s="3">
        <f t="shared" si="11"/>
        <v>131.66666666666666</v>
      </c>
    </row>
    <row r="719" spans="1:26" hidden="1">
      <c r="A719" t="s">
        <v>707</v>
      </c>
      <c r="B719" s="6">
        <v>44287</v>
      </c>
      <c r="C719" s="6">
        <v>44651</v>
      </c>
      <c r="D719">
        <v>20210401</v>
      </c>
      <c r="E719">
        <v>20220331</v>
      </c>
      <c r="F719" t="s">
        <v>3426</v>
      </c>
      <c r="G719" t="s">
        <v>3427</v>
      </c>
      <c r="H719" t="s">
        <v>1267</v>
      </c>
      <c r="I719" t="s">
        <v>1462</v>
      </c>
      <c r="L719">
        <v>40</v>
      </c>
      <c r="M719">
        <v>6572.8</v>
      </c>
      <c r="N719">
        <v>-20</v>
      </c>
      <c r="O719">
        <v>-3286.4</v>
      </c>
      <c r="X719">
        <v>20</v>
      </c>
      <c r="Y719">
        <v>3286.4</v>
      </c>
      <c r="Z719" s="3">
        <f t="shared" si="11"/>
        <v>164.32</v>
      </c>
    </row>
    <row r="720" spans="1:26" hidden="1">
      <c r="A720" t="s">
        <v>707</v>
      </c>
      <c r="B720" s="6">
        <v>44287</v>
      </c>
      <c r="C720" s="6">
        <v>44651</v>
      </c>
      <c r="D720">
        <v>20210401</v>
      </c>
      <c r="E720">
        <v>20220331</v>
      </c>
      <c r="F720" t="s">
        <v>6549</v>
      </c>
      <c r="G720" t="s">
        <v>6550</v>
      </c>
      <c r="I720" t="s">
        <v>1462</v>
      </c>
      <c r="L720">
        <v>210</v>
      </c>
      <c r="M720">
        <v>22606.49</v>
      </c>
      <c r="X720">
        <v>210</v>
      </c>
      <c r="Y720">
        <v>22606.49</v>
      </c>
      <c r="Z720" s="3">
        <f t="shared" si="11"/>
        <v>107.64995238095239</v>
      </c>
    </row>
    <row r="721" spans="1:26" hidden="1">
      <c r="A721" t="s">
        <v>707</v>
      </c>
      <c r="B721" s="6">
        <v>44287</v>
      </c>
      <c r="C721" s="6">
        <v>44651</v>
      </c>
      <c r="D721">
        <v>20210401</v>
      </c>
      <c r="E721">
        <v>20220331</v>
      </c>
      <c r="F721" t="s">
        <v>3428</v>
      </c>
      <c r="G721" t="s">
        <v>3429</v>
      </c>
      <c r="H721" t="s">
        <v>1267</v>
      </c>
      <c r="I721" t="s">
        <v>805</v>
      </c>
      <c r="L721">
        <v>6</v>
      </c>
      <c r="M721">
        <v>1260</v>
      </c>
      <c r="X721">
        <v>6</v>
      </c>
      <c r="Y721">
        <v>1260</v>
      </c>
      <c r="Z721" s="3">
        <f t="shared" si="11"/>
        <v>210</v>
      </c>
    </row>
    <row r="722" spans="1:26" hidden="1">
      <c r="A722" t="s">
        <v>707</v>
      </c>
      <c r="B722" s="6">
        <v>44287</v>
      </c>
      <c r="C722" s="6">
        <v>44651</v>
      </c>
      <c r="D722">
        <v>20210401</v>
      </c>
      <c r="E722">
        <v>20220331</v>
      </c>
      <c r="F722" t="s">
        <v>3430</v>
      </c>
      <c r="G722" t="s">
        <v>3431</v>
      </c>
      <c r="H722" t="s">
        <v>590</v>
      </c>
      <c r="I722" t="s">
        <v>1462</v>
      </c>
      <c r="J722">
        <v>9</v>
      </c>
      <c r="K722">
        <v>1186.8699999999999</v>
      </c>
      <c r="X722">
        <v>9</v>
      </c>
      <c r="Y722">
        <v>1186.8699999999999</v>
      </c>
      <c r="Z722" s="3">
        <f t="shared" si="11"/>
        <v>131.87444444444444</v>
      </c>
    </row>
    <row r="723" spans="1:26" hidden="1">
      <c r="A723" t="s">
        <v>707</v>
      </c>
      <c r="B723" s="6">
        <v>44287</v>
      </c>
      <c r="C723" s="6">
        <v>44651</v>
      </c>
      <c r="D723">
        <v>20210401</v>
      </c>
      <c r="E723">
        <v>20220331</v>
      </c>
      <c r="F723" t="s">
        <v>6551</v>
      </c>
      <c r="G723" t="s">
        <v>6552</v>
      </c>
      <c r="H723" t="s">
        <v>590</v>
      </c>
      <c r="I723" t="s">
        <v>1462</v>
      </c>
      <c r="J723">
        <v>44</v>
      </c>
      <c r="K723">
        <v>2932.27</v>
      </c>
      <c r="L723">
        <v>24</v>
      </c>
      <c r="M723">
        <v>2640</v>
      </c>
      <c r="N723">
        <v>-32</v>
      </c>
      <c r="O723">
        <v>-2340.6999999999998</v>
      </c>
      <c r="X723">
        <v>36</v>
      </c>
      <c r="Y723">
        <v>3231.57</v>
      </c>
      <c r="Z723" s="3">
        <f t="shared" si="11"/>
        <v>73.146874999999994</v>
      </c>
    </row>
    <row r="724" spans="1:26" hidden="1">
      <c r="A724" t="s">
        <v>707</v>
      </c>
      <c r="B724" s="6">
        <v>44287</v>
      </c>
      <c r="C724" s="6">
        <v>44651</v>
      </c>
      <c r="D724">
        <v>20210401</v>
      </c>
      <c r="E724">
        <v>20220331</v>
      </c>
      <c r="F724" t="s">
        <v>6553</v>
      </c>
      <c r="G724" t="s">
        <v>6554</v>
      </c>
      <c r="H724" t="s">
        <v>590</v>
      </c>
      <c r="I724" t="s">
        <v>1462</v>
      </c>
      <c r="J724">
        <v>5</v>
      </c>
      <c r="L724">
        <v>12</v>
      </c>
      <c r="M724">
        <v>2130</v>
      </c>
      <c r="N724">
        <v>-5</v>
      </c>
      <c r="O724">
        <v>0.02</v>
      </c>
      <c r="X724">
        <v>12</v>
      </c>
      <c r="Y724">
        <v>2130.02</v>
      </c>
      <c r="Z724" s="3">
        <f t="shared" si="11"/>
        <v>-4.0000000000000001E-3</v>
      </c>
    </row>
    <row r="725" spans="1:26" hidden="1">
      <c r="A725" t="s">
        <v>707</v>
      </c>
      <c r="B725" s="6">
        <v>44287</v>
      </c>
      <c r="C725" s="6">
        <v>44651</v>
      </c>
      <c r="D725">
        <v>20210401</v>
      </c>
      <c r="E725">
        <v>20220331</v>
      </c>
      <c r="F725" t="s">
        <v>3440</v>
      </c>
      <c r="G725" t="s">
        <v>3441</v>
      </c>
      <c r="H725" t="s">
        <v>590</v>
      </c>
      <c r="I725" t="s">
        <v>1462</v>
      </c>
      <c r="L725">
        <v>10</v>
      </c>
      <c r="M725">
        <v>2210</v>
      </c>
      <c r="X725">
        <v>10</v>
      </c>
      <c r="Y725">
        <v>2210</v>
      </c>
      <c r="Z725" s="3">
        <f t="shared" si="11"/>
        <v>221</v>
      </c>
    </row>
    <row r="726" spans="1:26" hidden="1">
      <c r="A726" t="s">
        <v>707</v>
      </c>
      <c r="B726" s="6">
        <v>44287</v>
      </c>
      <c r="C726" s="6">
        <v>44651</v>
      </c>
      <c r="D726">
        <v>20210401</v>
      </c>
      <c r="E726">
        <v>20220331</v>
      </c>
      <c r="F726" t="s">
        <v>6555</v>
      </c>
      <c r="G726" t="s">
        <v>6556</v>
      </c>
      <c r="H726" t="s">
        <v>590</v>
      </c>
      <c r="I726" t="s">
        <v>1462</v>
      </c>
      <c r="J726">
        <v>6</v>
      </c>
      <c r="K726">
        <v>1534.63</v>
      </c>
      <c r="X726">
        <v>6</v>
      </c>
      <c r="Y726">
        <v>1534.63</v>
      </c>
      <c r="Z726" s="3">
        <f t="shared" si="11"/>
        <v>255.77166666666668</v>
      </c>
    </row>
    <row r="727" spans="1:26" hidden="1">
      <c r="A727" t="s">
        <v>707</v>
      </c>
      <c r="B727" s="6">
        <v>44287</v>
      </c>
      <c r="C727" s="6">
        <v>44651</v>
      </c>
      <c r="D727">
        <v>20210401</v>
      </c>
      <c r="E727">
        <v>20220331</v>
      </c>
      <c r="F727" t="s">
        <v>3444</v>
      </c>
      <c r="G727" t="s">
        <v>3445</v>
      </c>
      <c r="H727" t="s">
        <v>590</v>
      </c>
      <c r="I727" t="s">
        <v>1462</v>
      </c>
      <c r="J727">
        <v>155</v>
      </c>
      <c r="K727">
        <v>7336.02</v>
      </c>
      <c r="N727">
        <v>-27</v>
      </c>
      <c r="O727">
        <v>-1277.9100000000001</v>
      </c>
      <c r="R727">
        <v>-58</v>
      </c>
      <c r="S727">
        <v>-2745.1</v>
      </c>
      <c r="X727">
        <v>70</v>
      </c>
      <c r="Y727">
        <v>3313.01</v>
      </c>
      <c r="Z727" s="3">
        <f t="shared" si="11"/>
        <v>47.330000000000005</v>
      </c>
    </row>
    <row r="728" spans="1:26" hidden="1">
      <c r="A728" t="s">
        <v>707</v>
      </c>
      <c r="B728" s="6">
        <v>44287</v>
      </c>
      <c r="C728" s="6">
        <v>44651</v>
      </c>
      <c r="D728">
        <v>20210401</v>
      </c>
      <c r="E728">
        <v>20220331</v>
      </c>
      <c r="F728" t="s">
        <v>3446</v>
      </c>
      <c r="G728" t="s">
        <v>3447</v>
      </c>
      <c r="H728" t="s">
        <v>590</v>
      </c>
      <c r="I728" t="s">
        <v>1462</v>
      </c>
      <c r="J728">
        <v>123</v>
      </c>
      <c r="K728">
        <v>3934.09</v>
      </c>
      <c r="N728">
        <v>-38</v>
      </c>
      <c r="O728">
        <v>-1215.6099999999999</v>
      </c>
      <c r="R728">
        <v>-83</v>
      </c>
      <c r="S728">
        <v>-2654.8</v>
      </c>
      <c r="X728">
        <v>2</v>
      </c>
      <c r="Y728">
        <v>63.68</v>
      </c>
      <c r="Z728" s="3">
        <f t="shared" si="11"/>
        <v>31.989736842105259</v>
      </c>
    </row>
    <row r="729" spans="1:26" hidden="1">
      <c r="A729" t="s">
        <v>707</v>
      </c>
      <c r="B729" s="6">
        <v>44287</v>
      </c>
      <c r="C729" s="6">
        <v>44651</v>
      </c>
      <c r="D729">
        <v>20210401</v>
      </c>
      <c r="E729">
        <v>20220331</v>
      </c>
      <c r="F729" t="s">
        <v>6557</v>
      </c>
      <c r="G729" t="s">
        <v>6558</v>
      </c>
      <c r="H729" t="s">
        <v>590</v>
      </c>
      <c r="I729" t="s">
        <v>1462</v>
      </c>
      <c r="L729">
        <v>6</v>
      </c>
      <c r="M729">
        <v>2280</v>
      </c>
      <c r="X729">
        <v>6</v>
      </c>
      <c r="Y729">
        <v>2280</v>
      </c>
      <c r="Z729" s="3">
        <f t="shared" si="11"/>
        <v>380</v>
      </c>
    </row>
    <row r="730" spans="1:26" hidden="1">
      <c r="A730" t="s">
        <v>707</v>
      </c>
      <c r="B730" s="6">
        <v>44287</v>
      </c>
      <c r="C730" s="6">
        <v>44651</v>
      </c>
      <c r="D730">
        <v>20210401</v>
      </c>
      <c r="E730">
        <v>20220331</v>
      </c>
      <c r="F730" t="s">
        <v>6559</v>
      </c>
      <c r="G730" t="s">
        <v>6560</v>
      </c>
      <c r="H730" t="s">
        <v>590</v>
      </c>
      <c r="I730" t="s">
        <v>1462</v>
      </c>
      <c r="J730">
        <v>4</v>
      </c>
      <c r="K730">
        <v>5393.26</v>
      </c>
      <c r="N730">
        <v>-1</v>
      </c>
      <c r="O730">
        <v>-1348.32</v>
      </c>
      <c r="X730">
        <v>3</v>
      </c>
      <c r="Y730">
        <v>4044.94</v>
      </c>
      <c r="Z730" s="3">
        <f t="shared" si="11"/>
        <v>1348.32</v>
      </c>
    </row>
    <row r="731" spans="1:26" hidden="1">
      <c r="A731" t="s">
        <v>707</v>
      </c>
      <c r="B731" s="6">
        <v>44287</v>
      </c>
      <c r="C731" s="6">
        <v>44651</v>
      </c>
      <c r="D731">
        <v>20210401</v>
      </c>
      <c r="E731">
        <v>20220331</v>
      </c>
      <c r="F731" t="s">
        <v>6561</v>
      </c>
      <c r="G731" t="s">
        <v>6562</v>
      </c>
      <c r="H731" t="s">
        <v>590</v>
      </c>
      <c r="I731" t="s">
        <v>1462</v>
      </c>
      <c r="J731">
        <v>1</v>
      </c>
      <c r="K731">
        <v>8525.69</v>
      </c>
      <c r="X731">
        <v>1</v>
      </c>
      <c r="Y731">
        <v>8525.69</v>
      </c>
      <c r="Z731" s="3">
        <f t="shared" si="11"/>
        <v>8525.69</v>
      </c>
    </row>
    <row r="732" spans="1:26" hidden="1">
      <c r="A732" t="s">
        <v>707</v>
      </c>
      <c r="B732" s="6">
        <v>44287</v>
      </c>
      <c r="C732" s="6">
        <v>44651</v>
      </c>
      <c r="D732">
        <v>20210401</v>
      </c>
      <c r="E732">
        <v>20220331</v>
      </c>
      <c r="F732" t="s">
        <v>6563</v>
      </c>
      <c r="G732" t="s">
        <v>6564</v>
      </c>
      <c r="H732" t="s">
        <v>590</v>
      </c>
      <c r="I732" t="s">
        <v>1462</v>
      </c>
      <c r="J732">
        <v>4</v>
      </c>
      <c r="K732">
        <v>2140</v>
      </c>
      <c r="N732">
        <v>-1</v>
      </c>
      <c r="O732">
        <v>-535</v>
      </c>
      <c r="X732">
        <v>3</v>
      </c>
      <c r="Y732">
        <v>1605</v>
      </c>
      <c r="Z732" s="3">
        <f t="shared" si="11"/>
        <v>535</v>
      </c>
    </row>
    <row r="733" spans="1:26" hidden="1">
      <c r="A733" t="s">
        <v>707</v>
      </c>
      <c r="B733" s="6">
        <v>44287</v>
      </c>
      <c r="C733" s="6">
        <v>44651</v>
      </c>
      <c r="D733">
        <v>20210401</v>
      </c>
      <c r="E733">
        <v>20220331</v>
      </c>
      <c r="F733" t="s">
        <v>6565</v>
      </c>
      <c r="G733" t="s">
        <v>6566</v>
      </c>
      <c r="H733" t="s">
        <v>590</v>
      </c>
      <c r="I733" t="s">
        <v>1462</v>
      </c>
      <c r="L733">
        <v>2</v>
      </c>
      <c r="M733">
        <v>450</v>
      </c>
      <c r="X733">
        <v>2</v>
      </c>
      <c r="Y733">
        <v>450</v>
      </c>
      <c r="Z733" s="3">
        <f t="shared" si="11"/>
        <v>225</v>
      </c>
    </row>
    <row r="734" spans="1:26" hidden="1">
      <c r="A734" t="s">
        <v>707</v>
      </c>
      <c r="B734" s="6">
        <v>44287</v>
      </c>
      <c r="C734" s="6">
        <v>44651</v>
      </c>
      <c r="D734">
        <v>20210401</v>
      </c>
      <c r="E734">
        <v>20220331</v>
      </c>
      <c r="F734" t="s">
        <v>6567</v>
      </c>
      <c r="G734" t="s">
        <v>6568</v>
      </c>
      <c r="H734" t="s">
        <v>590</v>
      </c>
      <c r="I734" t="s">
        <v>1462</v>
      </c>
      <c r="J734">
        <v>5</v>
      </c>
      <c r="K734">
        <v>7237.52</v>
      </c>
      <c r="N734">
        <v>-1</v>
      </c>
      <c r="O734">
        <v>-1447.51</v>
      </c>
      <c r="X734">
        <v>4</v>
      </c>
      <c r="Y734">
        <v>5790.01</v>
      </c>
      <c r="Z734" s="3">
        <f t="shared" si="11"/>
        <v>1447.51</v>
      </c>
    </row>
    <row r="735" spans="1:26" hidden="1">
      <c r="A735" t="s">
        <v>707</v>
      </c>
      <c r="B735" s="6">
        <v>44287</v>
      </c>
      <c r="C735" s="6">
        <v>44651</v>
      </c>
      <c r="D735">
        <v>20210401</v>
      </c>
      <c r="E735">
        <v>20220331</v>
      </c>
      <c r="F735" t="s">
        <v>6569</v>
      </c>
      <c r="G735" t="s">
        <v>6570</v>
      </c>
      <c r="H735" t="s">
        <v>590</v>
      </c>
      <c r="I735" t="s">
        <v>1462</v>
      </c>
      <c r="J735">
        <v>4</v>
      </c>
      <c r="K735">
        <v>6000</v>
      </c>
      <c r="X735">
        <v>4</v>
      </c>
      <c r="Y735">
        <v>6000</v>
      </c>
      <c r="Z735" s="3">
        <f t="shared" si="11"/>
        <v>1500</v>
      </c>
    </row>
    <row r="736" spans="1:26" hidden="1">
      <c r="A736" t="s">
        <v>707</v>
      </c>
      <c r="B736" s="6">
        <v>44287</v>
      </c>
      <c r="C736" s="6">
        <v>44651</v>
      </c>
      <c r="D736">
        <v>20210401</v>
      </c>
      <c r="E736">
        <v>20220331</v>
      </c>
      <c r="F736" t="s">
        <v>3454</v>
      </c>
      <c r="G736" t="s">
        <v>3455</v>
      </c>
      <c r="H736" t="s">
        <v>590</v>
      </c>
      <c r="I736" t="s">
        <v>1462</v>
      </c>
      <c r="K736">
        <v>0.03</v>
      </c>
      <c r="L736">
        <v>12</v>
      </c>
      <c r="M736">
        <v>3120</v>
      </c>
      <c r="N736">
        <v>-3</v>
      </c>
      <c r="O736">
        <v>-780</v>
      </c>
      <c r="X736">
        <v>9</v>
      </c>
      <c r="Y736">
        <v>2340.0300000000002</v>
      </c>
      <c r="Z736" s="3">
        <f t="shared" si="11"/>
        <v>260</v>
      </c>
    </row>
    <row r="737" spans="1:26" hidden="1">
      <c r="A737" t="s">
        <v>707</v>
      </c>
      <c r="B737" s="6">
        <v>44287</v>
      </c>
      <c r="C737" s="6">
        <v>44651</v>
      </c>
      <c r="D737">
        <v>20210401</v>
      </c>
      <c r="E737">
        <v>20220331</v>
      </c>
      <c r="F737" t="s">
        <v>6571</v>
      </c>
      <c r="G737" t="s">
        <v>6572</v>
      </c>
      <c r="H737" t="s">
        <v>590</v>
      </c>
      <c r="I737" t="s">
        <v>1462</v>
      </c>
      <c r="J737">
        <v>2</v>
      </c>
      <c r="K737">
        <v>3685</v>
      </c>
      <c r="X737">
        <v>2</v>
      </c>
      <c r="Y737">
        <v>3685</v>
      </c>
      <c r="Z737" s="3">
        <f t="shared" si="11"/>
        <v>1842.5</v>
      </c>
    </row>
    <row r="738" spans="1:26" hidden="1">
      <c r="A738" t="s">
        <v>707</v>
      </c>
      <c r="B738" s="6">
        <v>44287</v>
      </c>
      <c r="C738" s="6">
        <v>44651</v>
      </c>
      <c r="D738">
        <v>20210401</v>
      </c>
      <c r="E738">
        <v>20220331</v>
      </c>
      <c r="F738" t="s">
        <v>6573</v>
      </c>
      <c r="G738" t="s">
        <v>6574</v>
      </c>
      <c r="H738" t="s">
        <v>590</v>
      </c>
      <c r="I738" t="s">
        <v>1462</v>
      </c>
      <c r="J738">
        <v>3</v>
      </c>
      <c r="K738">
        <v>3000</v>
      </c>
      <c r="N738">
        <v>-3</v>
      </c>
      <c r="O738">
        <v>-3000</v>
      </c>
      <c r="Z738" s="3">
        <f t="shared" si="11"/>
        <v>1000</v>
      </c>
    </row>
    <row r="739" spans="1:26" hidden="1">
      <c r="A739" t="s">
        <v>707</v>
      </c>
      <c r="B739" s="6">
        <v>44287</v>
      </c>
      <c r="C739" s="6">
        <v>44651</v>
      </c>
      <c r="D739">
        <v>20210401</v>
      </c>
      <c r="E739">
        <v>20220331</v>
      </c>
      <c r="F739" t="s">
        <v>6575</v>
      </c>
      <c r="G739" t="s">
        <v>6576</v>
      </c>
      <c r="H739" t="s">
        <v>590</v>
      </c>
      <c r="I739" t="s">
        <v>1462</v>
      </c>
      <c r="J739">
        <v>4</v>
      </c>
      <c r="K739">
        <v>3677.38</v>
      </c>
      <c r="N739">
        <v>-4</v>
      </c>
      <c r="O739">
        <v>-3677.39</v>
      </c>
      <c r="Y739">
        <v>-0.01</v>
      </c>
      <c r="Z739" s="3">
        <f t="shared" si="11"/>
        <v>919.34749999999997</v>
      </c>
    </row>
    <row r="740" spans="1:26" hidden="1">
      <c r="A740" t="s">
        <v>707</v>
      </c>
      <c r="B740" s="6">
        <v>44287</v>
      </c>
      <c r="C740" s="6">
        <v>44651</v>
      </c>
      <c r="D740">
        <v>20210401</v>
      </c>
      <c r="E740">
        <v>20220331</v>
      </c>
      <c r="F740" t="s">
        <v>6577</v>
      </c>
      <c r="G740" t="s">
        <v>6578</v>
      </c>
      <c r="H740" t="s">
        <v>590</v>
      </c>
      <c r="I740" t="s">
        <v>1462</v>
      </c>
      <c r="J740">
        <v>2</v>
      </c>
      <c r="K740">
        <v>2100</v>
      </c>
      <c r="X740">
        <v>2</v>
      </c>
      <c r="Y740">
        <v>2100</v>
      </c>
      <c r="Z740" s="3">
        <f t="shared" si="11"/>
        <v>1050</v>
      </c>
    </row>
    <row r="741" spans="1:26" hidden="1">
      <c r="A741" t="s">
        <v>707</v>
      </c>
      <c r="B741" s="6">
        <v>44287</v>
      </c>
      <c r="C741" s="6">
        <v>44651</v>
      </c>
      <c r="D741">
        <v>20210401</v>
      </c>
      <c r="E741">
        <v>20220331</v>
      </c>
      <c r="F741" t="s">
        <v>6579</v>
      </c>
      <c r="G741" t="s">
        <v>6580</v>
      </c>
      <c r="H741" t="s">
        <v>590</v>
      </c>
      <c r="I741" t="s">
        <v>1462</v>
      </c>
      <c r="J741">
        <v>4</v>
      </c>
      <c r="K741">
        <v>400</v>
      </c>
      <c r="X741">
        <v>4</v>
      </c>
      <c r="Y741">
        <v>400</v>
      </c>
      <c r="Z741" s="3">
        <f t="shared" si="11"/>
        <v>100</v>
      </c>
    </row>
    <row r="742" spans="1:26" hidden="1">
      <c r="A742" t="s">
        <v>707</v>
      </c>
      <c r="B742" s="6">
        <v>44287</v>
      </c>
      <c r="C742" s="6">
        <v>44651</v>
      </c>
      <c r="D742">
        <v>20210401</v>
      </c>
      <c r="E742">
        <v>20220331</v>
      </c>
      <c r="F742" t="s">
        <v>6581</v>
      </c>
      <c r="G742" t="s">
        <v>6582</v>
      </c>
      <c r="H742" t="s">
        <v>590</v>
      </c>
      <c r="I742" t="s">
        <v>1462</v>
      </c>
      <c r="J742">
        <v>6</v>
      </c>
      <c r="K742">
        <v>1337.68</v>
      </c>
      <c r="L742">
        <v>10</v>
      </c>
      <c r="M742">
        <v>3450</v>
      </c>
      <c r="N742">
        <v>-11</v>
      </c>
      <c r="O742">
        <v>-3118.15</v>
      </c>
      <c r="X742">
        <v>5</v>
      </c>
      <c r="Y742">
        <v>1669.53</v>
      </c>
      <c r="Z742" s="3">
        <f t="shared" si="11"/>
        <v>283.46818181818185</v>
      </c>
    </row>
    <row r="743" spans="1:26" hidden="1">
      <c r="A743" t="s">
        <v>707</v>
      </c>
      <c r="B743" s="6">
        <v>44287</v>
      </c>
      <c r="C743" s="6">
        <v>44651</v>
      </c>
      <c r="D743">
        <v>20210401</v>
      </c>
      <c r="E743">
        <v>20220331</v>
      </c>
      <c r="F743" t="s">
        <v>6583</v>
      </c>
      <c r="G743" t="s">
        <v>6584</v>
      </c>
      <c r="H743" t="s">
        <v>590</v>
      </c>
      <c r="I743" t="s">
        <v>1462</v>
      </c>
      <c r="J743">
        <v>4</v>
      </c>
      <c r="K743">
        <v>636</v>
      </c>
      <c r="L743">
        <v>6</v>
      </c>
      <c r="M743">
        <v>1086</v>
      </c>
      <c r="N743">
        <v>-4</v>
      </c>
      <c r="O743">
        <v>-669</v>
      </c>
      <c r="X743">
        <v>6</v>
      </c>
      <c r="Y743">
        <v>1053</v>
      </c>
      <c r="Z743" s="3">
        <f t="shared" si="11"/>
        <v>167.25</v>
      </c>
    </row>
    <row r="744" spans="1:26" hidden="1">
      <c r="A744" t="s">
        <v>707</v>
      </c>
      <c r="B744" s="6">
        <v>44287</v>
      </c>
      <c r="C744" s="6">
        <v>44651</v>
      </c>
      <c r="D744">
        <v>20210401</v>
      </c>
      <c r="E744">
        <v>20220331</v>
      </c>
      <c r="F744" t="s">
        <v>6585</v>
      </c>
      <c r="G744" t="s">
        <v>6586</v>
      </c>
      <c r="H744" t="s">
        <v>590</v>
      </c>
      <c r="I744" t="s">
        <v>1462</v>
      </c>
      <c r="J744">
        <v>11</v>
      </c>
      <c r="K744">
        <v>4873</v>
      </c>
      <c r="X744">
        <v>11</v>
      </c>
      <c r="Y744">
        <v>4873</v>
      </c>
      <c r="Z744" s="3">
        <f t="shared" si="11"/>
        <v>443</v>
      </c>
    </row>
    <row r="745" spans="1:26" hidden="1">
      <c r="A745" t="s">
        <v>707</v>
      </c>
      <c r="B745" s="6">
        <v>44287</v>
      </c>
      <c r="C745" s="6">
        <v>44651</v>
      </c>
      <c r="D745">
        <v>20210401</v>
      </c>
      <c r="E745">
        <v>20220331</v>
      </c>
      <c r="F745" t="s">
        <v>6587</v>
      </c>
      <c r="G745" t="s">
        <v>6588</v>
      </c>
      <c r="H745" t="s">
        <v>590</v>
      </c>
      <c r="I745" t="s">
        <v>1462</v>
      </c>
      <c r="K745">
        <v>0.01</v>
      </c>
      <c r="Y745">
        <v>0.01</v>
      </c>
      <c r="Z745" s="3" t="e">
        <f t="shared" si="11"/>
        <v>#DIV/0!</v>
      </c>
    </row>
    <row r="746" spans="1:26" hidden="1">
      <c r="A746" t="s">
        <v>707</v>
      </c>
      <c r="B746" s="6">
        <v>44287</v>
      </c>
      <c r="C746" s="6">
        <v>44651</v>
      </c>
      <c r="D746">
        <v>20210401</v>
      </c>
      <c r="E746">
        <v>20220331</v>
      </c>
      <c r="F746" t="s">
        <v>6589</v>
      </c>
      <c r="G746" t="s">
        <v>6590</v>
      </c>
      <c r="H746" t="s">
        <v>590</v>
      </c>
      <c r="I746" t="s">
        <v>805</v>
      </c>
      <c r="J746">
        <v>1</v>
      </c>
      <c r="K746">
        <v>910</v>
      </c>
      <c r="N746">
        <v>-1</v>
      </c>
      <c r="O746">
        <v>-910</v>
      </c>
      <c r="Z746" s="3">
        <f t="shared" si="11"/>
        <v>910</v>
      </c>
    </row>
    <row r="747" spans="1:26" hidden="1">
      <c r="A747" t="s">
        <v>707</v>
      </c>
      <c r="B747" s="6">
        <v>44287</v>
      </c>
      <c r="C747" s="6">
        <v>44651</v>
      </c>
      <c r="D747">
        <v>20210401</v>
      </c>
      <c r="E747">
        <v>20220331</v>
      </c>
      <c r="F747" t="s">
        <v>6591</v>
      </c>
      <c r="G747" t="s">
        <v>6592</v>
      </c>
      <c r="H747" t="s">
        <v>590</v>
      </c>
      <c r="I747" t="s">
        <v>1462</v>
      </c>
      <c r="L747">
        <v>4</v>
      </c>
      <c r="M747">
        <v>6300</v>
      </c>
      <c r="X747">
        <v>4</v>
      </c>
      <c r="Y747">
        <v>6300</v>
      </c>
      <c r="Z747" s="3">
        <f t="shared" si="11"/>
        <v>1575</v>
      </c>
    </row>
    <row r="748" spans="1:26" hidden="1">
      <c r="A748" t="s">
        <v>707</v>
      </c>
      <c r="B748" s="6">
        <v>44287</v>
      </c>
      <c r="C748" s="6">
        <v>44651</v>
      </c>
      <c r="D748">
        <v>20210401</v>
      </c>
      <c r="E748">
        <v>20220331</v>
      </c>
      <c r="F748" t="s">
        <v>3470</v>
      </c>
      <c r="G748" t="s">
        <v>3471</v>
      </c>
      <c r="H748" t="s">
        <v>590</v>
      </c>
      <c r="I748" t="s">
        <v>1462</v>
      </c>
      <c r="J748">
        <v>2</v>
      </c>
      <c r="K748">
        <v>194.6</v>
      </c>
      <c r="X748">
        <v>2</v>
      </c>
      <c r="Y748">
        <v>194.6</v>
      </c>
      <c r="Z748" s="3">
        <f t="shared" si="11"/>
        <v>97.3</v>
      </c>
    </row>
    <row r="749" spans="1:26" hidden="1">
      <c r="A749" t="s">
        <v>707</v>
      </c>
      <c r="B749" s="6">
        <v>44287</v>
      </c>
      <c r="C749" s="6">
        <v>44651</v>
      </c>
      <c r="D749">
        <v>20210401</v>
      </c>
      <c r="E749">
        <v>20220331</v>
      </c>
      <c r="F749" t="s">
        <v>3472</v>
      </c>
      <c r="G749" t="s">
        <v>3473</v>
      </c>
      <c r="H749" t="s">
        <v>590</v>
      </c>
      <c r="I749" t="s">
        <v>1462</v>
      </c>
      <c r="J749">
        <v>5</v>
      </c>
      <c r="K749">
        <v>3051.87</v>
      </c>
      <c r="N749">
        <v>-1</v>
      </c>
      <c r="O749">
        <v>-610.37</v>
      </c>
      <c r="X749">
        <v>4</v>
      </c>
      <c r="Y749">
        <v>2441.5</v>
      </c>
      <c r="Z749" s="3">
        <f t="shared" si="11"/>
        <v>610.37</v>
      </c>
    </row>
    <row r="750" spans="1:26" hidden="1">
      <c r="A750" t="s">
        <v>707</v>
      </c>
      <c r="B750" s="6">
        <v>44287</v>
      </c>
      <c r="C750" s="6">
        <v>44651</v>
      </c>
      <c r="D750">
        <v>20210401</v>
      </c>
      <c r="E750">
        <v>20220331</v>
      </c>
      <c r="F750" t="s">
        <v>6593</v>
      </c>
      <c r="G750" t="s">
        <v>6594</v>
      </c>
      <c r="H750" t="s">
        <v>590</v>
      </c>
      <c r="I750" t="s">
        <v>1462</v>
      </c>
      <c r="J750">
        <v>4</v>
      </c>
      <c r="K750">
        <v>2140.2399999999998</v>
      </c>
      <c r="N750">
        <v>-1</v>
      </c>
      <c r="O750">
        <v>-535.05999999999995</v>
      </c>
      <c r="X750">
        <v>3</v>
      </c>
      <c r="Y750">
        <v>1605.18</v>
      </c>
      <c r="Z750" s="3">
        <f t="shared" si="11"/>
        <v>535.05999999999995</v>
      </c>
    </row>
    <row r="751" spans="1:26" hidden="1">
      <c r="A751" t="s">
        <v>707</v>
      </c>
      <c r="B751" s="6">
        <v>44287</v>
      </c>
      <c r="C751" s="6">
        <v>44651</v>
      </c>
      <c r="D751">
        <v>20210401</v>
      </c>
      <c r="E751">
        <v>20220331</v>
      </c>
      <c r="F751" t="s">
        <v>6595</v>
      </c>
      <c r="G751" t="s">
        <v>6596</v>
      </c>
      <c r="H751" t="s">
        <v>590</v>
      </c>
      <c r="I751" t="s">
        <v>1462</v>
      </c>
      <c r="J751">
        <v>7</v>
      </c>
      <c r="K751">
        <v>1294.02</v>
      </c>
      <c r="L751">
        <v>10</v>
      </c>
      <c r="M751">
        <v>2600</v>
      </c>
      <c r="N751">
        <v>-10</v>
      </c>
      <c r="O751">
        <v>-2271.2600000000002</v>
      </c>
      <c r="X751">
        <v>7</v>
      </c>
      <c r="Y751">
        <v>1622.76</v>
      </c>
      <c r="Z751" s="3">
        <f t="shared" si="11"/>
        <v>227.12600000000003</v>
      </c>
    </row>
    <row r="752" spans="1:26" hidden="1">
      <c r="A752" t="s">
        <v>707</v>
      </c>
      <c r="B752" s="6">
        <v>44287</v>
      </c>
      <c r="C752" s="6">
        <v>44651</v>
      </c>
      <c r="D752">
        <v>20210401</v>
      </c>
      <c r="E752">
        <v>20220331</v>
      </c>
      <c r="F752" t="s">
        <v>6597</v>
      </c>
      <c r="G752" t="s">
        <v>6598</v>
      </c>
      <c r="H752" t="s">
        <v>590</v>
      </c>
      <c r="I752" t="s">
        <v>1462</v>
      </c>
      <c r="J752">
        <v>4</v>
      </c>
      <c r="K752">
        <v>1222.55</v>
      </c>
      <c r="L752">
        <v>12</v>
      </c>
      <c r="M752">
        <v>4950</v>
      </c>
      <c r="N752">
        <v>-8</v>
      </c>
      <c r="O752">
        <v>-2872.53</v>
      </c>
      <c r="X752">
        <v>8</v>
      </c>
      <c r="Y752">
        <v>3300.02</v>
      </c>
      <c r="Z752" s="3">
        <f t="shared" si="11"/>
        <v>359.06625000000003</v>
      </c>
    </row>
    <row r="753" spans="1:26" hidden="1">
      <c r="A753" t="s">
        <v>707</v>
      </c>
      <c r="B753" s="6">
        <v>44287</v>
      </c>
      <c r="C753" s="6">
        <v>44651</v>
      </c>
      <c r="D753">
        <v>20210401</v>
      </c>
      <c r="E753">
        <v>20220331</v>
      </c>
      <c r="F753" t="s">
        <v>6599</v>
      </c>
      <c r="G753" t="s">
        <v>6600</v>
      </c>
      <c r="H753" t="s">
        <v>590</v>
      </c>
      <c r="I753" t="s">
        <v>1462</v>
      </c>
      <c r="L753">
        <v>12</v>
      </c>
      <c r="M753">
        <v>1452</v>
      </c>
      <c r="N753">
        <v>-2</v>
      </c>
      <c r="O753">
        <v>-137.80000000000001</v>
      </c>
      <c r="X753">
        <v>10</v>
      </c>
      <c r="Y753">
        <v>1314.2</v>
      </c>
      <c r="Z753" s="3">
        <f t="shared" si="11"/>
        <v>68.900000000000006</v>
      </c>
    </row>
    <row r="754" spans="1:26" hidden="1">
      <c r="A754" t="s">
        <v>707</v>
      </c>
      <c r="B754" s="6">
        <v>44287</v>
      </c>
      <c r="C754" s="6">
        <v>44651</v>
      </c>
      <c r="D754">
        <v>20210401</v>
      </c>
      <c r="E754">
        <v>20220331</v>
      </c>
      <c r="F754" t="s">
        <v>6601</v>
      </c>
      <c r="G754" t="s">
        <v>6602</v>
      </c>
      <c r="H754" t="s">
        <v>590</v>
      </c>
      <c r="I754" t="s">
        <v>1462</v>
      </c>
      <c r="J754">
        <v>2</v>
      </c>
      <c r="K754">
        <v>3244.94</v>
      </c>
      <c r="L754">
        <v>6</v>
      </c>
      <c r="M754">
        <v>12900</v>
      </c>
      <c r="N754">
        <v>-1</v>
      </c>
      <c r="O754">
        <v>-1990.82</v>
      </c>
      <c r="X754">
        <v>7</v>
      </c>
      <c r="Y754">
        <v>14154.12</v>
      </c>
      <c r="Z754" s="3">
        <f t="shared" si="11"/>
        <v>1990.82</v>
      </c>
    </row>
    <row r="755" spans="1:26" hidden="1">
      <c r="A755" t="s">
        <v>707</v>
      </c>
      <c r="B755" s="6">
        <v>44287</v>
      </c>
      <c r="C755" s="6">
        <v>44651</v>
      </c>
      <c r="D755">
        <v>20210401</v>
      </c>
      <c r="E755">
        <v>20220331</v>
      </c>
      <c r="F755" t="s">
        <v>3476</v>
      </c>
      <c r="G755" t="s">
        <v>3477</v>
      </c>
      <c r="H755" t="s">
        <v>590</v>
      </c>
      <c r="I755" t="s">
        <v>805</v>
      </c>
      <c r="J755">
        <v>4</v>
      </c>
      <c r="K755">
        <v>8683.7999999999993</v>
      </c>
      <c r="L755">
        <v>1</v>
      </c>
      <c r="M755">
        <v>4275</v>
      </c>
      <c r="X755">
        <v>5</v>
      </c>
      <c r="Y755">
        <v>12958.8</v>
      </c>
      <c r="Z755" s="3">
        <f t="shared" si="11"/>
        <v>2591.7599999999998</v>
      </c>
    </row>
    <row r="756" spans="1:26" hidden="1">
      <c r="A756" t="s">
        <v>707</v>
      </c>
      <c r="B756" s="6">
        <v>44287</v>
      </c>
      <c r="C756" s="6">
        <v>44651</v>
      </c>
      <c r="D756">
        <v>20210401</v>
      </c>
      <c r="E756">
        <v>20220331</v>
      </c>
      <c r="F756" t="s">
        <v>3478</v>
      </c>
      <c r="G756" t="s">
        <v>3479</v>
      </c>
      <c r="H756" t="s">
        <v>590</v>
      </c>
      <c r="I756" t="s">
        <v>805</v>
      </c>
      <c r="J756">
        <v>1</v>
      </c>
      <c r="K756">
        <v>6448.97</v>
      </c>
      <c r="L756">
        <v>1</v>
      </c>
      <c r="M756">
        <v>7350</v>
      </c>
      <c r="X756">
        <v>2</v>
      </c>
      <c r="Y756">
        <v>13798.97</v>
      </c>
      <c r="Z756" s="3">
        <f t="shared" si="11"/>
        <v>6899.4849999999997</v>
      </c>
    </row>
    <row r="757" spans="1:26" hidden="1">
      <c r="A757" t="s">
        <v>707</v>
      </c>
      <c r="B757" s="6">
        <v>44287</v>
      </c>
      <c r="C757" s="6">
        <v>44651</v>
      </c>
      <c r="D757">
        <v>20210401</v>
      </c>
      <c r="E757">
        <v>20220331</v>
      </c>
      <c r="F757" t="s">
        <v>6603</v>
      </c>
      <c r="G757" t="s">
        <v>6604</v>
      </c>
      <c r="H757" t="s">
        <v>590</v>
      </c>
      <c r="I757" t="s">
        <v>1462</v>
      </c>
      <c r="J757">
        <v>7</v>
      </c>
      <c r="K757">
        <v>857.5</v>
      </c>
      <c r="N757">
        <v>-1</v>
      </c>
      <c r="O757">
        <v>-122.5</v>
      </c>
      <c r="X757">
        <v>6</v>
      </c>
      <c r="Y757">
        <v>735</v>
      </c>
      <c r="Z757" s="3">
        <f t="shared" si="11"/>
        <v>122.5</v>
      </c>
    </row>
    <row r="758" spans="1:26" hidden="1">
      <c r="A758" t="s">
        <v>707</v>
      </c>
      <c r="B758" s="6">
        <v>44287</v>
      </c>
      <c r="C758" s="6">
        <v>44651</v>
      </c>
      <c r="D758">
        <v>20210401</v>
      </c>
      <c r="E758">
        <v>20220331</v>
      </c>
      <c r="F758" t="s">
        <v>6605</v>
      </c>
      <c r="G758" t="s">
        <v>6606</v>
      </c>
      <c r="H758" t="s">
        <v>590</v>
      </c>
      <c r="I758" t="s">
        <v>1462</v>
      </c>
      <c r="J758">
        <v>10</v>
      </c>
      <c r="K758">
        <v>1722.05</v>
      </c>
      <c r="N758">
        <v>-4</v>
      </c>
      <c r="O758">
        <v>-688.82</v>
      </c>
      <c r="X758">
        <v>6</v>
      </c>
      <c r="Y758">
        <v>1033.23</v>
      </c>
      <c r="Z758" s="3">
        <f t="shared" si="11"/>
        <v>172.20500000000001</v>
      </c>
    </row>
    <row r="759" spans="1:26" hidden="1">
      <c r="A759" t="s">
        <v>707</v>
      </c>
      <c r="B759" s="6">
        <v>44287</v>
      </c>
      <c r="C759" s="6">
        <v>44651</v>
      </c>
      <c r="D759">
        <v>20210401</v>
      </c>
      <c r="E759">
        <v>20220331</v>
      </c>
      <c r="F759" t="s">
        <v>6607</v>
      </c>
      <c r="G759" t="s">
        <v>6608</v>
      </c>
      <c r="H759" t="s">
        <v>590</v>
      </c>
      <c r="I759" t="s">
        <v>1462</v>
      </c>
      <c r="L759">
        <v>10</v>
      </c>
      <c r="M759">
        <v>6344</v>
      </c>
      <c r="N759">
        <v>-7</v>
      </c>
      <c r="O759">
        <v>-4479.5</v>
      </c>
      <c r="X759">
        <v>3</v>
      </c>
      <c r="Y759">
        <v>1864.5</v>
      </c>
      <c r="Z759" s="3">
        <f t="shared" si="11"/>
        <v>639.92857142857144</v>
      </c>
    </row>
    <row r="760" spans="1:26" hidden="1">
      <c r="A760" t="s">
        <v>707</v>
      </c>
      <c r="B760" s="6">
        <v>44287</v>
      </c>
      <c r="C760" s="6">
        <v>44651</v>
      </c>
      <c r="D760">
        <v>20210401</v>
      </c>
      <c r="E760">
        <v>20220331</v>
      </c>
      <c r="F760" t="s">
        <v>6609</v>
      </c>
      <c r="G760" t="s">
        <v>6610</v>
      </c>
      <c r="H760" t="s">
        <v>590</v>
      </c>
      <c r="I760" t="s">
        <v>1462</v>
      </c>
      <c r="L760">
        <v>10</v>
      </c>
      <c r="M760">
        <v>1860</v>
      </c>
      <c r="X760">
        <v>10</v>
      </c>
      <c r="Y760">
        <v>1860</v>
      </c>
      <c r="Z760" s="3">
        <f t="shared" si="11"/>
        <v>186</v>
      </c>
    </row>
    <row r="761" spans="1:26" hidden="1">
      <c r="A761" t="s">
        <v>707</v>
      </c>
      <c r="B761" s="6">
        <v>44287</v>
      </c>
      <c r="C761" s="6">
        <v>44651</v>
      </c>
      <c r="D761">
        <v>20210401</v>
      </c>
      <c r="E761">
        <v>20220331</v>
      </c>
      <c r="F761" t="s">
        <v>6611</v>
      </c>
      <c r="G761" t="s">
        <v>6612</v>
      </c>
      <c r="H761" t="s">
        <v>590</v>
      </c>
      <c r="I761" t="s">
        <v>1462</v>
      </c>
      <c r="J761">
        <v>14</v>
      </c>
      <c r="K761">
        <v>1856.91</v>
      </c>
      <c r="X761">
        <v>14</v>
      </c>
      <c r="Y761">
        <v>1856.91</v>
      </c>
      <c r="Z761" s="3">
        <f t="shared" si="11"/>
        <v>132.63642857142858</v>
      </c>
    </row>
    <row r="762" spans="1:26" hidden="1">
      <c r="A762" t="s">
        <v>707</v>
      </c>
      <c r="B762" s="6">
        <v>44287</v>
      </c>
      <c r="C762" s="6">
        <v>44651</v>
      </c>
      <c r="D762">
        <v>20210401</v>
      </c>
      <c r="E762">
        <v>20220331</v>
      </c>
      <c r="F762" t="s">
        <v>3486</v>
      </c>
      <c r="G762" t="s">
        <v>3487</v>
      </c>
      <c r="H762" t="s">
        <v>590</v>
      </c>
      <c r="I762" t="s">
        <v>1462</v>
      </c>
      <c r="J762">
        <v>6</v>
      </c>
      <c r="K762">
        <v>8160</v>
      </c>
      <c r="N762">
        <v>-1</v>
      </c>
      <c r="O762">
        <v>-1360</v>
      </c>
      <c r="X762">
        <v>5</v>
      </c>
      <c r="Y762">
        <v>6800</v>
      </c>
      <c r="Z762" s="3">
        <f t="shared" si="11"/>
        <v>1360</v>
      </c>
    </row>
    <row r="763" spans="1:26" hidden="1">
      <c r="A763" t="s">
        <v>707</v>
      </c>
      <c r="B763" s="6">
        <v>44287</v>
      </c>
      <c r="C763" s="6">
        <v>44651</v>
      </c>
      <c r="D763">
        <v>20210401</v>
      </c>
      <c r="E763">
        <v>20220331</v>
      </c>
      <c r="F763" t="s">
        <v>3488</v>
      </c>
      <c r="G763" t="s">
        <v>3489</v>
      </c>
      <c r="H763" t="s">
        <v>590</v>
      </c>
      <c r="I763" t="s">
        <v>1462</v>
      </c>
      <c r="J763">
        <v>5</v>
      </c>
      <c r="K763">
        <v>5170</v>
      </c>
      <c r="N763">
        <v>-1</v>
      </c>
      <c r="O763">
        <v>-1034</v>
      </c>
      <c r="X763">
        <v>4</v>
      </c>
      <c r="Y763">
        <v>4136</v>
      </c>
      <c r="Z763" s="3">
        <f t="shared" si="11"/>
        <v>1034</v>
      </c>
    </row>
    <row r="764" spans="1:26" hidden="1">
      <c r="A764" t="s">
        <v>707</v>
      </c>
      <c r="B764" s="6">
        <v>44287</v>
      </c>
      <c r="C764" s="6">
        <v>44651</v>
      </c>
      <c r="D764">
        <v>20210401</v>
      </c>
      <c r="E764">
        <v>20220331</v>
      </c>
      <c r="F764" t="s">
        <v>6613</v>
      </c>
      <c r="G764" t="s">
        <v>6614</v>
      </c>
      <c r="H764" t="s">
        <v>590</v>
      </c>
      <c r="I764" t="s">
        <v>805</v>
      </c>
      <c r="N764">
        <v>-1</v>
      </c>
      <c r="O764">
        <v>-271.8</v>
      </c>
      <c r="X764">
        <v>-1</v>
      </c>
      <c r="Y764">
        <v>-271.8</v>
      </c>
      <c r="Z764" s="3">
        <f t="shared" si="11"/>
        <v>271.8</v>
      </c>
    </row>
    <row r="765" spans="1:26" hidden="1">
      <c r="A765" t="s">
        <v>707</v>
      </c>
      <c r="B765" s="6">
        <v>44287</v>
      </c>
      <c r="C765" s="6">
        <v>44651</v>
      </c>
      <c r="D765">
        <v>20210401</v>
      </c>
      <c r="E765">
        <v>20220331</v>
      </c>
      <c r="F765" t="s">
        <v>6615</v>
      </c>
      <c r="G765" t="s">
        <v>6616</v>
      </c>
      <c r="H765" t="s">
        <v>590</v>
      </c>
      <c r="I765" t="s">
        <v>1462</v>
      </c>
      <c r="J765">
        <v>6</v>
      </c>
      <c r="K765">
        <v>5092.5</v>
      </c>
      <c r="N765">
        <v>-3</v>
      </c>
      <c r="O765">
        <v>-2546.25</v>
      </c>
      <c r="X765">
        <v>3</v>
      </c>
      <c r="Y765">
        <v>2546.25</v>
      </c>
      <c r="Z765" s="3">
        <f t="shared" si="11"/>
        <v>848.75</v>
      </c>
    </row>
    <row r="766" spans="1:26" hidden="1">
      <c r="A766" t="s">
        <v>707</v>
      </c>
      <c r="B766" s="6">
        <v>44287</v>
      </c>
      <c r="C766" s="6">
        <v>44651</v>
      </c>
      <c r="D766">
        <v>20210401</v>
      </c>
      <c r="E766">
        <v>20220331</v>
      </c>
      <c r="F766" t="s">
        <v>6617</v>
      </c>
      <c r="G766" t="s">
        <v>6618</v>
      </c>
      <c r="H766" t="s">
        <v>590</v>
      </c>
      <c r="I766" t="s">
        <v>1462</v>
      </c>
      <c r="J766">
        <v>2</v>
      </c>
      <c r="K766">
        <v>9066.76</v>
      </c>
      <c r="N766">
        <v>-1</v>
      </c>
      <c r="O766">
        <v>-4533.38</v>
      </c>
      <c r="X766">
        <v>1</v>
      </c>
      <c r="Y766">
        <v>4533.38</v>
      </c>
      <c r="Z766" s="3">
        <f t="shared" si="11"/>
        <v>4533.38</v>
      </c>
    </row>
    <row r="767" spans="1:26" hidden="1">
      <c r="A767" t="s">
        <v>707</v>
      </c>
      <c r="B767" s="6">
        <v>44287</v>
      </c>
      <c r="C767" s="6">
        <v>44651</v>
      </c>
      <c r="D767">
        <v>20210401</v>
      </c>
      <c r="E767">
        <v>20220331</v>
      </c>
      <c r="F767" t="s">
        <v>6619</v>
      </c>
      <c r="G767" t="s">
        <v>6620</v>
      </c>
      <c r="H767" t="s">
        <v>590</v>
      </c>
      <c r="I767" t="s">
        <v>1462</v>
      </c>
      <c r="J767">
        <v>1</v>
      </c>
      <c r="K767">
        <v>740</v>
      </c>
      <c r="X767">
        <v>1</v>
      </c>
      <c r="Y767">
        <v>740</v>
      </c>
      <c r="Z767" s="3">
        <f t="shared" si="11"/>
        <v>740</v>
      </c>
    </row>
    <row r="768" spans="1:26" hidden="1">
      <c r="A768" t="s">
        <v>707</v>
      </c>
      <c r="B768" s="6">
        <v>44287</v>
      </c>
      <c r="C768" s="6">
        <v>44651</v>
      </c>
      <c r="D768">
        <v>20210401</v>
      </c>
      <c r="E768">
        <v>20220331</v>
      </c>
      <c r="F768" t="s">
        <v>6621</v>
      </c>
      <c r="G768" t="s">
        <v>6622</v>
      </c>
      <c r="H768" t="s">
        <v>590</v>
      </c>
      <c r="I768" t="s">
        <v>1462</v>
      </c>
      <c r="J768">
        <v>4</v>
      </c>
      <c r="K768">
        <v>3841.52</v>
      </c>
      <c r="X768">
        <v>4</v>
      </c>
      <c r="Y768">
        <v>3841.52</v>
      </c>
      <c r="Z768" s="3">
        <f t="shared" si="11"/>
        <v>960.38</v>
      </c>
    </row>
    <row r="769" spans="1:26" hidden="1">
      <c r="A769" t="s">
        <v>707</v>
      </c>
      <c r="B769" s="6">
        <v>44287</v>
      </c>
      <c r="C769" s="6">
        <v>44651</v>
      </c>
      <c r="D769">
        <v>20210401</v>
      </c>
      <c r="E769">
        <v>20220331</v>
      </c>
      <c r="F769" t="s">
        <v>6623</v>
      </c>
      <c r="G769" t="s">
        <v>6624</v>
      </c>
      <c r="H769" t="s">
        <v>590</v>
      </c>
      <c r="I769" t="s">
        <v>1462</v>
      </c>
      <c r="J769">
        <v>3</v>
      </c>
      <c r="K769">
        <v>5700</v>
      </c>
      <c r="X769">
        <v>3</v>
      </c>
      <c r="Y769">
        <v>5700</v>
      </c>
      <c r="Z769" s="3">
        <f t="shared" si="11"/>
        <v>1900</v>
      </c>
    </row>
    <row r="770" spans="1:26" hidden="1">
      <c r="A770" t="s">
        <v>707</v>
      </c>
      <c r="B770" s="6">
        <v>44287</v>
      </c>
      <c r="C770" s="6">
        <v>44651</v>
      </c>
      <c r="D770">
        <v>20210401</v>
      </c>
      <c r="E770">
        <v>20220331</v>
      </c>
      <c r="F770" t="s">
        <v>6625</v>
      </c>
      <c r="G770" t="s">
        <v>6626</v>
      </c>
      <c r="H770" t="s">
        <v>590</v>
      </c>
      <c r="I770" t="s">
        <v>1462</v>
      </c>
      <c r="J770">
        <v>1</v>
      </c>
      <c r="K770">
        <v>1150</v>
      </c>
      <c r="X770">
        <v>1</v>
      </c>
      <c r="Y770">
        <v>1150</v>
      </c>
      <c r="Z770" s="3">
        <f t="shared" si="11"/>
        <v>1150</v>
      </c>
    </row>
    <row r="771" spans="1:26" hidden="1">
      <c r="A771" t="s">
        <v>707</v>
      </c>
      <c r="B771" s="6">
        <v>44287</v>
      </c>
      <c r="C771" s="6">
        <v>44651</v>
      </c>
      <c r="D771">
        <v>20210401</v>
      </c>
      <c r="E771">
        <v>20220331</v>
      </c>
      <c r="F771" t="s">
        <v>6627</v>
      </c>
      <c r="G771" t="s">
        <v>6628</v>
      </c>
      <c r="H771" t="s">
        <v>590</v>
      </c>
      <c r="I771" t="s">
        <v>1462</v>
      </c>
      <c r="J771">
        <v>4</v>
      </c>
      <c r="K771">
        <v>1526.66</v>
      </c>
      <c r="X771">
        <v>4</v>
      </c>
      <c r="Y771">
        <v>1526.66</v>
      </c>
      <c r="Z771" s="3">
        <f t="shared" ref="Z771:Z834" si="12">IFERROR((O771+Q771)/(N771+P771),Y771/X771)</f>
        <v>381.66500000000002</v>
      </c>
    </row>
    <row r="772" spans="1:26" hidden="1">
      <c r="A772" t="s">
        <v>707</v>
      </c>
      <c r="B772" s="6">
        <v>44287</v>
      </c>
      <c r="C772" s="6">
        <v>44651</v>
      </c>
      <c r="D772">
        <v>20210401</v>
      </c>
      <c r="E772">
        <v>20220331</v>
      </c>
      <c r="F772" t="s">
        <v>6629</v>
      </c>
      <c r="G772" t="s">
        <v>6630</v>
      </c>
      <c r="I772" t="s">
        <v>1462</v>
      </c>
      <c r="J772">
        <v>2</v>
      </c>
      <c r="K772">
        <v>1207.56</v>
      </c>
      <c r="X772">
        <v>2</v>
      </c>
      <c r="Y772">
        <v>1207.56</v>
      </c>
      <c r="Z772" s="3">
        <f t="shared" si="12"/>
        <v>603.78</v>
      </c>
    </row>
    <row r="773" spans="1:26" hidden="1">
      <c r="A773" t="s">
        <v>707</v>
      </c>
      <c r="B773" s="6">
        <v>44287</v>
      </c>
      <c r="C773" s="6">
        <v>44651</v>
      </c>
      <c r="D773">
        <v>20210401</v>
      </c>
      <c r="E773">
        <v>20220331</v>
      </c>
      <c r="F773" t="s">
        <v>6631</v>
      </c>
      <c r="G773" t="s">
        <v>6632</v>
      </c>
      <c r="H773" t="s">
        <v>590</v>
      </c>
      <c r="I773" t="s">
        <v>1462</v>
      </c>
      <c r="J773">
        <v>8</v>
      </c>
      <c r="K773">
        <v>640.01</v>
      </c>
      <c r="L773">
        <v>10</v>
      </c>
      <c r="M773">
        <v>1250</v>
      </c>
      <c r="N773">
        <v>-18</v>
      </c>
      <c r="O773">
        <v>-1890</v>
      </c>
      <c r="Y773">
        <v>0.01</v>
      </c>
      <c r="Z773" s="3">
        <f t="shared" si="12"/>
        <v>105</v>
      </c>
    </row>
    <row r="774" spans="1:26" hidden="1">
      <c r="A774" t="s">
        <v>707</v>
      </c>
      <c r="B774" s="6">
        <v>44287</v>
      </c>
      <c r="C774" s="6">
        <v>44651</v>
      </c>
      <c r="D774">
        <v>20210401</v>
      </c>
      <c r="E774">
        <v>20220331</v>
      </c>
      <c r="F774" t="s">
        <v>6633</v>
      </c>
      <c r="G774" t="s">
        <v>6634</v>
      </c>
      <c r="H774" t="s">
        <v>590</v>
      </c>
      <c r="I774" t="s">
        <v>1462</v>
      </c>
      <c r="L774">
        <v>4</v>
      </c>
      <c r="M774">
        <v>456</v>
      </c>
      <c r="N774">
        <v>-1</v>
      </c>
      <c r="O774">
        <v>-114.01</v>
      </c>
      <c r="X774">
        <v>3</v>
      </c>
      <c r="Y774">
        <v>341.99</v>
      </c>
      <c r="Z774" s="3">
        <f t="shared" si="12"/>
        <v>114.01</v>
      </c>
    </row>
    <row r="775" spans="1:26" hidden="1">
      <c r="A775" t="s">
        <v>707</v>
      </c>
      <c r="B775" s="6">
        <v>44287</v>
      </c>
      <c r="C775" s="6">
        <v>44651</v>
      </c>
      <c r="D775">
        <v>20210401</v>
      </c>
      <c r="E775">
        <v>20220331</v>
      </c>
      <c r="F775" t="s">
        <v>6635</v>
      </c>
      <c r="G775" t="s">
        <v>6636</v>
      </c>
      <c r="H775" t="s">
        <v>590</v>
      </c>
      <c r="I775" t="s">
        <v>1462</v>
      </c>
      <c r="J775">
        <v>4</v>
      </c>
      <c r="K775">
        <v>393.96</v>
      </c>
      <c r="L775">
        <v>9</v>
      </c>
      <c r="M775">
        <v>945</v>
      </c>
      <c r="N775">
        <v>-5</v>
      </c>
      <c r="O775">
        <v>-499</v>
      </c>
      <c r="X775">
        <v>8</v>
      </c>
      <c r="Y775">
        <v>839.96</v>
      </c>
      <c r="Z775" s="3">
        <f t="shared" si="12"/>
        <v>99.8</v>
      </c>
    </row>
    <row r="776" spans="1:26" hidden="1">
      <c r="A776" t="s">
        <v>707</v>
      </c>
      <c r="B776" s="6">
        <v>44287</v>
      </c>
      <c r="C776" s="6">
        <v>44651</v>
      </c>
      <c r="D776">
        <v>20210401</v>
      </c>
      <c r="E776">
        <v>20220331</v>
      </c>
      <c r="F776" t="s">
        <v>6637</v>
      </c>
      <c r="G776" t="s">
        <v>6638</v>
      </c>
      <c r="H776" t="s">
        <v>590</v>
      </c>
      <c r="I776" t="s">
        <v>1462</v>
      </c>
      <c r="J776">
        <v>2</v>
      </c>
      <c r="K776">
        <v>220</v>
      </c>
      <c r="X776">
        <v>2</v>
      </c>
      <c r="Y776">
        <v>220</v>
      </c>
      <c r="Z776" s="3">
        <f t="shared" si="12"/>
        <v>110</v>
      </c>
    </row>
    <row r="777" spans="1:26" hidden="1">
      <c r="A777" t="s">
        <v>707</v>
      </c>
      <c r="B777" s="6">
        <v>44287</v>
      </c>
      <c r="C777" s="6">
        <v>44651</v>
      </c>
      <c r="D777">
        <v>20210401</v>
      </c>
      <c r="E777">
        <v>20220331</v>
      </c>
      <c r="F777" t="s">
        <v>6639</v>
      </c>
      <c r="G777" t="s">
        <v>6640</v>
      </c>
      <c r="H777" t="s">
        <v>590</v>
      </c>
      <c r="I777" t="s">
        <v>1462</v>
      </c>
      <c r="J777">
        <v>12</v>
      </c>
      <c r="K777">
        <v>2055.81</v>
      </c>
      <c r="N777">
        <v>-2</v>
      </c>
      <c r="O777">
        <v>-342.63</v>
      </c>
      <c r="X777">
        <v>10</v>
      </c>
      <c r="Y777">
        <v>1713.18</v>
      </c>
      <c r="Z777" s="3">
        <f t="shared" si="12"/>
        <v>171.315</v>
      </c>
    </row>
    <row r="778" spans="1:26" hidden="1">
      <c r="A778" t="s">
        <v>707</v>
      </c>
      <c r="B778" s="6">
        <v>44287</v>
      </c>
      <c r="C778" s="6">
        <v>44651</v>
      </c>
      <c r="D778">
        <v>20210401</v>
      </c>
      <c r="E778">
        <v>20220331</v>
      </c>
      <c r="F778" t="s">
        <v>6641</v>
      </c>
      <c r="G778" t="s">
        <v>6642</v>
      </c>
      <c r="H778" t="s">
        <v>590</v>
      </c>
      <c r="I778" t="s">
        <v>1462</v>
      </c>
      <c r="J778">
        <v>4</v>
      </c>
      <c r="K778">
        <v>628.82000000000005</v>
      </c>
      <c r="N778">
        <v>-2</v>
      </c>
      <c r="O778">
        <v>-314.39999999999998</v>
      </c>
      <c r="X778">
        <v>2</v>
      </c>
      <c r="Y778">
        <v>314.42</v>
      </c>
      <c r="Z778" s="3">
        <f t="shared" si="12"/>
        <v>157.19999999999999</v>
      </c>
    </row>
    <row r="779" spans="1:26" hidden="1">
      <c r="A779" t="s">
        <v>707</v>
      </c>
      <c r="B779" s="6">
        <v>44287</v>
      </c>
      <c r="C779" s="6">
        <v>44651</v>
      </c>
      <c r="D779">
        <v>20210401</v>
      </c>
      <c r="E779">
        <v>20220331</v>
      </c>
      <c r="F779" t="s">
        <v>6643</v>
      </c>
      <c r="G779" t="s">
        <v>6644</v>
      </c>
      <c r="H779" t="s">
        <v>590</v>
      </c>
      <c r="I779" t="s">
        <v>1462</v>
      </c>
      <c r="J779">
        <v>10</v>
      </c>
      <c r="K779">
        <v>2269.9899999999998</v>
      </c>
      <c r="L779">
        <v>9</v>
      </c>
      <c r="M779">
        <v>1998</v>
      </c>
      <c r="N779">
        <v>-7</v>
      </c>
      <c r="O779">
        <v>-1589</v>
      </c>
      <c r="R779">
        <v>-1</v>
      </c>
      <c r="S779">
        <v>-227</v>
      </c>
      <c r="X779">
        <v>11</v>
      </c>
      <c r="Y779">
        <v>2451.9899999999998</v>
      </c>
      <c r="Z779" s="3">
        <f t="shared" si="12"/>
        <v>227</v>
      </c>
    </row>
    <row r="780" spans="1:26" hidden="1">
      <c r="A780" t="s">
        <v>707</v>
      </c>
      <c r="B780" s="6">
        <v>44287</v>
      </c>
      <c r="C780" s="6">
        <v>44651</v>
      </c>
      <c r="D780">
        <v>20210401</v>
      </c>
      <c r="E780">
        <v>20220331</v>
      </c>
      <c r="F780" t="s">
        <v>6645</v>
      </c>
      <c r="G780" t="s">
        <v>6646</v>
      </c>
      <c r="H780" t="s">
        <v>590</v>
      </c>
      <c r="I780" t="s">
        <v>1462</v>
      </c>
      <c r="J780">
        <v>2</v>
      </c>
      <c r="K780">
        <v>311.39999999999998</v>
      </c>
      <c r="N780">
        <v>-2</v>
      </c>
      <c r="O780">
        <v>-311.39999999999998</v>
      </c>
      <c r="Z780" s="3">
        <f t="shared" si="12"/>
        <v>155.69999999999999</v>
      </c>
    </row>
    <row r="781" spans="1:26" hidden="1">
      <c r="A781" t="s">
        <v>707</v>
      </c>
      <c r="B781" s="6">
        <v>44287</v>
      </c>
      <c r="C781" s="6">
        <v>44651</v>
      </c>
      <c r="D781">
        <v>20210401</v>
      </c>
      <c r="E781">
        <v>20220331</v>
      </c>
      <c r="F781" t="s">
        <v>6647</v>
      </c>
      <c r="G781" t="s">
        <v>6648</v>
      </c>
      <c r="H781" t="s">
        <v>590</v>
      </c>
      <c r="I781" t="s">
        <v>1462</v>
      </c>
      <c r="J781">
        <v>4</v>
      </c>
      <c r="K781">
        <v>1063.6300000000001</v>
      </c>
      <c r="L781">
        <v>9</v>
      </c>
      <c r="M781">
        <v>2745</v>
      </c>
      <c r="N781">
        <v>-10</v>
      </c>
      <c r="O781">
        <v>-2796.53</v>
      </c>
      <c r="X781">
        <v>3</v>
      </c>
      <c r="Y781">
        <v>1012.1</v>
      </c>
      <c r="Z781" s="3">
        <f t="shared" si="12"/>
        <v>279.65300000000002</v>
      </c>
    </row>
    <row r="782" spans="1:26" hidden="1">
      <c r="A782" t="s">
        <v>707</v>
      </c>
      <c r="B782" s="6">
        <v>44287</v>
      </c>
      <c r="C782" s="6">
        <v>44651</v>
      </c>
      <c r="D782">
        <v>20210401</v>
      </c>
      <c r="E782">
        <v>20220331</v>
      </c>
      <c r="F782" t="s">
        <v>3530</v>
      </c>
      <c r="G782" t="s">
        <v>3531</v>
      </c>
      <c r="H782" t="s">
        <v>590</v>
      </c>
      <c r="I782" t="s">
        <v>1462</v>
      </c>
      <c r="J782">
        <v>6</v>
      </c>
      <c r="K782">
        <v>596.45000000000005</v>
      </c>
      <c r="L782">
        <v>9</v>
      </c>
      <c r="M782">
        <v>945</v>
      </c>
      <c r="N782">
        <v>-1</v>
      </c>
      <c r="O782">
        <v>-99.39</v>
      </c>
      <c r="R782">
        <v>-1</v>
      </c>
      <c r="S782">
        <v>-99.39</v>
      </c>
      <c r="X782">
        <v>13</v>
      </c>
      <c r="Y782">
        <v>1342.67</v>
      </c>
      <c r="Z782" s="3">
        <f t="shared" si="12"/>
        <v>99.39</v>
      </c>
    </row>
    <row r="783" spans="1:26" hidden="1">
      <c r="A783" t="s">
        <v>707</v>
      </c>
      <c r="B783" s="6">
        <v>44287</v>
      </c>
      <c r="C783" s="6">
        <v>44651</v>
      </c>
      <c r="D783">
        <v>20210401</v>
      </c>
      <c r="E783">
        <v>20220331</v>
      </c>
      <c r="F783" t="s">
        <v>3534</v>
      </c>
      <c r="G783" t="s">
        <v>3535</v>
      </c>
      <c r="H783" t="s">
        <v>590</v>
      </c>
      <c r="I783" t="s">
        <v>1462</v>
      </c>
      <c r="J783">
        <v>14</v>
      </c>
      <c r="K783">
        <v>2132.35</v>
      </c>
      <c r="N783">
        <v>-5</v>
      </c>
      <c r="O783">
        <v>-757.96</v>
      </c>
      <c r="X783">
        <v>9</v>
      </c>
      <c r="Y783">
        <v>1374.39</v>
      </c>
      <c r="Z783" s="3">
        <f t="shared" si="12"/>
        <v>151.59200000000001</v>
      </c>
    </row>
    <row r="784" spans="1:26" hidden="1">
      <c r="A784" t="s">
        <v>707</v>
      </c>
      <c r="B784" s="6">
        <v>44287</v>
      </c>
      <c r="C784" s="6">
        <v>44651</v>
      </c>
      <c r="D784">
        <v>20210401</v>
      </c>
      <c r="E784">
        <v>20220331</v>
      </c>
      <c r="F784" t="s">
        <v>6649</v>
      </c>
      <c r="G784" t="s">
        <v>6650</v>
      </c>
      <c r="H784" t="s">
        <v>590</v>
      </c>
      <c r="I784" t="s">
        <v>1462</v>
      </c>
      <c r="J784">
        <v>4</v>
      </c>
      <c r="K784">
        <v>920.08</v>
      </c>
      <c r="X784">
        <v>4</v>
      </c>
      <c r="Y784">
        <v>920.08</v>
      </c>
      <c r="Z784" s="3">
        <f t="shared" si="12"/>
        <v>230.02</v>
      </c>
    </row>
    <row r="785" spans="1:26" hidden="1">
      <c r="A785" t="s">
        <v>707</v>
      </c>
      <c r="B785" s="6">
        <v>44287</v>
      </c>
      <c r="C785" s="6">
        <v>44651</v>
      </c>
      <c r="D785">
        <v>20210401</v>
      </c>
      <c r="E785">
        <v>20220331</v>
      </c>
      <c r="F785" t="s">
        <v>6651</v>
      </c>
      <c r="G785" t="s">
        <v>6652</v>
      </c>
      <c r="H785" t="s">
        <v>590</v>
      </c>
      <c r="I785" t="s">
        <v>1462</v>
      </c>
      <c r="P785">
        <v>1</v>
      </c>
      <c r="Q785">
        <v>124.98</v>
      </c>
      <c r="R785">
        <v>-1</v>
      </c>
      <c r="S785">
        <v>-124.98</v>
      </c>
      <c r="Z785" s="3">
        <f t="shared" si="12"/>
        <v>124.98</v>
      </c>
    </row>
    <row r="786" spans="1:26" hidden="1">
      <c r="A786" t="s">
        <v>707</v>
      </c>
      <c r="B786" s="6">
        <v>44287</v>
      </c>
      <c r="C786" s="6">
        <v>44651</v>
      </c>
      <c r="D786">
        <v>20210401</v>
      </c>
      <c r="E786">
        <v>20220331</v>
      </c>
      <c r="F786" t="s">
        <v>6653</v>
      </c>
      <c r="G786" t="s">
        <v>6654</v>
      </c>
      <c r="H786" t="s">
        <v>590</v>
      </c>
      <c r="I786" t="s">
        <v>1462</v>
      </c>
      <c r="J786">
        <v>14</v>
      </c>
      <c r="K786">
        <v>1747.15</v>
      </c>
      <c r="X786">
        <v>14</v>
      </c>
      <c r="Y786">
        <v>1747.15</v>
      </c>
      <c r="Z786" s="3">
        <f t="shared" si="12"/>
        <v>124.79642857142858</v>
      </c>
    </row>
    <row r="787" spans="1:26" hidden="1">
      <c r="A787" t="s">
        <v>707</v>
      </c>
      <c r="B787" s="6">
        <v>44287</v>
      </c>
      <c r="C787" s="6">
        <v>44651</v>
      </c>
      <c r="D787">
        <v>20210401</v>
      </c>
      <c r="E787">
        <v>20220331</v>
      </c>
      <c r="F787" t="s">
        <v>6655</v>
      </c>
      <c r="G787" t="s">
        <v>6656</v>
      </c>
      <c r="H787" t="s">
        <v>590</v>
      </c>
      <c r="I787" t="s">
        <v>1462</v>
      </c>
      <c r="J787">
        <v>8</v>
      </c>
      <c r="K787">
        <v>1280</v>
      </c>
      <c r="N787">
        <v>-6</v>
      </c>
      <c r="O787">
        <v>-960</v>
      </c>
      <c r="X787">
        <v>2</v>
      </c>
      <c r="Y787">
        <v>320</v>
      </c>
      <c r="Z787" s="3">
        <f t="shared" si="12"/>
        <v>160</v>
      </c>
    </row>
    <row r="788" spans="1:26" hidden="1">
      <c r="A788" t="s">
        <v>707</v>
      </c>
      <c r="B788" s="6">
        <v>44287</v>
      </c>
      <c r="C788" s="6">
        <v>44651</v>
      </c>
      <c r="D788">
        <v>20210401</v>
      </c>
      <c r="E788">
        <v>20220331</v>
      </c>
      <c r="F788" t="s">
        <v>6657</v>
      </c>
      <c r="G788" t="s">
        <v>6658</v>
      </c>
      <c r="H788" t="s">
        <v>590</v>
      </c>
      <c r="I788" t="s">
        <v>1462</v>
      </c>
      <c r="J788">
        <v>5</v>
      </c>
      <c r="K788">
        <v>962.8</v>
      </c>
      <c r="L788">
        <v>12</v>
      </c>
      <c r="M788">
        <v>2580</v>
      </c>
      <c r="N788">
        <v>-5</v>
      </c>
      <c r="O788">
        <v>-1042</v>
      </c>
      <c r="X788">
        <v>12</v>
      </c>
      <c r="Y788">
        <v>2500.8000000000002</v>
      </c>
      <c r="Z788" s="3">
        <f t="shared" si="12"/>
        <v>208.4</v>
      </c>
    </row>
    <row r="789" spans="1:26" hidden="1">
      <c r="A789" t="s">
        <v>707</v>
      </c>
      <c r="B789" s="6">
        <v>44287</v>
      </c>
      <c r="C789" s="6">
        <v>44651</v>
      </c>
      <c r="D789">
        <v>20210401</v>
      </c>
      <c r="E789">
        <v>20220331</v>
      </c>
      <c r="F789" t="s">
        <v>6659</v>
      </c>
      <c r="G789" t="s">
        <v>6660</v>
      </c>
      <c r="H789" t="s">
        <v>590</v>
      </c>
      <c r="I789" t="s">
        <v>1462</v>
      </c>
      <c r="J789">
        <v>6</v>
      </c>
      <c r="K789">
        <v>486</v>
      </c>
      <c r="N789">
        <v>-1</v>
      </c>
      <c r="O789">
        <v>-81</v>
      </c>
      <c r="X789">
        <v>5</v>
      </c>
      <c r="Y789">
        <v>405</v>
      </c>
      <c r="Z789" s="3">
        <f t="shared" si="12"/>
        <v>81</v>
      </c>
    </row>
    <row r="790" spans="1:26" hidden="1">
      <c r="A790" t="s">
        <v>707</v>
      </c>
      <c r="B790" s="6">
        <v>44287</v>
      </c>
      <c r="C790" s="6">
        <v>44651</v>
      </c>
      <c r="D790">
        <v>20210401</v>
      </c>
      <c r="E790">
        <v>20220331</v>
      </c>
      <c r="F790" t="s">
        <v>6661</v>
      </c>
      <c r="G790" t="s">
        <v>6662</v>
      </c>
      <c r="H790" t="s">
        <v>590</v>
      </c>
      <c r="I790" t="s">
        <v>1462</v>
      </c>
      <c r="J790">
        <v>12</v>
      </c>
      <c r="K790">
        <v>1666.27</v>
      </c>
      <c r="X790">
        <v>12</v>
      </c>
      <c r="Y790">
        <v>1666.27</v>
      </c>
      <c r="Z790" s="3">
        <f t="shared" si="12"/>
        <v>138.85583333333332</v>
      </c>
    </row>
    <row r="791" spans="1:26" hidden="1">
      <c r="A791" t="s">
        <v>707</v>
      </c>
      <c r="B791" s="6">
        <v>44287</v>
      </c>
      <c r="C791" s="6">
        <v>44651</v>
      </c>
      <c r="D791">
        <v>20210401</v>
      </c>
      <c r="E791">
        <v>20220331</v>
      </c>
      <c r="F791" t="s">
        <v>6663</v>
      </c>
      <c r="G791" t="s">
        <v>6664</v>
      </c>
      <c r="H791" t="s">
        <v>590</v>
      </c>
      <c r="I791" t="s">
        <v>1462</v>
      </c>
      <c r="J791">
        <v>9</v>
      </c>
      <c r="K791">
        <v>1394.7</v>
      </c>
      <c r="X791">
        <v>9</v>
      </c>
      <c r="Y791">
        <v>1394.7</v>
      </c>
      <c r="Z791" s="3">
        <f t="shared" si="12"/>
        <v>154.96666666666667</v>
      </c>
    </row>
    <row r="792" spans="1:26" hidden="1">
      <c r="A792" t="s">
        <v>707</v>
      </c>
      <c r="B792" s="6">
        <v>44287</v>
      </c>
      <c r="C792" s="6">
        <v>44651</v>
      </c>
      <c r="D792">
        <v>20210401</v>
      </c>
      <c r="E792">
        <v>20220331</v>
      </c>
      <c r="F792" t="s">
        <v>6665</v>
      </c>
      <c r="G792" t="s">
        <v>6666</v>
      </c>
      <c r="H792" t="s">
        <v>590</v>
      </c>
      <c r="I792" t="s">
        <v>1462</v>
      </c>
      <c r="J792">
        <v>5</v>
      </c>
      <c r="K792">
        <v>855.95</v>
      </c>
      <c r="L792">
        <v>20</v>
      </c>
      <c r="M792">
        <v>4160</v>
      </c>
      <c r="N792">
        <v>-14</v>
      </c>
      <c r="O792">
        <v>-2750.09</v>
      </c>
      <c r="X792">
        <v>11</v>
      </c>
      <c r="Y792">
        <v>2265.86</v>
      </c>
      <c r="Z792" s="3">
        <f t="shared" si="12"/>
        <v>196.435</v>
      </c>
    </row>
    <row r="793" spans="1:26" hidden="1">
      <c r="A793" t="s">
        <v>707</v>
      </c>
      <c r="B793" s="6">
        <v>44287</v>
      </c>
      <c r="C793" s="6">
        <v>44651</v>
      </c>
      <c r="D793">
        <v>20210401</v>
      </c>
      <c r="E793">
        <v>20220331</v>
      </c>
      <c r="F793" t="s">
        <v>6667</v>
      </c>
      <c r="G793" t="s">
        <v>6668</v>
      </c>
      <c r="H793" t="s">
        <v>590</v>
      </c>
      <c r="I793" t="s">
        <v>1462</v>
      </c>
      <c r="J793">
        <v>6</v>
      </c>
      <c r="K793">
        <v>1678.54</v>
      </c>
      <c r="N793">
        <v>-6</v>
      </c>
      <c r="O793">
        <v>-1678.56</v>
      </c>
      <c r="Y793">
        <v>-0.02</v>
      </c>
      <c r="Z793" s="3">
        <f t="shared" si="12"/>
        <v>279.76</v>
      </c>
    </row>
    <row r="794" spans="1:26" hidden="1">
      <c r="A794" t="s">
        <v>707</v>
      </c>
      <c r="B794" s="6">
        <v>44287</v>
      </c>
      <c r="C794" s="6">
        <v>44651</v>
      </c>
      <c r="D794">
        <v>20210401</v>
      </c>
      <c r="E794">
        <v>20220331</v>
      </c>
      <c r="F794" t="s">
        <v>6669</v>
      </c>
      <c r="G794" t="s">
        <v>6670</v>
      </c>
      <c r="H794" t="s">
        <v>590</v>
      </c>
      <c r="I794" t="s">
        <v>1462</v>
      </c>
      <c r="J794">
        <v>8</v>
      </c>
      <c r="K794">
        <v>1731.84</v>
      </c>
      <c r="X794">
        <v>8</v>
      </c>
      <c r="Y794">
        <v>1731.84</v>
      </c>
      <c r="Z794" s="3">
        <f t="shared" si="12"/>
        <v>216.48</v>
      </c>
    </row>
    <row r="795" spans="1:26" hidden="1">
      <c r="A795" t="s">
        <v>707</v>
      </c>
      <c r="B795" s="6">
        <v>44287</v>
      </c>
      <c r="C795" s="6">
        <v>44651</v>
      </c>
      <c r="D795">
        <v>20210401</v>
      </c>
      <c r="E795">
        <v>20220331</v>
      </c>
      <c r="F795" t="s">
        <v>6671</v>
      </c>
      <c r="G795" t="s">
        <v>6672</v>
      </c>
      <c r="H795" t="s">
        <v>590</v>
      </c>
      <c r="I795" t="s">
        <v>1462</v>
      </c>
      <c r="J795">
        <v>10</v>
      </c>
      <c r="K795">
        <v>5561.67</v>
      </c>
      <c r="X795">
        <v>10</v>
      </c>
      <c r="Y795">
        <v>5561.67</v>
      </c>
      <c r="Z795" s="3">
        <f t="shared" si="12"/>
        <v>556.16700000000003</v>
      </c>
    </row>
    <row r="796" spans="1:26" hidden="1">
      <c r="A796" t="s">
        <v>707</v>
      </c>
      <c r="B796" s="6">
        <v>44287</v>
      </c>
      <c r="C796" s="6">
        <v>44651</v>
      </c>
      <c r="D796">
        <v>20210401</v>
      </c>
      <c r="E796">
        <v>20220331</v>
      </c>
      <c r="F796" t="s">
        <v>6673</v>
      </c>
      <c r="G796" t="s">
        <v>6674</v>
      </c>
      <c r="I796" t="s">
        <v>1462</v>
      </c>
      <c r="L796">
        <v>8</v>
      </c>
      <c r="M796">
        <v>6000</v>
      </c>
      <c r="X796">
        <v>8</v>
      </c>
      <c r="Y796">
        <v>6000</v>
      </c>
      <c r="Z796" s="3">
        <f t="shared" si="12"/>
        <v>750</v>
      </c>
    </row>
    <row r="797" spans="1:26" hidden="1">
      <c r="A797" t="s">
        <v>707</v>
      </c>
      <c r="B797" s="6">
        <v>44287</v>
      </c>
      <c r="C797" s="6">
        <v>44651</v>
      </c>
      <c r="D797">
        <v>20210401</v>
      </c>
      <c r="E797">
        <v>20220331</v>
      </c>
      <c r="F797" t="s">
        <v>6675</v>
      </c>
      <c r="G797" t="s">
        <v>6676</v>
      </c>
      <c r="H797" t="s">
        <v>590</v>
      </c>
      <c r="I797" t="s">
        <v>1462</v>
      </c>
      <c r="J797">
        <v>5</v>
      </c>
      <c r="K797">
        <v>1453.5</v>
      </c>
      <c r="X797">
        <v>5</v>
      </c>
      <c r="Y797">
        <v>1453.5</v>
      </c>
      <c r="Z797" s="3">
        <f t="shared" si="12"/>
        <v>290.7</v>
      </c>
    </row>
    <row r="798" spans="1:26" hidden="1">
      <c r="A798" t="s">
        <v>707</v>
      </c>
      <c r="B798" s="6">
        <v>44287</v>
      </c>
      <c r="C798" s="6">
        <v>44651</v>
      </c>
      <c r="D798">
        <v>20210401</v>
      </c>
      <c r="E798">
        <v>20220331</v>
      </c>
      <c r="F798" t="s">
        <v>6677</v>
      </c>
      <c r="G798" t="s">
        <v>6678</v>
      </c>
      <c r="H798" t="s">
        <v>590</v>
      </c>
      <c r="I798" t="s">
        <v>1462</v>
      </c>
      <c r="J798">
        <v>4</v>
      </c>
      <c r="K798">
        <v>526.80999999999995</v>
      </c>
      <c r="X798">
        <v>4</v>
      </c>
      <c r="Y798">
        <v>526.80999999999995</v>
      </c>
      <c r="Z798" s="3">
        <f t="shared" si="12"/>
        <v>131.70249999999999</v>
      </c>
    </row>
    <row r="799" spans="1:26" hidden="1">
      <c r="A799" t="s">
        <v>707</v>
      </c>
      <c r="B799" s="6">
        <v>44287</v>
      </c>
      <c r="C799" s="6">
        <v>44651</v>
      </c>
      <c r="D799">
        <v>20210401</v>
      </c>
      <c r="E799">
        <v>20220331</v>
      </c>
      <c r="F799" t="s">
        <v>3552</v>
      </c>
      <c r="G799" t="s">
        <v>3553</v>
      </c>
      <c r="H799" t="s">
        <v>1267</v>
      </c>
      <c r="I799" t="s">
        <v>805</v>
      </c>
      <c r="L799">
        <v>32</v>
      </c>
      <c r="M799">
        <v>9115</v>
      </c>
      <c r="N799">
        <v>-15.5</v>
      </c>
      <c r="O799">
        <v>-4472.04</v>
      </c>
      <c r="X799">
        <v>16.5</v>
      </c>
      <c r="Y799">
        <v>4642.96</v>
      </c>
      <c r="Z799" s="3">
        <f t="shared" si="12"/>
        <v>288.51870967741934</v>
      </c>
    </row>
    <row r="800" spans="1:26" hidden="1">
      <c r="A800" t="s">
        <v>707</v>
      </c>
      <c r="B800" s="6">
        <v>44287</v>
      </c>
      <c r="C800" s="6">
        <v>44651</v>
      </c>
      <c r="D800">
        <v>20210401</v>
      </c>
      <c r="E800">
        <v>20220331</v>
      </c>
      <c r="F800" t="s">
        <v>3554</v>
      </c>
      <c r="G800" t="s">
        <v>3555</v>
      </c>
      <c r="H800" t="s">
        <v>1267</v>
      </c>
      <c r="I800" t="s">
        <v>805</v>
      </c>
      <c r="L800">
        <v>89.5</v>
      </c>
      <c r="M800">
        <v>33895</v>
      </c>
      <c r="N800">
        <v>-89.5</v>
      </c>
      <c r="O800">
        <v>-33898.339999999997</v>
      </c>
      <c r="Y800">
        <v>-3.34</v>
      </c>
      <c r="Z800" s="3">
        <f t="shared" si="12"/>
        <v>378.7524022346368</v>
      </c>
    </row>
    <row r="801" spans="1:26" hidden="1">
      <c r="A801" t="s">
        <v>707</v>
      </c>
      <c r="B801" s="6">
        <v>44287</v>
      </c>
      <c r="C801" s="6">
        <v>44651</v>
      </c>
      <c r="D801">
        <v>20210401</v>
      </c>
      <c r="E801">
        <v>20220331</v>
      </c>
      <c r="F801" t="s">
        <v>3556</v>
      </c>
      <c r="G801" t="s">
        <v>3557</v>
      </c>
      <c r="H801" t="s">
        <v>1267</v>
      </c>
      <c r="I801" t="s">
        <v>805</v>
      </c>
      <c r="L801">
        <v>22.5</v>
      </c>
      <c r="M801">
        <v>5200</v>
      </c>
      <c r="N801">
        <v>-22.5</v>
      </c>
      <c r="O801">
        <v>-5200</v>
      </c>
      <c r="Z801" s="3">
        <f t="shared" si="12"/>
        <v>231.11111111111111</v>
      </c>
    </row>
    <row r="802" spans="1:26" hidden="1">
      <c r="A802" t="s">
        <v>707</v>
      </c>
      <c r="B802" s="6">
        <v>44287</v>
      </c>
      <c r="C802" s="6">
        <v>44651</v>
      </c>
      <c r="D802">
        <v>20210401</v>
      </c>
      <c r="E802">
        <v>20220331</v>
      </c>
      <c r="F802" t="s">
        <v>3558</v>
      </c>
      <c r="G802" t="s">
        <v>3559</v>
      </c>
      <c r="H802" t="s">
        <v>1267</v>
      </c>
      <c r="I802" t="s">
        <v>805</v>
      </c>
      <c r="L802">
        <v>13</v>
      </c>
      <c r="M802">
        <v>3560</v>
      </c>
      <c r="N802">
        <v>-13</v>
      </c>
      <c r="O802">
        <v>-3560</v>
      </c>
      <c r="Z802" s="3">
        <f t="shared" si="12"/>
        <v>273.84615384615387</v>
      </c>
    </row>
    <row r="803" spans="1:26" hidden="1">
      <c r="A803" t="s">
        <v>707</v>
      </c>
      <c r="B803" s="6">
        <v>44287</v>
      </c>
      <c r="C803" s="6">
        <v>44651</v>
      </c>
      <c r="D803">
        <v>20210401</v>
      </c>
      <c r="E803">
        <v>20220331</v>
      </c>
      <c r="F803" t="s">
        <v>3560</v>
      </c>
      <c r="G803" t="s">
        <v>3561</v>
      </c>
      <c r="H803" t="s">
        <v>1267</v>
      </c>
      <c r="I803" t="s">
        <v>805</v>
      </c>
      <c r="L803">
        <v>6</v>
      </c>
      <c r="M803">
        <v>1330</v>
      </c>
      <c r="N803">
        <v>-6</v>
      </c>
      <c r="O803">
        <v>-1330</v>
      </c>
      <c r="Z803" s="3">
        <f t="shared" si="12"/>
        <v>221.66666666666666</v>
      </c>
    </row>
    <row r="804" spans="1:26" hidden="1">
      <c r="A804" t="s">
        <v>707</v>
      </c>
      <c r="B804" s="6">
        <v>44287</v>
      </c>
      <c r="C804" s="6">
        <v>44651</v>
      </c>
      <c r="D804">
        <v>20210401</v>
      </c>
      <c r="E804">
        <v>20220331</v>
      </c>
      <c r="F804" t="s">
        <v>3564</v>
      </c>
      <c r="G804" t="s">
        <v>3565</v>
      </c>
      <c r="H804" t="s">
        <v>590</v>
      </c>
      <c r="I804" t="s">
        <v>1462</v>
      </c>
      <c r="L804">
        <v>8</v>
      </c>
      <c r="M804">
        <v>2200</v>
      </c>
      <c r="N804">
        <v>-1</v>
      </c>
      <c r="O804">
        <v>-275</v>
      </c>
      <c r="X804">
        <v>7</v>
      </c>
      <c r="Y804">
        <v>1925</v>
      </c>
      <c r="Z804" s="3">
        <f t="shared" si="12"/>
        <v>275</v>
      </c>
    </row>
    <row r="805" spans="1:26" hidden="1">
      <c r="A805" t="s">
        <v>707</v>
      </c>
      <c r="B805" s="6">
        <v>44287</v>
      </c>
      <c r="C805" s="6">
        <v>44651</v>
      </c>
      <c r="D805">
        <v>20210401</v>
      </c>
      <c r="E805">
        <v>20220331</v>
      </c>
      <c r="F805" t="s">
        <v>3568</v>
      </c>
      <c r="G805" t="s">
        <v>3569</v>
      </c>
      <c r="H805" t="s">
        <v>590</v>
      </c>
      <c r="I805" t="s">
        <v>805</v>
      </c>
      <c r="J805">
        <v>2</v>
      </c>
      <c r="K805">
        <v>140</v>
      </c>
      <c r="L805">
        <v>12</v>
      </c>
      <c r="M805">
        <v>850</v>
      </c>
      <c r="N805">
        <v>-7</v>
      </c>
      <c r="O805">
        <v>-490.67</v>
      </c>
      <c r="X805">
        <v>7</v>
      </c>
      <c r="Y805">
        <v>499.33</v>
      </c>
      <c r="Z805" s="3">
        <f t="shared" si="12"/>
        <v>70.095714285714294</v>
      </c>
    </row>
    <row r="806" spans="1:26" hidden="1">
      <c r="A806" t="s">
        <v>707</v>
      </c>
      <c r="B806" s="6">
        <v>44287</v>
      </c>
      <c r="C806" s="6">
        <v>44651</v>
      </c>
      <c r="D806">
        <v>20210401</v>
      </c>
      <c r="E806">
        <v>20220331</v>
      </c>
      <c r="F806" t="s">
        <v>3572</v>
      </c>
      <c r="G806" t="s">
        <v>3573</v>
      </c>
      <c r="H806" t="s">
        <v>1267</v>
      </c>
      <c r="I806" t="s">
        <v>805</v>
      </c>
      <c r="L806">
        <v>8.5</v>
      </c>
      <c r="M806">
        <v>1870</v>
      </c>
      <c r="N806">
        <v>-8.5</v>
      </c>
      <c r="O806">
        <v>-1870</v>
      </c>
      <c r="Z806" s="3">
        <f t="shared" si="12"/>
        <v>220</v>
      </c>
    </row>
    <row r="807" spans="1:26" hidden="1">
      <c r="A807" t="s">
        <v>707</v>
      </c>
      <c r="B807" s="6">
        <v>44287</v>
      </c>
      <c r="C807" s="6">
        <v>44651</v>
      </c>
      <c r="D807">
        <v>20210401</v>
      </c>
      <c r="E807">
        <v>20220331</v>
      </c>
      <c r="F807" t="s">
        <v>6679</v>
      </c>
      <c r="G807" t="s">
        <v>3553</v>
      </c>
      <c r="H807" t="s">
        <v>1267</v>
      </c>
      <c r="I807" t="s">
        <v>805</v>
      </c>
      <c r="L807">
        <v>22</v>
      </c>
      <c r="M807">
        <v>5060</v>
      </c>
      <c r="N807">
        <v>-3</v>
      </c>
      <c r="O807">
        <v>-690</v>
      </c>
      <c r="X807">
        <v>19</v>
      </c>
      <c r="Y807">
        <v>4370</v>
      </c>
      <c r="Z807" s="3">
        <f t="shared" si="12"/>
        <v>230</v>
      </c>
    </row>
    <row r="808" spans="1:26" hidden="1">
      <c r="A808" t="s">
        <v>707</v>
      </c>
      <c r="B808" s="6">
        <v>44287</v>
      </c>
      <c r="C808" s="6">
        <v>44651</v>
      </c>
      <c r="D808">
        <v>20210401</v>
      </c>
      <c r="E808">
        <v>20220331</v>
      </c>
      <c r="F808" t="s">
        <v>3574</v>
      </c>
      <c r="G808" t="s">
        <v>3575</v>
      </c>
      <c r="H808" t="s">
        <v>590</v>
      </c>
      <c r="I808" t="s">
        <v>805</v>
      </c>
      <c r="L808">
        <v>6</v>
      </c>
      <c r="M808">
        <v>320</v>
      </c>
      <c r="N808">
        <v>-4</v>
      </c>
      <c r="O808">
        <v>-260</v>
      </c>
      <c r="X808">
        <v>2</v>
      </c>
      <c r="Y808">
        <v>60</v>
      </c>
      <c r="Z808" s="3">
        <f t="shared" si="12"/>
        <v>65</v>
      </c>
    </row>
    <row r="809" spans="1:26" hidden="1">
      <c r="A809" t="s">
        <v>707</v>
      </c>
      <c r="B809" s="6">
        <v>44287</v>
      </c>
      <c r="C809" s="6">
        <v>44651</v>
      </c>
      <c r="D809">
        <v>20210401</v>
      </c>
      <c r="E809">
        <v>20220331</v>
      </c>
      <c r="F809" t="s">
        <v>3576</v>
      </c>
      <c r="G809" t="s">
        <v>3577</v>
      </c>
      <c r="H809" t="s">
        <v>1267</v>
      </c>
      <c r="I809" t="s">
        <v>805</v>
      </c>
      <c r="L809">
        <v>23</v>
      </c>
      <c r="M809">
        <v>5165</v>
      </c>
      <c r="N809">
        <v>-23</v>
      </c>
      <c r="O809">
        <v>-5165</v>
      </c>
      <c r="Z809" s="3">
        <f t="shared" si="12"/>
        <v>224.56521739130434</v>
      </c>
    </row>
    <row r="810" spans="1:26" hidden="1">
      <c r="A810" t="s">
        <v>707</v>
      </c>
      <c r="B810" s="6">
        <v>44287</v>
      </c>
      <c r="C810" s="6">
        <v>44651</v>
      </c>
      <c r="D810">
        <v>20210401</v>
      </c>
      <c r="E810">
        <v>20220331</v>
      </c>
      <c r="F810" t="s">
        <v>6680</v>
      </c>
      <c r="G810" t="s">
        <v>6681</v>
      </c>
      <c r="H810" t="s">
        <v>1267</v>
      </c>
      <c r="I810" t="s">
        <v>805</v>
      </c>
      <c r="L810">
        <v>23</v>
      </c>
      <c r="M810">
        <v>3680</v>
      </c>
      <c r="N810">
        <v>-23</v>
      </c>
      <c r="O810">
        <v>-3680</v>
      </c>
      <c r="Z810" s="3">
        <f t="shared" si="12"/>
        <v>160</v>
      </c>
    </row>
    <row r="811" spans="1:26" hidden="1">
      <c r="A811" t="s">
        <v>707</v>
      </c>
      <c r="B811" s="6">
        <v>44287</v>
      </c>
      <c r="C811" s="6">
        <v>44651</v>
      </c>
      <c r="D811">
        <v>20210401</v>
      </c>
      <c r="E811">
        <v>20220331</v>
      </c>
      <c r="F811" t="s">
        <v>3578</v>
      </c>
      <c r="G811" t="s">
        <v>3579</v>
      </c>
      <c r="I811" t="s">
        <v>805</v>
      </c>
      <c r="L811">
        <v>53</v>
      </c>
      <c r="M811">
        <v>5355</v>
      </c>
      <c r="N811">
        <v>-48</v>
      </c>
      <c r="O811">
        <v>-4854.99</v>
      </c>
      <c r="X811">
        <v>5</v>
      </c>
      <c r="Y811">
        <v>500.01</v>
      </c>
      <c r="Z811" s="3">
        <f t="shared" si="12"/>
        <v>101.145625</v>
      </c>
    </row>
    <row r="812" spans="1:26" hidden="1">
      <c r="A812" t="s">
        <v>707</v>
      </c>
      <c r="B812" s="6">
        <v>44287</v>
      </c>
      <c r="C812" s="6">
        <v>44651</v>
      </c>
      <c r="D812">
        <v>20210401</v>
      </c>
      <c r="E812">
        <v>20220331</v>
      </c>
      <c r="F812" t="s">
        <v>3580</v>
      </c>
      <c r="G812" t="s">
        <v>3581</v>
      </c>
      <c r="H812" t="s">
        <v>1267</v>
      </c>
      <c r="I812" t="s">
        <v>805</v>
      </c>
      <c r="L812">
        <v>10</v>
      </c>
      <c r="M812">
        <v>1725</v>
      </c>
      <c r="N812">
        <v>-10</v>
      </c>
      <c r="O812">
        <v>-1725</v>
      </c>
      <c r="Z812" s="3">
        <f t="shared" si="12"/>
        <v>172.5</v>
      </c>
    </row>
    <row r="813" spans="1:26" hidden="1">
      <c r="A813" t="s">
        <v>707</v>
      </c>
      <c r="B813" s="6">
        <v>44287</v>
      </c>
      <c r="C813" s="6">
        <v>44651</v>
      </c>
      <c r="D813">
        <v>20210401</v>
      </c>
      <c r="E813">
        <v>20220331</v>
      </c>
      <c r="F813" t="s">
        <v>3588</v>
      </c>
      <c r="G813" t="s">
        <v>3589</v>
      </c>
      <c r="H813" t="s">
        <v>1267</v>
      </c>
      <c r="I813" t="s">
        <v>805</v>
      </c>
      <c r="L813">
        <v>13</v>
      </c>
      <c r="M813">
        <v>4065</v>
      </c>
      <c r="N813">
        <v>-13</v>
      </c>
      <c r="O813">
        <v>-4065</v>
      </c>
      <c r="Z813" s="3">
        <f t="shared" si="12"/>
        <v>312.69230769230768</v>
      </c>
    </row>
    <row r="814" spans="1:26" hidden="1">
      <c r="A814" t="s">
        <v>707</v>
      </c>
      <c r="B814" s="6">
        <v>44287</v>
      </c>
      <c r="C814" s="6">
        <v>44651</v>
      </c>
      <c r="D814">
        <v>20210401</v>
      </c>
      <c r="E814">
        <v>20220331</v>
      </c>
      <c r="F814" t="s">
        <v>6682</v>
      </c>
      <c r="G814" t="s">
        <v>6683</v>
      </c>
      <c r="H814" t="s">
        <v>1267</v>
      </c>
      <c r="I814" t="s">
        <v>1462</v>
      </c>
      <c r="L814">
        <v>10</v>
      </c>
      <c r="M814">
        <v>1800</v>
      </c>
      <c r="N814">
        <v>-10</v>
      </c>
      <c r="O814">
        <v>-1800</v>
      </c>
      <c r="Z814" s="3">
        <f t="shared" si="12"/>
        <v>180</v>
      </c>
    </row>
    <row r="815" spans="1:26" hidden="1">
      <c r="A815" t="s">
        <v>707</v>
      </c>
      <c r="B815" s="6">
        <v>44287</v>
      </c>
      <c r="C815" s="6">
        <v>44651</v>
      </c>
      <c r="D815">
        <v>20210401</v>
      </c>
      <c r="E815">
        <v>20220331</v>
      </c>
      <c r="F815" t="s">
        <v>3592</v>
      </c>
      <c r="G815" t="s">
        <v>3593</v>
      </c>
      <c r="H815" t="s">
        <v>590</v>
      </c>
      <c r="I815" t="s">
        <v>1462</v>
      </c>
      <c r="L815">
        <v>8</v>
      </c>
      <c r="M815">
        <v>950</v>
      </c>
      <c r="N815">
        <v>-3</v>
      </c>
      <c r="O815">
        <v>-600</v>
      </c>
      <c r="X815">
        <v>5</v>
      </c>
      <c r="Y815">
        <v>350</v>
      </c>
      <c r="Z815" s="3">
        <f t="shared" si="12"/>
        <v>200</v>
      </c>
    </row>
    <row r="816" spans="1:26" hidden="1">
      <c r="A816" t="s">
        <v>707</v>
      </c>
      <c r="B816" s="6">
        <v>44287</v>
      </c>
      <c r="C816" s="6">
        <v>44651</v>
      </c>
      <c r="D816">
        <v>20210401</v>
      </c>
      <c r="E816">
        <v>20220331</v>
      </c>
      <c r="F816" t="s">
        <v>6684</v>
      </c>
      <c r="G816" t="s">
        <v>6685</v>
      </c>
      <c r="H816" t="s">
        <v>1267</v>
      </c>
      <c r="I816" t="s">
        <v>1462</v>
      </c>
      <c r="L816">
        <v>20</v>
      </c>
      <c r="M816">
        <v>2700</v>
      </c>
      <c r="N816">
        <v>-20</v>
      </c>
      <c r="O816">
        <v>-2700</v>
      </c>
      <c r="Z816" s="3">
        <f t="shared" si="12"/>
        <v>135</v>
      </c>
    </row>
    <row r="817" spans="1:26" hidden="1">
      <c r="A817" t="s">
        <v>707</v>
      </c>
      <c r="B817" s="6">
        <v>44287</v>
      </c>
      <c r="C817" s="6">
        <v>44651</v>
      </c>
      <c r="D817">
        <v>20210401</v>
      </c>
      <c r="E817">
        <v>20220331</v>
      </c>
      <c r="F817" t="s">
        <v>3594</v>
      </c>
      <c r="G817" t="s">
        <v>3595</v>
      </c>
      <c r="H817" t="s">
        <v>613</v>
      </c>
      <c r="I817" t="s">
        <v>1462</v>
      </c>
      <c r="L817">
        <v>120</v>
      </c>
      <c r="M817">
        <v>2400</v>
      </c>
      <c r="N817">
        <v>-120</v>
      </c>
      <c r="O817">
        <v>-2400</v>
      </c>
      <c r="Z817" s="3">
        <f t="shared" si="12"/>
        <v>20</v>
      </c>
    </row>
    <row r="818" spans="1:26" hidden="1">
      <c r="A818" t="s">
        <v>707</v>
      </c>
      <c r="B818" s="6">
        <v>44287</v>
      </c>
      <c r="C818" s="6">
        <v>44651</v>
      </c>
      <c r="D818">
        <v>20210401</v>
      </c>
      <c r="E818">
        <v>20220331</v>
      </c>
      <c r="F818" t="s">
        <v>6686</v>
      </c>
      <c r="G818" t="s">
        <v>6687</v>
      </c>
      <c r="H818" t="s">
        <v>590</v>
      </c>
      <c r="I818" t="s">
        <v>1462</v>
      </c>
      <c r="J818">
        <v>8</v>
      </c>
      <c r="L818">
        <v>6</v>
      </c>
      <c r="M818">
        <v>7200</v>
      </c>
      <c r="X818">
        <v>14</v>
      </c>
      <c r="Y818">
        <v>7200</v>
      </c>
      <c r="Z818" s="3">
        <f t="shared" si="12"/>
        <v>514.28571428571433</v>
      </c>
    </row>
    <row r="819" spans="1:26" hidden="1">
      <c r="A819" t="s">
        <v>707</v>
      </c>
      <c r="B819" s="6">
        <v>44287</v>
      </c>
      <c r="C819" s="6">
        <v>44651</v>
      </c>
      <c r="D819">
        <v>20210401</v>
      </c>
      <c r="E819">
        <v>20220331</v>
      </c>
      <c r="F819" t="s">
        <v>6688</v>
      </c>
      <c r="G819" t="s">
        <v>6689</v>
      </c>
      <c r="H819" t="s">
        <v>590</v>
      </c>
      <c r="I819" t="s">
        <v>1462</v>
      </c>
      <c r="J819">
        <v>6</v>
      </c>
      <c r="K819">
        <v>16350</v>
      </c>
      <c r="L819">
        <v>6</v>
      </c>
      <c r="M819">
        <v>14519.6</v>
      </c>
      <c r="N819">
        <v>-12</v>
      </c>
      <c r="O819">
        <v>-30869.61</v>
      </c>
      <c r="Y819">
        <v>-0.01</v>
      </c>
      <c r="Z819" s="3">
        <f t="shared" si="12"/>
        <v>2572.4675000000002</v>
      </c>
    </row>
    <row r="820" spans="1:26" hidden="1">
      <c r="A820" t="s">
        <v>707</v>
      </c>
      <c r="B820" s="6">
        <v>44287</v>
      </c>
      <c r="C820" s="6">
        <v>44651</v>
      </c>
      <c r="D820">
        <v>20210401</v>
      </c>
      <c r="E820">
        <v>20220331</v>
      </c>
      <c r="F820" t="s">
        <v>6690</v>
      </c>
      <c r="G820" t="s">
        <v>6691</v>
      </c>
      <c r="H820" t="s">
        <v>590</v>
      </c>
      <c r="I820" t="s">
        <v>1462</v>
      </c>
      <c r="L820">
        <v>6</v>
      </c>
      <c r="M820">
        <v>2250</v>
      </c>
      <c r="N820">
        <v>-2</v>
      </c>
      <c r="O820">
        <v>-750</v>
      </c>
      <c r="X820">
        <v>4</v>
      </c>
      <c r="Y820">
        <v>1500</v>
      </c>
      <c r="Z820" s="3">
        <f t="shared" si="12"/>
        <v>375</v>
      </c>
    </row>
    <row r="821" spans="1:26" hidden="1">
      <c r="A821" t="s">
        <v>707</v>
      </c>
      <c r="B821" s="6">
        <v>44287</v>
      </c>
      <c r="C821" s="6">
        <v>44651</v>
      </c>
      <c r="D821">
        <v>20210401</v>
      </c>
      <c r="E821">
        <v>20220331</v>
      </c>
      <c r="F821" t="s">
        <v>6692</v>
      </c>
      <c r="G821" t="s">
        <v>6693</v>
      </c>
      <c r="H821" t="s">
        <v>590</v>
      </c>
      <c r="I821" t="s">
        <v>1462</v>
      </c>
      <c r="J821">
        <v>6</v>
      </c>
      <c r="K821">
        <v>12120</v>
      </c>
      <c r="L821">
        <v>3</v>
      </c>
      <c r="M821">
        <v>7080</v>
      </c>
      <c r="N821">
        <v>-4</v>
      </c>
      <c r="O821">
        <v>-8533.33</v>
      </c>
      <c r="X821">
        <v>5</v>
      </c>
      <c r="Y821">
        <v>10666.67</v>
      </c>
      <c r="Z821" s="3">
        <f t="shared" si="12"/>
        <v>2133.3325</v>
      </c>
    </row>
    <row r="822" spans="1:26" hidden="1">
      <c r="A822" t="s">
        <v>707</v>
      </c>
      <c r="B822" s="6">
        <v>44287</v>
      </c>
      <c r="C822" s="6">
        <v>44651</v>
      </c>
      <c r="D822">
        <v>20210401</v>
      </c>
      <c r="E822">
        <v>20220331</v>
      </c>
      <c r="F822" t="s">
        <v>6694</v>
      </c>
      <c r="G822" t="s">
        <v>6695</v>
      </c>
      <c r="H822" t="s">
        <v>590</v>
      </c>
      <c r="I822" t="s">
        <v>1462</v>
      </c>
      <c r="L822">
        <v>4</v>
      </c>
      <c r="M822">
        <v>3400</v>
      </c>
      <c r="X822">
        <v>4</v>
      </c>
      <c r="Y822">
        <v>3400</v>
      </c>
      <c r="Z822" s="3">
        <f t="shared" si="12"/>
        <v>850</v>
      </c>
    </row>
    <row r="823" spans="1:26" hidden="1">
      <c r="A823" t="s">
        <v>707</v>
      </c>
      <c r="B823" s="6">
        <v>44287</v>
      </c>
      <c r="C823" s="6">
        <v>44651</v>
      </c>
      <c r="D823">
        <v>20210401</v>
      </c>
      <c r="E823">
        <v>20220331</v>
      </c>
      <c r="F823" t="s">
        <v>6696</v>
      </c>
      <c r="G823" t="s">
        <v>6697</v>
      </c>
      <c r="H823" t="s">
        <v>590</v>
      </c>
      <c r="I823" t="s">
        <v>1462</v>
      </c>
      <c r="L823">
        <v>3</v>
      </c>
      <c r="M823">
        <v>1900</v>
      </c>
      <c r="N823">
        <v>-2</v>
      </c>
      <c r="O823">
        <v>-1250</v>
      </c>
      <c r="X823">
        <v>1</v>
      </c>
      <c r="Y823">
        <v>650</v>
      </c>
      <c r="Z823" s="3">
        <f t="shared" si="12"/>
        <v>625</v>
      </c>
    </row>
    <row r="824" spans="1:26" hidden="1">
      <c r="A824" t="s">
        <v>707</v>
      </c>
      <c r="B824" s="6">
        <v>44287</v>
      </c>
      <c r="C824" s="6">
        <v>44651</v>
      </c>
      <c r="D824">
        <v>20210401</v>
      </c>
      <c r="E824">
        <v>20220331</v>
      </c>
      <c r="F824" t="s">
        <v>6698</v>
      </c>
      <c r="G824" t="s">
        <v>6699</v>
      </c>
      <c r="H824" t="s">
        <v>590</v>
      </c>
      <c r="I824" t="s">
        <v>1462</v>
      </c>
      <c r="J824">
        <v>2</v>
      </c>
      <c r="K824">
        <v>22000</v>
      </c>
      <c r="N824">
        <v>-2</v>
      </c>
      <c r="O824">
        <v>-22000</v>
      </c>
      <c r="Z824" s="3">
        <f t="shared" si="12"/>
        <v>11000</v>
      </c>
    </row>
    <row r="825" spans="1:26" hidden="1">
      <c r="A825" t="s">
        <v>707</v>
      </c>
      <c r="B825" s="6">
        <v>44287</v>
      </c>
      <c r="C825" s="6">
        <v>44651</v>
      </c>
      <c r="D825">
        <v>20210401</v>
      </c>
      <c r="E825">
        <v>20220331</v>
      </c>
      <c r="F825" t="s">
        <v>6700</v>
      </c>
      <c r="G825" t="s">
        <v>6701</v>
      </c>
      <c r="H825" t="s">
        <v>590</v>
      </c>
      <c r="I825" t="s">
        <v>1462</v>
      </c>
      <c r="J825">
        <v>7</v>
      </c>
      <c r="K825">
        <v>2555</v>
      </c>
      <c r="L825">
        <v>3</v>
      </c>
      <c r="M825">
        <v>5595</v>
      </c>
      <c r="N825">
        <v>-1</v>
      </c>
      <c r="O825">
        <v>-365</v>
      </c>
      <c r="X825">
        <v>9</v>
      </c>
      <c r="Y825">
        <v>7785</v>
      </c>
      <c r="Z825" s="3">
        <f t="shared" si="12"/>
        <v>365</v>
      </c>
    </row>
    <row r="826" spans="1:26" hidden="1">
      <c r="A826" t="s">
        <v>707</v>
      </c>
      <c r="B826" s="6">
        <v>44287</v>
      </c>
      <c r="C826" s="6">
        <v>44651</v>
      </c>
      <c r="D826">
        <v>20210401</v>
      </c>
      <c r="E826">
        <v>20220331</v>
      </c>
      <c r="F826" t="s">
        <v>3620</v>
      </c>
      <c r="G826" t="s">
        <v>3621</v>
      </c>
      <c r="H826" t="s">
        <v>590</v>
      </c>
      <c r="I826" t="s">
        <v>1462</v>
      </c>
      <c r="J826">
        <v>10</v>
      </c>
      <c r="K826">
        <v>3123.35</v>
      </c>
      <c r="L826">
        <v>6</v>
      </c>
      <c r="M826">
        <v>2160</v>
      </c>
      <c r="N826">
        <v>-16</v>
      </c>
      <c r="O826">
        <v>-5283.31</v>
      </c>
      <c r="Y826">
        <v>0.04</v>
      </c>
      <c r="Z826" s="3">
        <f t="shared" si="12"/>
        <v>330.20687500000003</v>
      </c>
    </row>
    <row r="827" spans="1:26" hidden="1">
      <c r="A827" t="s">
        <v>707</v>
      </c>
      <c r="B827" s="6">
        <v>44287</v>
      </c>
      <c r="C827" s="6">
        <v>44651</v>
      </c>
      <c r="D827">
        <v>20210401</v>
      </c>
      <c r="E827">
        <v>20220331</v>
      </c>
      <c r="F827" t="s">
        <v>3626</v>
      </c>
      <c r="G827" t="s">
        <v>3627</v>
      </c>
      <c r="H827" t="s">
        <v>590</v>
      </c>
      <c r="I827" t="s">
        <v>1462</v>
      </c>
      <c r="J827">
        <v>1</v>
      </c>
      <c r="K827">
        <v>1783.51</v>
      </c>
      <c r="L827">
        <v>2</v>
      </c>
      <c r="M827">
        <v>1850</v>
      </c>
      <c r="N827">
        <v>-1</v>
      </c>
      <c r="O827">
        <v>-1783.51</v>
      </c>
      <c r="X827">
        <v>2</v>
      </c>
      <c r="Y827">
        <v>1850</v>
      </c>
      <c r="Z827" s="3">
        <f t="shared" si="12"/>
        <v>1783.51</v>
      </c>
    </row>
    <row r="828" spans="1:26" hidden="1">
      <c r="A828" t="s">
        <v>707</v>
      </c>
      <c r="B828" s="6">
        <v>44287</v>
      </c>
      <c r="C828" s="6">
        <v>44651</v>
      </c>
      <c r="D828">
        <v>20210401</v>
      </c>
      <c r="E828">
        <v>20220331</v>
      </c>
      <c r="F828" t="s">
        <v>6702</v>
      </c>
      <c r="G828" t="s">
        <v>6703</v>
      </c>
      <c r="H828" t="s">
        <v>590</v>
      </c>
      <c r="I828" t="s">
        <v>1462</v>
      </c>
      <c r="L828">
        <v>1</v>
      </c>
      <c r="M828">
        <v>6271.14</v>
      </c>
      <c r="X828">
        <v>1</v>
      </c>
      <c r="Y828">
        <v>6271.14</v>
      </c>
      <c r="Z828" s="3">
        <f t="shared" si="12"/>
        <v>6271.14</v>
      </c>
    </row>
    <row r="829" spans="1:26" hidden="1">
      <c r="A829" t="s">
        <v>707</v>
      </c>
      <c r="B829" s="6">
        <v>44287</v>
      </c>
      <c r="C829" s="6">
        <v>44651</v>
      </c>
      <c r="D829">
        <v>20210401</v>
      </c>
      <c r="E829">
        <v>20220331</v>
      </c>
      <c r="F829" t="s">
        <v>3630</v>
      </c>
      <c r="G829" t="s">
        <v>3631</v>
      </c>
      <c r="H829" t="s">
        <v>590</v>
      </c>
      <c r="I829" t="s">
        <v>1462</v>
      </c>
      <c r="J829">
        <v>4</v>
      </c>
      <c r="K829">
        <v>2040</v>
      </c>
      <c r="L829">
        <v>6</v>
      </c>
      <c r="M829">
        <v>3600</v>
      </c>
      <c r="N829">
        <v>-10</v>
      </c>
      <c r="O829">
        <v>-5640</v>
      </c>
      <c r="Z829" s="3">
        <f t="shared" si="12"/>
        <v>564</v>
      </c>
    </row>
    <row r="830" spans="1:26" hidden="1">
      <c r="A830" t="s">
        <v>707</v>
      </c>
      <c r="B830" s="6">
        <v>44287</v>
      </c>
      <c r="C830" s="6">
        <v>44651</v>
      </c>
      <c r="D830">
        <v>20210401</v>
      </c>
      <c r="E830">
        <v>20220331</v>
      </c>
      <c r="F830" t="s">
        <v>6704</v>
      </c>
      <c r="G830" t="s">
        <v>6705</v>
      </c>
      <c r="H830" t="s">
        <v>590</v>
      </c>
      <c r="I830" t="s">
        <v>805</v>
      </c>
      <c r="L830">
        <v>3</v>
      </c>
      <c r="M830">
        <v>750</v>
      </c>
      <c r="N830">
        <v>-3</v>
      </c>
      <c r="O830">
        <v>-750</v>
      </c>
      <c r="Z830" s="3">
        <f t="shared" si="12"/>
        <v>250</v>
      </c>
    </row>
    <row r="831" spans="1:26" hidden="1">
      <c r="A831" t="s">
        <v>707</v>
      </c>
      <c r="B831" s="6">
        <v>44287</v>
      </c>
      <c r="C831" s="6">
        <v>44651</v>
      </c>
      <c r="D831">
        <v>20210401</v>
      </c>
      <c r="E831">
        <v>20220331</v>
      </c>
      <c r="F831" t="s">
        <v>6706</v>
      </c>
      <c r="G831" t="s">
        <v>6707</v>
      </c>
      <c r="H831" t="s">
        <v>590</v>
      </c>
      <c r="I831" t="s">
        <v>1462</v>
      </c>
      <c r="J831">
        <v>2</v>
      </c>
      <c r="K831">
        <v>4105.08</v>
      </c>
      <c r="N831">
        <v>-1</v>
      </c>
      <c r="O831">
        <v>-2052.54</v>
      </c>
      <c r="X831">
        <v>1</v>
      </c>
      <c r="Y831">
        <v>2052.54</v>
      </c>
      <c r="Z831" s="3">
        <f t="shared" si="12"/>
        <v>2052.54</v>
      </c>
    </row>
    <row r="832" spans="1:26" hidden="1">
      <c r="A832" t="s">
        <v>707</v>
      </c>
      <c r="B832" s="6">
        <v>44287</v>
      </c>
      <c r="C832" s="6">
        <v>44651</v>
      </c>
      <c r="D832">
        <v>20210401</v>
      </c>
      <c r="E832">
        <v>20220331</v>
      </c>
      <c r="F832" t="s">
        <v>6708</v>
      </c>
      <c r="G832" t="s">
        <v>6709</v>
      </c>
      <c r="H832" t="s">
        <v>590</v>
      </c>
      <c r="I832" t="s">
        <v>1462</v>
      </c>
      <c r="J832">
        <v>1</v>
      </c>
      <c r="K832">
        <v>3500</v>
      </c>
      <c r="X832">
        <v>1</v>
      </c>
      <c r="Y832">
        <v>3500</v>
      </c>
      <c r="Z832" s="3">
        <f t="shared" si="12"/>
        <v>3500</v>
      </c>
    </row>
    <row r="833" spans="1:26" hidden="1">
      <c r="A833" t="s">
        <v>707</v>
      </c>
      <c r="B833" s="6">
        <v>44287</v>
      </c>
      <c r="C833" s="6">
        <v>44651</v>
      </c>
      <c r="D833">
        <v>20210401</v>
      </c>
      <c r="E833">
        <v>20220331</v>
      </c>
      <c r="F833" t="s">
        <v>6710</v>
      </c>
      <c r="G833" t="s">
        <v>6711</v>
      </c>
      <c r="H833" t="s">
        <v>590</v>
      </c>
      <c r="I833" t="s">
        <v>1462</v>
      </c>
      <c r="L833">
        <v>6</v>
      </c>
      <c r="M833">
        <v>55.08</v>
      </c>
      <c r="N833">
        <v>-1</v>
      </c>
      <c r="O833">
        <v>-9.18</v>
      </c>
      <c r="X833">
        <v>5</v>
      </c>
      <c r="Y833">
        <v>45.9</v>
      </c>
      <c r="Z833" s="3">
        <f t="shared" si="12"/>
        <v>9.18</v>
      </c>
    </row>
    <row r="834" spans="1:26" hidden="1">
      <c r="A834" t="s">
        <v>707</v>
      </c>
      <c r="B834" s="6">
        <v>44287</v>
      </c>
      <c r="C834" s="6">
        <v>44651</v>
      </c>
      <c r="D834">
        <v>20210401</v>
      </c>
      <c r="E834">
        <v>20220331</v>
      </c>
      <c r="F834" t="s">
        <v>3634</v>
      </c>
      <c r="G834" t="s">
        <v>3635</v>
      </c>
      <c r="H834" t="s">
        <v>590</v>
      </c>
      <c r="I834" t="s">
        <v>805</v>
      </c>
      <c r="L834">
        <v>2</v>
      </c>
      <c r="M834">
        <v>1050</v>
      </c>
      <c r="X834">
        <v>2</v>
      </c>
      <c r="Y834">
        <v>1050</v>
      </c>
      <c r="Z834" s="3">
        <f t="shared" si="12"/>
        <v>525</v>
      </c>
    </row>
    <row r="835" spans="1:26" hidden="1">
      <c r="A835" t="s">
        <v>707</v>
      </c>
      <c r="B835" s="6">
        <v>44287</v>
      </c>
      <c r="C835" s="6">
        <v>44651</v>
      </c>
      <c r="D835">
        <v>20210401</v>
      </c>
      <c r="E835">
        <v>20220331</v>
      </c>
      <c r="F835" t="s">
        <v>6712</v>
      </c>
      <c r="G835" t="s">
        <v>6713</v>
      </c>
      <c r="H835" t="s">
        <v>590</v>
      </c>
      <c r="I835" t="s">
        <v>805</v>
      </c>
      <c r="L835">
        <v>2</v>
      </c>
      <c r="M835">
        <v>3600</v>
      </c>
      <c r="X835">
        <v>2</v>
      </c>
      <c r="Y835">
        <v>3600</v>
      </c>
      <c r="Z835" s="3">
        <f t="shared" ref="Z835:Z898" si="13">IFERROR((O835+Q835)/(N835+P835),Y835/X835)</f>
        <v>1800</v>
      </c>
    </row>
    <row r="836" spans="1:26" hidden="1">
      <c r="A836" t="s">
        <v>707</v>
      </c>
      <c r="B836" s="6">
        <v>44287</v>
      </c>
      <c r="C836" s="6">
        <v>44651</v>
      </c>
      <c r="D836">
        <v>20210401</v>
      </c>
      <c r="E836">
        <v>20220331</v>
      </c>
      <c r="F836" t="s">
        <v>6714</v>
      </c>
      <c r="G836" t="s">
        <v>6715</v>
      </c>
      <c r="H836" t="s">
        <v>590</v>
      </c>
      <c r="I836" t="s">
        <v>1462</v>
      </c>
      <c r="L836">
        <v>9</v>
      </c>
      <c r="M836">
        <v>24600</v>
      </c>
      <c r="N836">
        <v>-4</v>
      </c>
      <c r="O836">
        <v>-4800</v>
      </c>
      <c r="X836">
        <v>5</v>
      </c>
      <c r="Y836">
        <v>19800</v>
      </c>
      <c r="Z836" s="3">
        <f t="shared" si="13"/>
        <v>1200</v>
      </c>
    </row>
    <row r="837" spans="1:26" hidden="1">
      <c r="A837" t="s">
        <v>707</v>
      </c>
      <c r="B837" s="6">
        <v>44287</v>
      </c>
      <c r="C837" s="6">
        <v>44651</v>
      </c>
      <c r="D837">
        <v>20210401</v>
      </c>
      <c r="E837">
        <v>20220331</v>
      </c>
      <c r="F837" t="s">
        <v>6716</v>
      </c>
      <c r="G837" t="s">
        <v>6717</v>
      </c>
      <c r="H837" t="s">
        <v>590</v>
      </c>
      <c r="I837" t="s">
        <v>1462</v>
      </c>
      <c r="J837">
        <v>4</v>
      </c>
      <c r="K837">
        <v>10961.93</v>
      </c>
      <c r="N837">
        <v>-2</v>
      </c>
      <c r="O837">
        <v>-5480.96</v>
      </c>
      <c r="X837">
        <v>2</v>
      </c>
      <c r="Y837">
        <v>5480.97</v>
      </c>
      <c r="Z837" s="3">
        <f t="shared" si="13"/>
        <v>2740.48</v>
      </c>
    </row>
    <row r="838" spans="1:26" hidden="1">
      <c r="A838" t="s">
        <v>707</v>
      </c>
      <c r="B838" s="6">
        <v>44287</v>
      </c>
      <c r="C838" s="6">
        <v>44651</v>
      </c>
      <c r="D838">
        <v>20210401</v>
      </c>
      <c r="E838">
        <v>20220331</v>
      </c>
      <c r="F838" t="s">
        <v>6718</v>
      </c>
      <c r="G838" t="s">
        <v>6719</v>
      </c>
      <c r="H838" t="s">
        <v>590</v>
      </c>
      <c r="I838" t="s">
        <v>1462</v>
      </c>
      <c r="L838">
        <v>24</v>
      </c>
      <c r="M838">
        <v>984</v>
      </c>
      <c r="N838">
        <v>-24</v>
      </c>
      <c r="O838">
        <v>-984</v>
      </c>
      <c r="Z838" s="3">
        <f t="shared" si="13"/>
        <v>41</v>
      </c>
    </row>
    <row r="839" spans="1:26" hidden="1">
      <c r="A839" t="s">
        <v>707</v>
      </c>
      <c r="B839" s="6">
        <v>44287</v>
      </c>
      <c r="C839" s="6">
        <v>44651</v>
      </c>
      <c r="D839">
        <v>20210401</v>
      </c>
      <c r="E839">
        <v>20220331</v>
      </c>
      <c r="F839" t="s">
        <v>6720</v>
      </c>
      <c r="G839" t="s">
        <v>6721</v>
      </c>
      <c r="H839" t="s">
        <v>590</v>
      </c>
      <c r="I839" t="s">
        <v>1462</v>
      </c>
      <c r="L839">
        <v>1</v>
      </c>
      <c r="M839">
        <v>90</v>
      </c>
      <c r="N839">
        <v>-1</v>
      </c>
      <c r="O839">
        <v>-90</v>
      </c>
      <c r="Z839" s="3">
        <f t="shared" si="13"/>
        <v>90</v>
      </c>
    </row>
    <row r="840" spans="1:26" hidden="1">
      <c r="A840" t="s">
        <v>707</v>
      </c>
      <c r="B840" s="6">
        <v>44287</v>
      </c>
      <c r="C840" s="6">
        <v>44651</v>
      </c>
      <c r="D840">
        <v>20210401</v>
      </c>
      <c r="E840">
        <v>20220331</v>
      </c>
      <c r="F840" t="s">
        <v>6722</v>
      </c>
      <c r="G840" t="s">
        <v>6723</v>
      </c>
      <c r="H840" t="s">
        <v>590</v>
      </c>
      <c r="I840" t="s">
        <v>1462</v>
      </c>
      <c r="L840">
        <v>2</v>
      </c>
      <c r="M840">
        <v>5760</v>
      </c>
      <c r="N840">
        <v>-2</v>
      </c>
      <c r="O840">
        <v>-5760</v>
      </c>
      <c r="Z840" s="3">
        <f t="shared" si="13"/>
        <v>2880</v>
      </c>
    </row>
    <row r="841" spans="1:26" hidden="1">
      <c r="A841" t="s">
        <v>707</v>
      </c>
      <c r="B841" s="6">
        <v>44287</v>
      </c>
      <c r="C841" s="6">
        <v>44651</v>
      </c>
      <c r="D841">
        <v>20210401</v>
      </c>
      <c r="E841">
        <v>20220331</v>
      </c>
      <c r="F841" t="s">
        <v>6724</v>
      </c>
      <c r="G841" t="s">
        <v>6725</v>
      </c>
      <c r="H841" t="s">
        <v>590</v>
      </c>
      <c r="I841" t="s">
        <v>1462</v>
      </c>
      <c r="J841">
        <v>6</v>
      </c>
      <c r="K841">
        <v>8730.2999999999993</v>
      </c>
      <c r="N841">
        <v>-6</v>
      </c>
      <c r="O841">
        <v>-8730.33</v>
      </c>
      <c r="Y841">
        <v>-0.03</v>
      </c>
      <c r="Z841" s="3">
        <f t="shared" si="13"/>
        <v>1455.0550000000001</v>
      </c>
    </row>
    <row r="842" spans="1:26" hidden="1">
      <c r="A842" t="s">
        <v>707</v>
      </c>
      <c r="B842" s="6">
        <v>44287</v>
      </c>
      <c r="C842" s="6">
        <v>44651</v>
      </c>
      <c r="D842">
        <v>20210401</v>
      </c>
      <c r="E842">
        <v>20220331</v>
      </c>
      <c r="F842" t="s">
        <v>6726</v>
      </c>
      <c r="G842" t="s">
        <v>6727</v>
      </c>
      <c r="H842" t="s">
        <v>590</v>
      </c>
      <c r="I842" t="s">
        <v>1462</v>
      </c>
      <c r="L842">
        <v>2</v>
      </c>
      <c r="M842">
        <v>9690</v>
      </c>
      <c r="N842">
        <v>-2</v>
      </c>
      <c r="O842">
        <v>-9690</v>
      </c>
      <c r="Z842" s="3">
        <f t="shared" si="13"/>
        <v>4845</v>
      </c>
    </row>
    <row r="843" spans="1:26" hidden="1">
      <c r="A843" t="s">
        <v>707</v>
      </c>
      <c r="B843" s="6">
        <v>44287</v>
      </c>
      <c r="C843" s="6">
        <v>44651</v>
      </c>
      <c r="D843">
        <v>20210401</v>
      </c>
      <c r="E843">
        <v>20220331</v>
      </c>
      <c r="F843" t="s">
        <v>6728</v>
      </c>
      <c r="G843" t="s">
        <v>6729</v>
      </c>
      <c r="H843" t="s">
        <v>590</v>
      </c>
      <c r="I843" t="s">
        <v>1462</v>
      </c>
      <c r="L843">
        <v>2</v>
      </c>
      <c r="M843">
        <v>9690</v>
      </c>
      <c r="X843">
        <v>2</v>
      </c>
      <c r="Y843">
        <v>9690</v>
      </c>
      <c r="Z843" s="3">
        <f t="shared" si="13"/>
        <v>4845</v>
      </c>
    </row>
    <row r="844" spans="1:26" hidden="1">
      <c r="A844" t="s">
        <v>707</v>
      </c>
      <c r="B844" s="6">
        <v>44287</v>
      </c>
      <c r="C844" s="6">
        <v>44651</v>
      </c>
      <c r="D844">
        <v>20210401</v>
      </c>
      <c r="E844">
        <v>20220331</v>
      </c>
      <c r="F844" t="s">
        <v>6730</v>
      </c>
      <c r="G844" t="s">
        <v>6731</v>
      </c>
      <c r="H844" t="s">
        <v>3847</v>
      </c>
      <c r="I844" t="s">
        <v>1462</v>
      </c>
      <c r="L844">
        <v>4</v>
      </c>
      <c r="M844">
        <v>2400</v>
      </c>
      <c r="N844">
        <v>-4</v>
      </c>
      <c r="O844">
        <v>-2400</v>
      </c>
      <c r="Z844" s="3">
        <f t="shared" si="13"/>
        <v>600</v>
      </c>
    </row>
    <row r="845" spans="1:26" hidden="1">
      <c r="A845" t="s">
        <v>707</v>
      </c>
      <c r="B845" s="6">
        <v>44287</v>
      </c>
      <c r="C845" s="6">
        <v>44651</v>
      </c>
      <c r="D845">
        <v>20210401</v>
      </c>
      <c r="E845">
        <v>20220331</v>
      </c>
      <c r="F845" t="s">
        <v>6732</v>
      </c>
      <c r="G845" t="s">
        <v>6733</v>
      </c>
      <c r="H845" t="s">
        <v>590</v>
      </c>
      <c r="I845" t="s">
        <v>1462</v>
      </c>
      <c r="J845">
        <v>1</v>
      </c>
      <c r="K845">
        <v>23056.49</v>
      </c>
      <c r="X845">
        <v>1</v>
      </c>
      <c r="Y845">
        <v>23056.49</v>
      </c>
      <c r="Z845" s="3">
        <f t="shared" si="13"/>
        <v>23056.49</v>
      </c>
    </row>
    <row r="846" spans="1:26" hidden="1">
      <c r="A846" t="s">
        <v>707</v>
      </c>
      <c r="B846" s="6">
        <v>44287</v>
      </c>
      <c r="C846" s="6">
        <v>44651</v>
      </c>
      <c r="D846">
        <v>20210401</v>
      </c>
      <c r="E846">
        <v>20220331</v>
      </c>
      <c r="F846" t="s">
        <v>6734</v>
      </c>
      <c r="G846" t="s">
        <v>6735</v>
      </c>
      <c r="H846" t="s">
        <v>590</v>
      </c>
      <c r="I846" t="s">
        <v>1462</v>
      </c>
      <c r="K846">
        <v>0.01</v>
      </c>
      <c r="Y846">
        <v>0.01</v>
      </c>
      <c r="Z846" s="3" t="e">
        <f t="shared" si="13"/>
        <v>#DIV/0!</v>
      </c>
    </row>
    <row r="847" spans="1:26" hidden="1">
      <c r="A847" t="s">
        <v>707</v>
      </c>
      <c r="B847" s="6">
        <v>44287</v>
      </c>
      <c r="C847" s="6">
        <v>44651</v>
      </c>
      <c r="D847">
        <v>20210401</v>
      </c>
      <c r="E847">
        <v>20220331</v>
      </c>
      <c r="F847" t="s">
        <v>3700</v>
      </c>
      <c r="G847" t="s">
        <v>3701</v>
      </c>
      <c r="H847" t="s">
        <v>590</v>
      </c>
      <c r="I847" t="s">
        <v>1462</v>
      </c>
      <c r="J847">
        <v>2</v>
      </c>
      <c r="K847">
        <v>58</v>
      </c>
      <c r="X847">
        <v>2</v>
      </c>
      <c r="Y847">
        <v>58</v>
      </c>
      <c r="Z847" s="3">
        <f t="shared" si="13"/>
        <v>29</v>
      </c>
    </row>
    <row r="848" spans="1:26" hidden="1">
      <c r="A848" t="s">
        <v>707</v>
      </c>
      <c r="B848" s="6">
        <v>44287</v>
      </c>
      <c r="C848" s="6">
        <v>44651</v>
      </c>
      <c r="D848">
        <v>20210401</v>
      </c>
      <c r="E848">
        <v>20220331</v>
      </c>
      <c r="F848" t="s">
        <v>6736</v>
      </c>
      <c r="G848" t="s">
        <v>6737</v>
      </c>
      <c r="I848" t="s">
        <v>1462</v>
      </c>
      <c r="L848">
        <v>6</v>
      </c>
      <c r="M848">
        <v>192</v>
      </c>
      <c r="X848">
        <v>6</v>
      </c>
      <c r="Y848">
        <v>192</v>
      </c>
      <c r="Z848" s="3">
        <f t="shared" si="13"/>
        <v>32</v>
      </c>
    </row>
    <row r="849" spans="1:26" hidden="1">
      <c r="A849" t="s">
        <v>707</v>
      </c>
      <c r="B849" s="6">
        <v>44287</v>
      </c>
      <c r="C849" s="6">
        <v>44651</v>
      </c>
      <c r="D849">
        <v>20210401</v>
      </c>
      <c r="E849">
        <v>20220331</v>
      </c>
      <c r="F849" t="s">
        <v>6738</v>
      </c>
      <c r="G849" t="s">
        <v>6739</v>
      </c>
      <c r="H849" t="s">
        <v>590</v>
      </c>
      <c r="I849" t="s">
        <v>1462</v>
      </c>
      <c r="J849">
        <v>10</v>
      </c>
      <c r="K849">
        <v>289.45</v>
      </c>
      <c r="X849">
        <v>10</v>
      </c>
      <c r="Y849">
        <v>289.45</v>
      </c>
      <c r="Z849" s="3">
        <f t="shared" si="13"/>
        <v>28.945</v>
      </c>
    </row>
    <row r="850" spans="1:26" hidden="1">
      <c r="A850" t="s">
        <v>707</v>
      </c>
      <c r="B850" s="6">
        <v>44287</v>
      </c>
      <c r="C850" s="6">
        <v>44651</v>
      </c>
      <c r="D850">
        <v>20210401</v>
      </c>
      <c r="E850">
        <v>20220331</v>
      </c>
      <c r="F850" t="s">
        <v>6740</v>
      </c>
      <c r="G850" t="s">
        <v>6741</v>
      </c>
      <c r="H850" t="s">
        <v>590</v>
      </c>
      <c r="I850" t="s">
        <v>1462</v>
      </c>
      <c r="J850">
        <v>8</v>
      </c>
      <c r="K850">
        <v>208</v>
      </c>
      <c r="X850">
        <v>8</v>
      </c>
      <c r="Y850">
        <v>208</v>
      </c>
      <c r="Z850" s="3">
        <f t="shared" si="13"/>
        <v>26</v>
      </c>
    </row>
    <row r="851" spans="1:26" hidden="1">
      <c r="A851" t="s">
        <v>707</v>
      </c>
      <c r="B851" s="6">
        <v>44287</v>
      </c>
      <c r="C851" s="6">
        <v>44651</v>
      </c>
      <c r="D851">
        <v>20210401</v>
      </c>
      <c r="E851">
        <v>20220331</v>
      </c>
      <c r="F851" t="s">
        <v>6742</v>
      </c>
      <c r="G851" t="s">
        <v>6743</v>
      </c>
      <c r="H851" t="s">
        <v>590</v>
      </c>
      <c r="I851" t="s">
        <v>1462</v>
      </c>
      <c r="J851">
        <v>2</v>
      </c>
      <c r="K851">
        <v>360.2</v>
      </c>
      <c r="X851">
        <v>2</v>
      </c>
      <c r="Y851">
        <v>360.2</v>
      </c>
      <c r="Z851" s="3">
        <f t="shared" si="13"/>
        <v>180.1</v>
      </c>
    </row>
    <row r="852" spans="1:26" hidden="1">
      <c r="A852" t="s">
        <v>707</v>
      </c>
      <c r="B852" s="6">
        <v>44287</v>
      </c>
      <c r="C852" s="6">
        <v>44651</v>
      </c>
      <c r="D852">
        <v>20210401</v>
      </c>
      <c r="E852">
        <v>20220331</v>
      </c>
      <c r="F852" t="s">
        <v>6744</v>
      </c>
      <c r="G852" t="s">
        <v>6745</v>
      </c>
      <c r="H852" t="s">
        <v>590</v>
      </c>
      <c r="I852" t="s">
        <v>805</v>
      </c>
      <c r="J852">
        <v>2</v>
      </c>
      <c r="K852">
        <v>68</v>
      </c>
      <c r="X852">
        <v>2</v>
      </c>
      <c r="Y852">
        <v>68</v>
      </c>
      <c r="Z852" s="3">
        <f t="shared" si="13"/>
        <v>34</v>
      </c>
    </row>
    <row r="853" spans="1:26" hidden="1">
      <c r="A853" t="s">
        <v>707</v>
      </c>
      <c r="B853" s="6">
        <v>44287</v>
      </c>
      <c r="C853" s="6">
        <v>44651</v>
      </c>
      <c r="D853">
        <v>20210401</v>
      </c>
      <c r="E853">
        <v>20220331</v>
      </c>
      <c r="F853" t="s">
        <v>6746</v>
      </c>
      <c r="G853" t="s">
        <v>6747</v>
      </c>
      <c r="I853" t="s">
        <v>1462</v>
      </c>
      <c r="J853">
        <v>6</v>
      </c>
      <c r="K853">
        <v>120</v>
      </c>
      <c r="X853">
        <v>6</v>
      </c>
      <c r="Y853">
        <v>120</v>
      </c>
      <c r="Z853" s="3">
        <f t="shared" si="13"/>
        <v>20</v>
      </c>
    </row>
    <row r="854" spans="1:26" hidden="1">
      <c r="A854" t="s">
        <v>707</v>
      </c>
      <c r="B854" s="6">
        <v>44287</v>
      </c>
      <c r="C854" s="6">
        <v>44651</v>
      </c>
      <c r="D854">
        <v>20210401</v>
      </c>
      <c r="E854">
        <v>20220331</v>
      </c>
      <c r="F854" t="s">
        <v>6748</v>
      </c>
      <c r="G854" t="s">
        <v>6749</v>
      </c>
      <c r="H854" t="s">
        <v>590</v>
      </c>
      <c r="I854" t="s">
        <v>1462</v>
      </c>
      <c r="L854">
        <v>101</v>
      </c>
      <c r="M854">
        <v>2123</v>
      </c>
      <c r="N854">
        <v>-5</v>
      </c>
      <c r="O854">
        <v>-105.04</v>
      </c>
      <c r="X854">
        <v>96</v>
      </c>
      <c r="Y854">
        <v>2017.96</v>
      </c>
      <c r="Z854" s="3">
        <f t="shared" si="13"/>
        <v>21.008000000000003</v>
      </c>
    </row>
    <row r="855" spans="1:26" hidden="1">
      <c r="A855" t="s">
        <v>707</v>
      </c>
      <c r="B855" s="6">
        <v>44287</v>
      </c>
      <c r="C855" s="6">
        <v>44651</v>
      </c>
      <c r="D855">
        <v>20210401</v>
      </c>
      <c r="E855">
        <v>20220331</v>
      </c>
      <c r="F855" t="s">
        <v>3714</v>
      </c>
      <c r="G855" t="s">
        <v>3715</v>
      </c>
      <c r="H855" t="s">
        <v>590</v>
      </c>
      <c r="I855" t="s">
        <v>1462</v>
      </c>
      <c r="J855">
        <v>6</v>
      </c>
      <c r="K855">
        <v>138.36000000000001</v>
      </c>
      <c r="X855">
        <v>6</v>
      </c>
      <c r="Y855">
        <v>138.36000000000001</v>
      </c>
      <c r="Z855" s="3">
        <f t="shared" si="13"/>
        <v>23.060000000000002</v>
      </c>
    </row>
    <row r="856" spans="1:26" hidden="1">
      <c r="A856" t="s">
        <v>707</v>
      </c>
      <c r="B856" s="6">
        <v>44287</v>
      </c>
      <c r="C856" s="6">
        <v>44651</v>
      </c>
      <c r="D856">
        <v>20210401</v>
      </c>
      <c r="E856">
        <v>20220331</v>
      </c>
      <c r="F856" t="s">
        <v>3718</v>
      </c>
      <c r="G856" t="s">
        <v>3719</v>
      </c>
      <c r="H856" t="s">
        <v>590</v>
      </c>
      <c r="I856" t="s">
        <v>1462</v>
      </c>
      <c r="J856">
        <v>6</v>
      </c>
      <c r="K856">
        <v>137.57</v>
      </c>
      <c r="N856">
        <v>-1</v>
      </c>
      <c r="O856">
        <v>-22.93</v>
      </c>
      <c r="X856">
        <v>5</v>
      </c>
      <c r="Y856">
        <v>114.64</v>
      </c>
      <c r="Z856" s="3">
        <f t="shared" si="13"/>
        <v>22.93</v>
      </c>
    </row>
    <row r="857" spans="1:26" hidden="1">
      <c r="A857" t="s">
        <v>707</v>
      </c>
      <c r="B857" s="6">
        <v>44287</v>
      </c>
      <c r="C857" s="6">
        <v>44651</v>
      </c>
      <c r="D857">
        <v>20210401</v>
      </c>
      <c r="E857">
        <v>20220331</v>
      </c>
      <c r="F857" t="s">
        <v>6750</v>
      </c>
      <c r="G857" t="s">
        <v>6751</v>
      </c>
      <c r="H857" t="s">
        <v>590</v>
      </c>
      <c r="I857" t="s">
        <v>1462</v>
      </c>
      <c r="L857">
        <v>6</v>
      </c>
      <c r="M857">
        <v>381.36</v>
      </c>
      <c r="N857">
        <v>-3</v>
      </c>
      <c r="O857">
        <v>-190.68</v>
      </c>
      <c r="X857">
        <v>3</v>
      </c>
      <c r="Y857">
        <v>190.68</v>
      </c>
      <c r="Z857" s="3">
        <f t="shared" si="13"/>
        <v>63.56</v>
      </c>
    </row>
    <row r="858" spans="1:26" hidden="1">
      <c r="A858" t="s">
        <v>707</v>
      </c>
      <c r="B858" s="6">
        <v>44287</v>
      </c>
      <c r="C858" s="6">
        <v>44651</v>
      </c>
      <c r="D858">
        <v>20210401</v>
      </c>
      <c r="E858">
        <v>20220331</v>
      </c>
      <c r="F858" t="s">
        <v>6752</v>
      </c>
      <c r="G858" t="s">
        <v>6753</v>
      </c>
      <c r="H858" t="s">
        <v>590</v>
      </c>
      <c r="I858" t="s">
        <v>1462</v>
      </c>
      <c r="J858">
        <v>5</v>
      </c>
      <c r="K858">
        <v>195</v>
      </c>
      <c r="N858">
        <v>-1</v>
      </c>
      <c r="O858">
        <v>-39</v>
      </c>
      <c r="X858">
        <v>4</v>
      </c>
      <c r="Y858">
        <v>156</v>
      </c>
      <c r="Z858" s="3">
        <f t="shared" si="13"/>
        <v>39</v>
      </c>
    </row>
    <row r="859" spans="1:26" hidden="1">
      <c r="A859" t="s">
        <v>707</v>
      </c>
      <c r="B859" s="6">
        <v>44287</v>
      </c>
      <c r="C859" s="6">
        <v>44651</v>
      </c>
      <c r="D859">
        <v>20210401</v>
      </c>
      <c r="E859">
        <v>20220331</v>
      </c>
      <c r="F859" t="s">
        <v>6754</v>
      </c>
      <c r="G859" t="s">
        <v>6755</v>
      </c>
      <c r="H859" t="s">
        <v>590</v>
      </c>
      <c r="I859" t="s">
        <v>1462</v>
      </c>
      <c r="J859">
        <v>4</v>
      </c>
      <c r="K859">
        <v>950</v>
      </c>
      <c r="X859">
        <v>4</v>
      </c>
      <c r="Y859">
        <v>950</v>
      </c>
      <c r="Z859" s="3">
        <f t="shared" si="13"/>
        <v>237.5</v>
      </c>
    </row>
    <row r="860" spans="1:26" hidden="1">
      <c r="A860" t="s">
        <v>707</v>
      </c>
      <c r="B860" s="6">
        <v>44287</v>
      </c>
      <c r="C860" s="6">
        <v>44651</v>
      </c>
      <c r="D860">
        <v>20210401</v>
      </c>
      <c r="E860">
        <v>20220331</v>
      </c>
      <c r="F860" t="s">
        <v>6756</v>
      </c>
      <c r="G860" t="s">
        <v>6757</v>
      </c>
      <c r="H860" t="s">
        <v>613</v>
      </c>
      <c r="I860" t="s">
        <v>1462</v>
      </c>
      <c r="J860">
        <v>20</v>
      </c>
      <c r="K860">
        <v>5300</v>
      </c>
      <c r="X860">
        <v>20</v>
      </c>
      <c r="Y860">
        <v>5300</v>
      </c>
      <c r="Z860" s="3">
        <f t="shared" si="13"/>
        <v>265</v>
      </c>
    </row>
    <row r="861" spans="1:26" hidden="1">
      <c r="A861" t="s">
        <v>707</v>
      </c>
      <c r="B861" s="6">
        <v>44287</v>
      </c>
      <c r="C861" s="6">
        <v>44651</v>
      </c>
      <c r="D861">
        <v>20210401</v>
      </c>
      <c r="E861">
        <v>20220331</v>
      </c>
      <c r="F861" t="s">
        <v>6758</v>
      </c>
      <c r="G861" t="s">
        <v>6759</v>
      </c>
      <c r="H861" t="s">
        <v>613</v>
      </c>
      <c r="I861" t="s">
        <v>1462</v>
      </c>
      <c r="L861">
        <v>34</v>
      </c>
      <c r="M861">
        <v>2788</v>
      </c>
      <c r="X861">
        <v>34</v>
      </c>
      <c r="Y861">
        <v>2788</v>
      </c>
      <c r="Z861" s="3">
        <f t="shared" si="13"/>
        <v>82</v>
      </c>
    </row>
    <row r="862" spans="1:26" hidden="1">
      <c r="A862" t="s">
        <v>707</v>
      </c>
      <c r="B862" s="6">
        <v>44287</v>
      </c>
      <c r="C862" s="6">
        <v>44651</v>
      </c>
      <c r="D862">
        <v>20210401</v>
      </c>
      <c r="E862">
        <v>20220331</v>
      </c>
      <c r="F862" t="s">
        <v>6760</v>
      </c>
      <c r="G862" t="s">
        <v>6761</v>
      </c>
      <c r="H862" t="s">
        <v>590</v>
      </c>
      <c r="I862" t="s">
        <v>1462</v>
      </c>
      <c r="K862">
        <v>0.01</v>
      </c>
      <c r="Y862">
        <v>0.01</v>
      </c>
      <c r="Z862" s="3" t="e">
        <f t="shared" si="13"/>
        <v>#DIV/0!</v>
      </c>
    </row>
    <row r="863" spans="1:26" hidden="1">
      <c r="A863" t="s">
        <v>707</v>
      </c>
      <c r="B863" s="6">
        <v>44287</v>
      </c>
      <c r="C863" s="6">
        <v>44651</v>
      </c>
      <c r="D863">
        <v>20210401</v>
      </c>
      <c r="E863">
        <v>20220331</v>
      </c>
      <c r="F863" t="s">
        <v>3736</v>
      </c>
      <c r="G863" t="s">
        <v>3737</v>
      </c>
      <c r="H863" t="s">
        <v>613</v>
      </c>
      <c r="I863" t="s">
        <v>1462</v>
      </c>
      <c r="J863">
        <v>8.5</v>
      </c>
      <c r="K863">
        <v>2210</v>
      </c>
      <c r="N863">
        <v>-8.5</v>
      </c>
      <c r="O863">
        <v>-2210</v>
      </c>
      <c r="Z863" s="3">
        <f t="shared" si="13"/>
        <v>260</v>
      </c>
    </row>
    <row r="864" spans="1:26" hidden="1">
      <c r="A864" t="s">
        <v>707</v>
      </c>
      <c r="B864" s="6">
        <v>44287</v>
      </c>
      <c r="C864" s="6">
        <v>44651</v>
      </c>
      <c r="D864">
        <v>20210401</v>
      </c>
      <c r="E864">
        <v>20220331</v>
      </c>
      <c r="F864" t="s">
        <v>6762</v>
      </c>
      <c r="G864" t="s">
        <v>6763</v>
      </c>
      <c r="H864" t="s">
        <v>613</v>
      </c>
      <c r="I864" t="s">
        <v>1462</v>
      </c>
      <c r="L864">
        <v>65</v>
      </c>
      <c r="M864">
        <v>5330</v>
      </c>
      <c r="X864">
        <v>65</v>
      </c>
      <c r="Y864">
        <v>5330</v>
      </c>
      <c r="Z864" s="3">
        <f t="shared" si="13"/>
        <v>82</v>
      </c>
    </row>
    <row r="865" spans="1:26" hidden="1">
      <c r="A865" t="s">
        <v>707</v>
      </c>
      <c r="B865" s="6">
        <v>44287</v>
      </c>
      <c r="C865" s="6">
        <v>44651</v>
      </c>
      <c r="D865">
        <v>20210401</v>
      </c>
      <c r="E865">
        <v>20220331</v>
      </c>
      <c r="F865" t="s">
        <v>6764</v>
      </c>
      <c r="G865" t="s">
        <v>6765</v>
      </c>
      <c r="H865" t="s">
        <v>6766</v>
      </c>
      <c r="I865" t="s">
        <v>1462</v>
      </c>
      <c r="L865">
        <v>4</v>
      </c>
      <c r="M865">
        <v>680</v>
      </c>
      <c r="N865">
        <v>-1</v>
      </c>
      <c r="O865">
        <v>-170</v>
      </c>
      <c r="X865">
        <v>3</v>
      </c>
      <c r="Y865">
        <v>510</v>
      </c>
      <c r="Z865" s="3">
        <f t="shared" si="13"/>
        <v>170</v>
      </c>
    </row>
    <row r="866" spans="1:26" hidden="1">
      <c r="A866" t="s">
        <v>707</v>
      </c>
      <c r="B866" s="6">
        <v>44287</v>
      </c>
      <c r="C866" s="6">
        <v>44651</v>
      </c>
      <c r="D866">
        <v>20210401</v>
      </c>
      <c r="E866">
        <v>20220331</v>
      </c>
      <c r="F866" t="s">
        <v>6767</v>
      </c>
      <c r="G866" t="s">
        <v>6768</v>
      </c>
      <c r="H866" t="s">
        <v>613</v>
      </c>
      <c r="I866" t="s">
        <v>1462</v>
      </c>
      <c r="J866">
        <v>63</v>
      </c>
      <c r="K866">
        <v>8946</v>
      </c>
      <c r="X866">
        <v>63</v>
      </c>
      <c r="Y866">
        <v>8946</v>
      </c>
      <c r="Z866" s="3">
        <f t="shared" si="13"/>
        <v>142</v>
      </c>
    </row>
    <row r="867" spans="1:26" hidden="1">
      <c r="A867" t="s">
        <v>707</v>
      </c>
      <c r="B867" s="6">
        <v>44287</v>
      </c>
      <c r="C867" s="6">
        <v>44651</v>
      </c>
      <c r="D867">
        <v>20210401</v>
      </c>
      <c r="E867">
        <v>20220331</v>
      </c>
      <c r="F867" t="s">
        <v>6769</v>
      </c>
      <c r="G867" t="s">
        <v>6770</v>
      </c>
      <c r="H867" t="s">
        <v>590</v>
      </c>
      <c r="I867" t="s">
        <v>1462</v>
      </c>
      <c r="J867">
        <v>10</v>
      </c>
      <c r="K867">
        <v>1710</v>
      </c>
      <c r="L867">
        <v>12</v>
      </c>
      <c r="M867">
        <v>2051.92</v>
      </c>
      <c r="N867">
        <v>-14</v>
      </c>
      <c r="O867">
        <v>-2393.9499999999998</v>
      </c>
      <c r="X867">
        <v>8</v>
      </c>
      <c r="Y867">
        <v>1367.97</v>
      </c>
      <c r="Z867" s="3">
        <f t="shared" si="13"/>
        <v>170.99642857142857</v>
      </c>
    </row>
    <row r="868" spans="1:26" hidden="1">
      <c r="A868" t="s">
        <v>707</v>
      </c>
      <c r="B868" s="6">
        <v>44287</v>
      </c>
      <c r="C868" s="6">
        <v>44651</v>
      </c>
      <c r="D868">
        <v>20210401</v>
      </c>
      <c r="E868">
        <v>20220331</v>
      </c>
      <c r="F868" t="s">
        <v>6771</v>
      </c>
      <c r="G868" t="s">
        <v>6772</v>
      </c>
      <c r="H868" t="s">
        <v>590</v>
      </c>
      <c r="I868" t="s">
        <v>1462</v>
      </c>
      <c r="J868">
        <v>7</v>
      </c>
      <c r="K868">
        <v>2393.7800000000002</v>
      </c>
      <c r="L868">
        <v>12</v>
      </c>
      <c r="M868">
        <v>4104</v>
      </c>
      <c r="N868">
        <v>-8</v>
      </c>
      <c r="O868">
        <v>-2735.84</v>
      </c>
      <c r="X868">
        <v>11</v>
      </c>
      <c r="Y868">
        <v>3761.94</v>
      </c>
      <c r="Z868" s="3">
        <f t="shared" si="13"/>
        <v>341.98</v>
      </c>
    </row>
    <row r="869" spans="1:26" hidden="1">
      <c r="A869" t="s">
        <v>707</v>
      </c>
      <c r="B869" s="6">
        <v>44287</v>
      </c>
      <c r="C869" s="6">
        <v>44651</v>
      </c>
      <c r="D869">
        <v>20210401</v>
      </c>
      <c r="E869">
        <v>20220331</v>
      </c>
      <c r="F869" t="s">
        <v>3778</v>
      </c>
      <c r="G869" t="s">
        <v>3779</v>
      </c>
      <c r="H869" t="s">
        <v>2834</v>
      </c>
      <c r="I869" t="s">
        <v>1462</v>
      </c>
      <c r="L869">
        <v>50</v>
      </c>
      <c r="M869">
        <v>5850</v>
      </c>
      <c r="N869">
        <v>-50</v>
      </c>
      <c r="O869">
        <v>-5850</v>
      </c>
      <c r="Z869" s="3">
        <f t="shared" si="13"/>
        <v>117</v>
      </c>
    </row>
    <row r="870" spans="1:26" hidden="1">
      <c r="A870" t="s">
        <v>707</v>
      </c>
      <c r="B870" s="6">
        <v>44287</v>
      </c>
      <c r="C870" s="6">
        <v>44651</v>
      </c>
      <c r="D870">
        <v>20210401</v>
      </c>
      <c r="E870">
        <v>20220331</v>
      </c>
      <c r="F870" t="s">
        <v>6773</v>
      </c>
      <c r="G870" t="s">
        <v>6774</v>
      </c>
      <c r="I870" t="s">
        <v>805</v>
      </c>
      <c r="L870">
        <v>1</v>
      </c>
      <c r="M870">
        <v>260</v>
      </c>
      <c r="N870">
        <v>-1</v>
      </c>
      <c r="O870">
        <v>-260</v>
      </c>
      <c r="Z870" s="3">
        <f t="shared" si="13"/>
        <v>260</v>
      </c>
    </row>
    <row r="871" spans="1:26" hidden="1">
      <c r="A871" t="s">
        <v>707</v>
      </c>
      <c r="B871" s="6">
        <v>44287</v>
      </c>
      <c r="C871" s="6">
        <v>44651</v>
      </c>
      <c r="D871">
        <v>20210401</v>
      </c>
      <c r="E871">
        <v>20220331</v>
      </c>
      <c r="F871" t="s">
        <v>6775</v>
      </c>
      <c r="G871" t="s">
        <v>6776</v>
      </c>
      <c r="H871" t="s">
        <v>590</v>
      </c>
      <c r="I871" t="s">
        <v>1462</v>
      </c>
      <c r="L871">
        <v>3</v>
      </c>
      <c r="M871">
        <v>780</v>
      </c>
      <c r="N871">
        <v>-3</v>
      </c>
      <c r="O871">
        <v>-780</v>
      </c>
      <c r="Z871" s="3">
        <f t="shared" si="13"/>
        <v>260</v>
      </c>
    </row>
    <row r="872" spans="1:26" hidden="1">
      <c r="A872" t="s">
        <v>707</v>
      </c>
      <c r="B872" s="6">
        <v>44287</v>
      </c>
      <c r="C872" s="6">
        <v>44651</v>
      </c>
      <c r="D872">
        <v>20210401</v>
      </c>
      <c r="E872">
        <v>20220331</v>
      </c>
      <c r="F872" t="s">
        <v>6777</v>
      </c>
      <c r="G872" t="s">
        <v>6778</v>
      </c>
      <c r="H872" t="s">
        <v>2073</v>
      </c>
      <c r="I872" t="s">
        <v>1462</v>
      </c>
      <c r="J872">
        <v>50</v>
      </c>
      <c r="K872">
        <v>7000</v>
      </c>
      <c r="L872">
        <v>20</v>
      </c>
      <c r="M872">
        <v>9500.2000000000007</v>
      </c>
      <c r="N872">
        <v>-70</v>
      </c>
      <c r="O872">
        <v>-16500.2</v>
      </c>
      <c r="Z872" s="3">
        <f t="shared" si="13"/>
        <v>235.71714285714287</v>
      </c>
    </row>
    <row r="873" spans="1:26" hidden="1">
      <c r="A873" t="s">
        <v>707</v>
      </c>
      <c r="B873" s="6">
        <v>44287</v>
      </c>
      <c r="C873" s="6">
        <v>44651</v>
      </c>
      <c r="D873">
        <v>20210401</v>
      </c>
      <c r="E873">
        <v>20220331</v>
      </c>
      <c r="F873" t="s">
        <v>6779</v>
      </c>
      <c r="G873" t="s">
        <v>6780</v>
      </c>
      <c r="H873" t="s">
        <v>590</v>
      </c>
      <c r="I873" t="s">
        <v>1462</v>
      </c>
      <c r="J873">
        <v>36</v>
      </c>
      <c r="K873">
        <v>1098.6099999999999</v>
      </c>
      <c r="N873">
        <v>-11</v>
      </c>
      <c r="O873">
        <v>-335.68</v>
      </c>
      <c r="X873">
        <v>25</v>
      </c>
      <c r="Y873">
        <v>762.93</v>
      </c>
      <c r="Z873" s="3">
        <f t="shared" si="13"/>
        <v>30.516363636363636</v>
      </c>
    </row>
    <row r="874" spans="1:26" hidden="1">
      <c r="A874" t="s">
        <v>707</v>
      </c>
      <c r="B874" s="6">
        <v>44287</v>
      </c>
      <c r="C874" s="6">
        <v>44651</v>
      </c>
      <c r="D874">
        <v>20210401</v>
      </c>
      <c r="E874">
        <v>20220331</v>
      </c>
      <c r="F874" t="s">
        <v>3786</v>
      </c>
      <c r="G874" t="s">
        <v>3787</v>
      </c>
      <c r="H874" t="s">
        <v>590</v>
      </c>
      <c r="I874" t="s">
        <v>1462</v>
      </c>
      <c r="J874">
        <v>45</v>
      </c>
      <c r="K874">
        <v>1672.61</v>
      </c>
      <c r="N874">
        <v>-31</v>
      </c>
      <c r="O874">
        <v>-1152.27</v>
      </c>
      <c r="X874">
        <v>14</v>
      </c>
      <c r="Y874">
        <v>520.34</v>
      </c>
      <c r="Z874" s="3">
        <f t="shared" si="13"/>
        <v>37.17</v>
      </c>
    </row>
    <row r="875" spans="1:26" hidden="1">
      <c r="A875" t="s">
        <v>707</v>
      </c>
      <c r="B875" s="6">
        <v>44287</v>
      </c>
      <c r="C875" s="6">
        <v>44651</v>
      </c>
      <c r="D875">
        <v>20210401</v>
      </c>
      <c r="E875">
        <v>20220331</v>
      </c>
      <c r="F875" t="s">
        <v>3788</v>
      </c>
      <c r="G875" t="s">
        <v>3789</v>
      </c>
      <c r="H875" t="s">
        <v>590</v>
      </c>
      <c r="I875" t="s">
        <v>1462</v>
      </c>
      <c r="J875">
        <v>148</v>
      </c>
      <c r="K875">
        <v>5307.23</v>
      </c>
      <c r="N875">
        <v>-97</v>
      </c>
      <c r="O875">
        <v>-3455.56</v>
      </c>
      <c r="X875">
        <v>51</v>
      </c>
      <c r="Y875">
        <v>1851.67</v>
      </c>
      <c r="Z875" s="3">
        <f t="shared" si="13"/>
        <v>35.624329896907213</v>
      </c>
    </row>
    <row r="876" spans="1:26" hidden="1">
      <c r="A876" t="s">
        <v>707</v>
      </c>
      <c r="B876" s="6">
        <v>44287</v>
      </c>
      <c r="C876" s="6">
        <v>44651</v>
      </c>
      <c r="D876">
        <v>20210401</v>
      </c>
      <c r="E876">
        <v>20220331</v>
      </c>
      <c r="F876" t="s">
        <v>3790</v>
      </c>
      <c r="G876" t="s">
        <v>3791</v>
      </c>
      <c r="H876" t="s">
        <v>590</v>
      </c>
      <c r="I876" t="s">
        <v>1462</v>
      </c>
      <c r="J876">
        <v>40</v>
      </c>
      <c r="K876">
        <v>1440</v>
      </c>
      <c r="N876">
        <v>-34</v>
      </c>
      <c r="O876">
        <v>-1224</v>
      </c>
      <c r="X876">
        <v>6</v>
      </c>
      <c r="Y876">
        <v>216</v>
      </c>
      <c r="Z876" s="3">
        <f t="shared" si="13"/>
        <v>36</v>
      </c>
    </row>
    <row r="877" spans="1:26" hidden="1">
      <c r="A877" t="s">
        <v>707</v>
      </c>
      <c r="B877" s="6">
        <v>44287</v>
      </c>
      <c r="C877" s="6">
        <v>44651</v>
      </c>
      <c r="D877">
        <v>20210401</v>
      </c>
      <c r="E877">
        <v>20220331</v>
      </c>
      <c r="F877" t="s">
        <v>3798</v>
      </c>
      <c r="G877" t="s">
        <v>3799</v>
      </c>
      <c r="H877" t="s">
        <v>590</v>
      </c>
      <c r="I877" t="s">
        <v>1462</v>
      </c>
      <c r="J877">
        <v>106</v>
      </c>
      <c r="K877">
        <v>4220.18</v>
      </c>
      <c r="L877">
        <v>6</v>
      </c>
      <c r="M877">
        <v>180</v>
      </c>
      <c r="N877">
        <v>-31</v>
      </c>
      <c r="O877">
        <v>-1224.48</v>
      </c>
      <c r="X877">
        <v>81</v>
      </c>
      <c r="Y877">
        <v>3175.7</v>
      </c>
      <c r="Z877" s="3">
        <f t="shared" si="13"/>
        <v>39.499354838709678</v>
      </c>
    </row>
    <row r="878" spans="1:26" hidden="1">
      <c r="A878" t="s">
        <v>707</v>
      </c>
      <c r="B878" s="6">
        <v>44287</v>
      </c>
      <c r="C878" s="6">
        <v>44651</v>
      </c>
      <c r="D878">
        <v>20210401</v>
      </c>
      <c r="E878">
        <v>20220331</v>
      </c>
      <c r="F878" t="s">
        <v>6781</v>
      </c>
      <c r="G878" t="s">
        <v>6782</v>
      </c>
      <c r="H878" t="s">
        <v>590</v>
      </c>
      <c r="I878" t="s">
        <v>1462</v>
      </c>
      <c r="J878">
        <v>144</v>
      </c>
      <c r="K878">
        <v>5904</v>
      </c>
      <c r="X878">
        <v>144</v>
      </c>
      <c r="Y878">
        <v>5904</v>
      </c>
      <c r="Z878" s="3">
        <f t="shared" si="13"/>
        <v>41</v>
      </c>
    </row>
    <row r="879" spans="1:26" hidden="1">
      <c r="A879" t="s">
        <v>707</v>
      </c>
      <c r="B879" s="6">
        <v>44287</v>
      </c>
      <c r="C879" s="6">
        <v>44651</v>
      </c>
      <c r="D879">
        <v>20210401</v>
      </c>
      <c r="E879">
        <v>20220331</v>
      </c>
      <c r="F879" t="s">
        <v>6783</v>
      </c>
      <c r="G879" t="s">
        <v>6784</v>
      </c>
      <c r="H879" t="s">
        <v>590</v>
      </c>
      <c r="I879" t="s">
        <v>1462</v>
      </c>
      <c r="J879">
        <v>7</v>
      </c>
      <c r="K879">
        <v>886.12</v>
      </c>
      <c r="X879">
        <v>7</v>
      </c>
      <c r="Y879">
        <v>886.12</v>
      </c>
      <c r="Z879" s="3">
        <f t="shared" si="13"/>
        <v>126.58857142857143</v>
      </c>
    </row>
    <row r="880" spans="1:26" hidden="1">
      <c r="A880" t="s">
        <v>707</v>
      </c>
      <c r="B880" s="6">
        <v>44287</v>
      </c>
      <c r="C880" s="6">
        <v>44651</v>
      </c>
      <c r="D880">
        <v>20210401</v>
      </c>
      <c r="E880">
        <v>20220331</v>
      </c>
      <c r="F880" t="s">
        <v>6785</v>
      </c>
      <c r="G880" t="s">
        <v>6786</v>
      </c>
      <c r="H880" t="s">
        <v>590</v>
      </c>
      <c r="I880" t="s">
        <v>1462</v>
      </c>
      <c r="J880">
        <v>7</v>
      </c>
      <c r="K880">
        <v>5471.66</v>
      </c>
      <c r="L880">
        <v>8</v>
      </c>
      <c r="M880">
        <v>6200</v>
      </c>
      <c r="X880">
        <v>15</v>
      </c>
      <c r="Y880">
        <v>11671.66</v>
      </c>
      <c r="Z880" s="3">
        <f t="shared" si="13"/>
        <v>778.1106666666667</v>
      </c>
    </row>
    <row r="881" spans="1:26" hidden="1">
      <c r="A881" t="s">
        <v>707</v>
      </c>
      <c r="B881" s="6">
        <v>44287</v>
      </c>
      <c r="C881" s="6">
        <v>44651</v>
      </c>
      <c r="D881">
        <v>20210401</v>
      </c>
      <c r="E881">
        <v>20220331</v>
      </c>
      <c r="F881" t="s">
        <v>3816</v>
      </c>
      <c r="G881" t="s">
        <v>3817</v>
      </c>
      <c r="H881" t="s">
        <v>590</v>
      </c>
      <c r="I881" t="s">
        <v>805</v>
      </c>
      <c r="J881">
        <v>8</v>
      </c>
      <c r="K881">
        <v>14800</v>
      </c>
      <c r="L881">
        <v>6</v>
      </c>
      <c r="M881">
        <v>11640</v>
      </c>
      <c r="N881">
        <v>-4</v>
      </c>
      <c r="O881">
        <v>-7490</v>
      </c>
      <c r="X881">
        <v>10</v>
      </c>
      <c r="Y881">
        <v>18950</v>
      </c>
      <c r="Z881" s="3">
        <f t="shared" si="13"/>
        <v>1872.5</v>
      </c>
    </row>
    <row r="882" spans="1:26" hidden="1">
      <c r="A882" t="s">
        <v>707</v>
      </c>
      <c r="B882" s="6">
        <v>44287</v>
      </c>
      <c r="C882" s="6">
        <v>44651</v>
      </c>
      <c r="D882">
        <v>20210401</v>
      </c>
      <c r="E882">
        <v>20220331</v>
      </c>
      <c r="F882" t="s">
        <v>6787</v>
      </c>
      <c r="G882" t="s">
        <v>6788</v>
      </c>
      <c r="H882" t="s">
        <v>590</v>
      </c>
      <c r="I882" t="s">
        <v>805</v>
      </c>
      <c r="J882">
        <v>6</v>
      </c>
      <c r="K882">
        <v>6900</v>
      </c>
      <c r="L882">
        <v>8</v>
      </c>
      <c r="M882">
        <v>8760</v>
      </c>
      <c r="N882">
        <v>-10</v>
      </c>
      <c r="O882">
        <v>-11353.34</v>
      </c>
      <c r="X882">
        <v>4</v>
      </c>
      <c r="Y882">
        <v>4306.66</v>
      </c>
      <c r="Z882" s="3">
        <f t="shared" si="13"/>
        <v>1135.3340000000001</v>
      </c>
    </row>
    <row r="883" spans="1:26" hidden="1">
      <c r="A883" t="s">
        <v>707</v>
      </c>
      <c r="B883" s="6">
        <v>44287</v>
      </c>
      <c r="C883" s="6">
        <v>44651</v>
      </c>
      <c r="D883">
        <v>20210401</v>
      </c>
      <c r="E883">
        <v>20220331</v>
      </c>
      <c r="F883" t="s">
        <v>6789</v>
      </c>
      <c r="G883" t="s">
        <v>6790</v>
      </c>
      <c r="H883" t="s">
        <v>590</v>
      </c>
      <c r="I883" t="s">
        <v>1462</v>
      </c>
      <c r="J883">
        <v>4</v>
      </c>
      <c r="K883">
        <v>1650.12</v>
      </c>
      <c r="X883">
        <v>4</v>
      </c>
      <c r="Y883">
        <v>1650.12</v>
      </c>
      <c r="Z883" s="3">
        <f t="shared" si="13"/>
        <v>412.53</v>
      </c>
    </row>
    <row r="884" spans="1:26" hidden="1">
      <c r="A884" t="s">
        <v>707</v>
      </c>
      <c r="B884" s="6">
        <v>44287</v>
      </c>
      <c r="C884" s="6">
        <v>44651</v>
      </c>
      <c r="D884">
        <v>20210401</v>
      </c>
      <c r="E884">
        <v>20220331</v>
      </c>
      <c r="F884" t="s">
        <v>6791</v>
      </c>
      <c r="G884" t="s">
        <v>6792</v>
      </c>
      <c r="H884" t="s">
        <v>590</v>
      </c>
      <c r="I884" t="s">
        <v>1462</v>
      </c>
      <c r="J884">
        <v>10</v>
      </c>
      <c r="K884">
        <v>3850</v>
      </c>
      <c r="X884">
        <v>10</v>
      </c>
      <c r="Y884">
        <v>3850</v>
      </c>
      <c r="Z884" s="3">
        <f t="shared" si="13"/>
        <v>385</v>
      </c>
    </row>
    <row r="885" spans="1:26" hidden="1">
      <c r="A885" t="s">
        <v>707</v>
      </c>
      <c r="B885" s="6">
        <v>44287</v>
      </c>
      <c r="C885" s="6">
        <v>44651</v>
      </c>
      <c r="D885">
        <v>20210401</v>
      </c>
      <c r="E885">
        <v>20220331</v>
      </c>
      <c r="F885" t="s">
        <v>3837</v>
      </c>
      <c r="G885" t="s">
        <v>3838</v>
      </c>
      <c r="H885" t="s">
        <v>590</v>
      </c>
      <c r="I885" t="s">
        <v>1462</v>
      </c>
      <c r="J885">
        <v>23</v>
      </c>
      <c r="K885">
        <v>7359.97</v>
      </c>
      <c r="N885">
        <v>-16</v>
      </c>
      <c r="O885">
        <v>-5120</v>
      </c>
      <c r="X885">
        <v>7</v>
      </c>
      <c r="Y885">
        <v>2239.9699999999998</v>
      </c>
      <c r="Z885" s="3">
        <f t="shared" si="13"/>
        <v>320</v>
      </c>
    </row>
    <row r="886" spans="1:26" hidden="1">
      <c r="A886" t="s">
        <v>707</v>
      </c>
      <c r="B886" s="6">
        <v>44287</v>
      </c>
      <c r="C886" s="6">
        <v>44651</v>
      </c>
      <c r="D886">
        <v>20210401</v>
      </c>
      <c r="E886">
        <v>20220331</v>
      </c>
      <c r="F886" t="s">
        <v>6793</v>
      </c>
      <c r="G886" t="s">
        <v>6794</v>
      </c>
      <c r="H886" t="s">
        <v>590</v>
      </c>
      <c r="I886" t="s">
        <v>805</v>
      </c>
      <c r="J886">
        <v>4</v>
      </c>
      <c r="K886">
        <v>2380.1</v>
      </c>
      <c r="X886">
        <v>4</v>
      </c>
      <c r="Y886">
        <v>2380.1</v>
      </c>
      <c r="Z886" s="3">
        <f t="shared" si="13"/>
        <v>595.02499999999998</v>
      </c>
    </row>
    <row r="887" spans="1:26" hidden="1">
      <c r="A887" t="s">
        <v>707</v>
      </c>
      <c r="B887" s="6">
        <v>44287</v>
      </c>
      <c r="C887" s="6">
        <v>44651</v>
      </c>
      <c r="D887">
        <v>20210401</v>
      </c>
      <c r="E887">
        <v>20220331</v>
      </c>
      <c r="F887" t="s">
        <v>6795</v>
      </c>
      <c r="G887" t="s">
        <v>6796</v>
      </c>
      <c r="H887" t="s">
        <v>590</v>
      </c>
      <c r="I887" t="s">
        <v>1462</v>
      </c>
      <c r="J887">
        <v>1</v>
      </c>
      <c r="L887">
        <v>4</v>
      </c>
      <c r="M887">
        <v>2800</v>
      </c>
      <c r="N887">
        <v>-1</v>
      </c>
      <c r="O887">
        <v>-560</v>
      </c>
      <c r="X887">
        <v>4</v>
      </c>
      <c r="Y887">
        <v>2240</v>
      </c>
      <c r="Z887" s="3">
        <f t="shared" si="13"/>
        <v>560</v>
      </c>
    </row>
    <row r="888" spans="1:26" hidden="1">
      <c r="A888" t="s">
        <v>707</v>
      </c>
      <c r="B888" s="6">
        <v>44287</v>
      </c>
      <c r="C888" s="6">
        <v>44651</v>
      </c>
      <c r="D888">
        <v>20210401</v>
      </c>
      <c r="E888">
        <v>20220331</v>
      </c>
      <c r="F888" t="s">
        <v>6797</v>
      </c>
      <c r="G888" t="s">
        <v>6798</v>
      </c>
      <c r="I888" t="s">
        <v>1462</v>
      </c>
      <c r="J888">
        <v>2</v>
      </c>
      <c r="X888">
        <v>2</v>
      </c>
      <c r="Z888" s="3">
        <f t="shared" si="13"/>
        <v>0</v>
      </c>
    </row>
    <row r="889" spans="1:26" hidden="1">
      <c r="A889" t="s">
        <v>707</v>
      </c>
      <c r="B889" s="6">
        <v>44287</v>
      </c>
      <c r="C889" s="6">
        <v>44651</v>
      </c>
      <c r="D889">
        <v>20210401</v>
      </c>
      <c r="E889">
        <v>20220331</v>
      </c>
      <c r="F889" t="s">
        <v>6799</v>
      </c>
      <c r="G889" t="s">
        <v>6800</v>
      </c>
      <c r="H889" t="s">
        <v>590</v>
      </c>
      <c r="I889" t="s">
        <v>1462</v>
      </c>
      <c r="J889">
        <v>4</v>
      </c>
      <c r="K889">
        <v>400</v>
      </c>
      <c r="L889">
        <v>2</v>
      </c>
      <c r="M889">
        <v>800</v>
      </c>
      <c r="N889">
        <v>-1</v>
      </c>
      <c r="O889">
        <v>-200</v>
      </c>
      <c r="X889">
        <v>5</v>
      </c>
      <c r="Y889">
        <v>1000</v>
      </c>
      <c r="Z889" s="3">
        <f t="shared" si="13"/>
        <v>200</v>
      </c>
    </row>
    <row r="890" spans="1:26" hidden="1">
      <c r="A890" t="s">
        <v>707</v>
      </c>
      <c r="B890" s="6">
        <v>44287</v>
      </c>
      <c r="C890" s="6">
        <v>44651</v>
      </c>
      <c r="D890">
        <v>20210401</v>
      </c>
      <c r="E890">
        <v>20220331</v>
      </c>
      <c r="F890" t="s">
        <v>6801</v>
      </c>
      <c r="G890" t="s">
        <v>6802</v>
      </c>
      <c r="H890" t="s">
        <v>590</v>
      </c>
      <c r="I890" t="s">
        <v>1462</v>
      </c>
      <c r="J890">
        <v>6</v>
      </c>
      <c r="K890">
        <v>3240.4</v>
      </c>
      <c r="N890">
        <v>-2</v>
      </c>
      <c r="O890">
        <v>-1080.1400000000001</v>
      </c>
      <c r="X890">
        <v>4</v>
      </c>
      <c r="Y890">
        <v>2160.2600000000002</v>
      </c>
      <c r="Z890" s="3">
        <f t="shared" si="13"/>
        <v>540.07000000000005</v>
      </c>
    </row>
    <row r="891" spans="1:26" hidden="1">
      <c r="A891" t="s">
        <v>707</v>
      </c>
      <c r="B891" s="6">
        <v>44287</v>
      </c>
      <c r="C891" s="6">
        <v>44651</v>
      </c>
      <c r="D891">
        <v>20210401</v>
      </c>
      <c r="E891">
        <v>20220331</v>
      </c>
      <c r="F891" t="s">
        <v>6803</v>
      </c>
      <c r="G891" t="s">
        <v>6804</v>
      </c>
      <c r="H891" t="s">
        <v>590</v>
      </c>
      <c r="I891" t="s">
        <v>1462</v>
      </c>
      <c r="L891">
        <v>2</v>
      </c>
      <c r="M891">
        <v>1980</v>
      </c>
      <c r="N891">
        <v>-1</v>
      </c>
      <c r="O891">
        <v>-990</v>
      </c>
      <c r="X891">
        <v>1</v>
      </c>
      <c r="Y891">
        <v>990</v>
      </c>
      <c r="Z891" s="3">
        <f t="shared" si="13"/>
        <v>990</v>
      </c>
    </row>
    <row r="892" spans="1:26" hidden="1">
      <c r="A892" t="s">
        <v>707</v>
      </c>
      <c r="B892" s="6">
        <v>44287</v>
      </c>
      <c r="C892" s="6">
        <v>44651</v>
      </c>
      <c r="D892">
        <v>20210401</v>
      </c>
      <c r="E892">
        <v>20220331</v>
      </c>
      <c r="F892" t="s">
        <v>6805</v>
      </c>
      <c r="G892" t="s">
        <v>6806</v>
      </c>
      <c r="H892" t="s">
        <v>590</v>
      </c>
      <c r="I892" t="s">
        <v>805</v>
      </c>
      <c r="J892">
        <v>2</v>
      </c>
      <c r="K892">
        <v>1230.27</v>
      </c>
      <c r="N892">
        <v>-3</v>
      </c>
      <c r="O892">
        <v>-1845.4</v>
      </c>
      <c r="X892">
        <v>-1</v>
      </c>
      <c r="Y892">
        <v>-615.13</v>
      </c>
      <c r="Z892" s="3">
        <f t="shared" si="13"/>
        <v>615.13333333333333</v>
      </c>
    </row>
    <row r="893" spans="1:26" hidden="1">
      <c r="A893" t="s">
        <v>707</v>
      </c>
      <c r="B893" s="6">
        <v>44287</v>
      </c>
      <c r="C893" s="6">
        <v>44651</v>
      </c>
      <c r="D893">
        <v>20210401</v>
      </c>
      <c r="E893">
        <v>20220331</v>
      </c>
      <c r="F893" t="s">
        <v>6807</v>
      </c>
      <c r="G893" t="s">
        <v>6808</v>
      </c>
      <c r="H893" t="s">
        <v>590</v>
      </c>
      <c r="I893" t="s">
        <v>1462</v>
      </c>
      <c r="L893">
        <v>6</v>
      </c>
      <c r="M893">
        <v>3050</v>
      </c>
      <c r="X893">
        <v>6</v>
      </c>
      <c r="Y893">
        <v>3050</v>
      </c>
      <c r="Z893" s="3">
        <f t="shared" si="13"/>
        <v>508.33333333333331</v>
      </c>
    </row>
    <row r="894" spans="1:26" hidden="1">
      <c r="A894" t="s">
        <v>707</v>
      </c>
      <c r="B894" s="6">
        <v>44287</v>
      </c>
      <c r="C894" s="6">
        <v>44651</v>
      </c>
      <c r="D894">
        <v>20210401</v>
      </c>
      <c r="E894">
        <v>20220331</v>
      </c>
      <c r="F894" t="s">
        <v>3862</v>
      </c>
      <c r="G894" t="s">
        <v>3863</v>
      </c>
      <c r="H894" t="s">
        <v>590</v>
      </c>
      <c r="I894" t="s">
        <v>1462</v>
      </c>
      <c r="J894">
        <v>2</v>
      </c>
      <c r="K894">
        <v>5786.54</v>
      </c>
      <c r="X894">
        <v>2</v>
      </c>
      <c r="Y894">
        <v>5786.54</v>
      </c>
      <c r="Z894" s="3">
        <f t="shared" si="13"/>
        <v>2893.27</v>
      </c>
    </row>
    <row r="895" spans="1:26" hidden="1">
      <c r="A895" t="s">
        <v>707</v>
      </c>
      <c r="B895" s="6">
        <v>44287</v>
      </c>
      <c r="C895" s="6">
        <v>44651</v>
      </c>
      <c r="D895">
        <v>20210401</v>
      </c>
      <c r="E895">
        <v>20220331</v>
      </c>
      <c r="F895" t="s">
        <v>6809</v>
      </c>
      <c r="G895" t="s">
        <v>6810</v>
      </c>
      <c r="H895" t="s">
        <v>590</v>
      </c>
      <c r="I895" t="s">
        <v>1462</v>
      </c>
      <c r="L895">
        <v>2</v>
      </c>
      <c r="M895">
        <v>6500</v>
      </c>
      <c r="X895">
        <v>2</v>
      </c>
      <c r="Y895">
        <v>6500</v>
      </c>
      <c r="Z895" s="3">
        <f t="shared" si="13"/>
        <v>3250</v>
      </c>
    </row>
    <row r="896" spans="1:26" hidden="1">
      <c r="A896" t="s">
        <v>707</v>
      </c>
      <c r="B896" s="6">
        <v>44287</v>
      </c>
      <c r="C896" s="6">
        <v>44651</v>
      </c>
      <c r="D896">
        <v>20210401</v>
      </c>
      <c r="E896">
        <v>20220331</v>
      </c>
      <c r="F896" t="s">
        <v>6811</v>
      </c>
      <c r="G896" t="s">
        <v>6812</v>
      </c>
      <c r="H896" t="s">
        <v>590</v>
      </c>
      <c r="I896" t="s">
        <v>1462</v>
      </c>
      <c r="J896">
        <v>1</v>
      </c>
      <c r="K896">
        <v>1950</v>
      </c>
      <c r="X896">
        <v>1</v>
      </c>
      <c r="Y896">
        <v>1950</v>
      </c>
      <c r="Z896" s="3">
        <f t="shared" si="13"/>
        <v>1950</v>
      </c>
    </row>
    <row r="897" spans="1:26" hidden="1">
      <c r="A897" t="s">
        <v>707</v>
      </c>
      <c r="B897" s="6">
        <v>44287</v>
      </c>
      <c r="C897" s="6">
        <v>44651</v>
      </c>
      <c r="D897">
        <v>20210401</v>
      </c>
      <c r="E897">
        <v>20220331</v>
      </c>
      <c r="F897" t="s">
        <v>6813</v>
      </c>
      <c r="G897" t="s">
        <v>6814</v>
      </c>
      <c r="H897" t="s">
        <v>590</v>
      </c>
      <c r="I897" t="s">
        <v>805</v>
      </c>
      <c r="L897">
        <v>175</v>
      </c>
      <c r="M897">
        <v>8500</v>
      </c>
      <c r="N897">
        <v>-175</v>
      </c>
      <c r="O897">
        <v>-8500</v>
      </c>
      <c r="Z897" s="3">
        <f t="shared" si="13"/>
        <v>48.571428571428569</v>
      </c>
    </row>
    <row r="898" spans="1:26" hidden="1">
      <c r="A898" t="s">
        <v>707</v>
      </c>
      <c r="B898" s="6">
        <v>44287</v>
      </c>
      <c r="C898" s="6">
        <v>44651</v>
      </c>
      <c r="D898">
        <v>20210401</v>
      </c>
      <c r="E898">
        <v>20220331</v>
      </c>
      <c r="F898" t="s">
        <v>6815</v>
      </c>
      <c r="G898" t="s">
        <v>6816</v>
      </c>
      <c r="H898" t="s">
        <v>590</v>
      </c>
      <c r="I898" t="s">
        <v>805</v>
      </c>
      <c r="L898">
        <v>175</v>
      </c>
      <c r="M898">
        <v>5850</v>
      </c>
      <c r="N898">
        <v>-175</v>
      </c>
      <c r="O898">
        <v>-5850</v>
      </c>
      <c r="Z898" s="3">
        <f t="shared" si="13"/>
        <v>33.428571428571431</v>
      </c>
    </row>
    <row r="899" spans="1:26" hidden="1">
      <c r="A899" t="s">
        <v>707</v>
      </c>
      <c r="B899" s="6">
        <v>44287</v>
      </c>
      <c r="C899" s="6">
        <v>44651</v>
      </c>
      <c r="D899">
        <v>20210401</v>
      </c>
      <c r="E899">
        <v>20220331</v>
      </c>
      <c r="F899" t="s">
        <v>3884</v>
      </c>
      <c r="G899" t="s">
        <v>3885</v>
      </c>
      <c r="H899" t="s">
        <v>590</v>
      </c>
      <c r="I899" t="s">
        <v>1462</v>
      </c>
      <c r="J899">
        <v>10</v>
      </c>
      <c r="K899">
        <v>5600</v>
      </c>
      <c r="N899">
        <v>-2</v>
      </c>
      <c r="O899">
        <v>-1120</v>
      </c>
      <c r="X899">
        <v>8</v>
      </c>
      <c r="Y899">
        <v>4480</v>
      </c>
      <c r="Z899" s="3">
        <f t="shared" ref="Z899:Z962" si="14">IFERROR((O899+Q899)/(N899+P899),Y899/X899)</f>
        <v>560</v>
      </c>
    </row>
    <row r="900" spans="1:26" hidden="1">
      <c r="A900" t="s">
        <v>707</v>
      </c>
      <c r="B900" s="6">
        <v>44287</v>
      </c>
      <c r="C900" s="6">
        <v>44651</v>
      </c>
      <c r="D900">
        <v>20210401</v>
      </c>
      <c r="E900">
        <v>20220331</v>
      </c>
      <c r="F900" t="s">
        <v>6817</v>
      </c>
      <c r="G900" t="s">
        <v>6818</v>
      </c>
      <c r="H900" t="s">
        <v>590</v>
      </c>
      <c r="I900" t="s">
        <v>1462</v>
      </c>
      <c r="L900">
        <v>2</v>
      </c>
      <c r="M900">
        <v>450</v>
      </c>
      <c r="N900">
        <v>-2</v>
      </c>
      <c r="O900">
        <v>-449.96</v>
      </c>
      <c r="Y900">
        <v>0.04</v>
      </c>
      <c r="Z900" s="3">
        <f t="shared" si="14"/>
        <v>224.98</v>
      </c>
    </row>
    <row r="901" spans="1:26" hidden="1">
      <c r="A901" t="s">
        <v>707</v>
      </c>
      <c r="B901" s="6">
        <v>44287</v>
      </c>
      <c r="C901" s="6">
        <v>44651</v>
      </c>
      <c r="D901">
        <v>20210401</v>
      </c>
      <c r="E901">
        <v>20220331</v>
      </c>
      <c r="F901" t="s">
        <v>3886</v>
      </c>
      <c r="G901" t="s">
        <v>3887</v>
      </c>
      <c r="H901" t="s">
        <v>590</v>
      </c>
      <c r="I901" t="s">
        <v>1462</v>
      </c>
      <c r="J901">
        <v>3</v>
      </c>
      <c r="K901">
        <v>214.52</v>
      </c>
      <c r="L901">
        <v>20</v>
      </c>
      <c r="M901">
        <v>1300</v>
      </c>
      <c r="N901">
        <v>-21</v>
      </c>
      <c r="O901">
        <v>-1392.77</v>
      </c>
      <c r="X901">
        <v>2</v>
      </c>
      <c r="Y901">
        <v>121.75</v>
      </c>
      <c r="Z901" s="3">
        <f t="shared" si="14"/>
        <v>66.322380952380954</v>
      </c>
    </row>
    <row r="902" spans="1:26" hidden="1">
      <c r="A902" t="s">
        <v>707</v>
      </c>
      <c r="B902" s="6">
        <v>44287</v>
      </c>
      <c r="C902" s="6">
        <v>44651</v>
      </c>
      <c r="D902">
        <v>20210401</v>
      </c>
      <c r="E902">
        <v>20220331</v>
      </c>
      <c r="F902" t="s">
        <v>6819</v>
      </c>
      <c r="G902" t="s">
        <v>6820</v>
      </c>
      <c r="H902" t="s">
        <v>3319</v>
      </c>
      <c r="I902" t="s">
        <v>1462</v>
      </c>
      <c r="J902">
        <v>1</v>
      </c>
      <c r="K902">
        <v>102.29</v>
      </c>
      <c r="N902">
        <v>-1</v>
      </c>
      <c r="O902">
        <v>-102.29</v>
      </c>
      <c r="Z902" s="3">
        <f t="shared" si="14"/>
        <v>102.29</v>
      </c>
    </row>
    <row r="903" spans="1:26" hidden="1">
      <c r="A903" t="s">
        <v>707</v>
      </c>
      <c r="B903" s="6">
        <v>44287</v>
      </c>
      <c r="C903" s="6">
        <v>44651</v>
      </c>
      <c r="D903">
        <v>20210401</v>
      </c>
      <c r="E903">
        <v>20220331</v>
      </c>
      <c r="F903" t="s">
        <v>6821</v>
      </c>
      <c r="G903" t="s">
        <v>6822</v>
      </c>
      <c r="H903" t="s">
        <v>590</v>
      </c>
      <c r="I903" t="s">
        <v>1462</v>
      </c>
      <c r="J903">
        <v>4</v>
      </c>
      <c r="K903">
        <v>11023.42</v>
      </c>
      <c r="X903">
        <v>4</v>
      </c>
      <c r="Y903">
        <v>11023.42</v>
      </c>
      <c r="Z903" s="3">
        <f t="shared" si="14"/>
        <v>2755.855</v>
      </c>
    </row>
    <row r="904" spans="1:26" hidden="1">
      <c r="A904" t="s">
        <v>707</v>
      </c>
      <c r="B904" s="6">
        <v>44287</v>
      </c>
      <c r="C904" s="6">
        <v>44651</v>
      </c>
      <c r="D904">
        <v>20210401</v>
      </c>
      <c r="E904">
        <v>20220331</v>
      </c>
      <c r="F904" t="s">
        <v>6823</v>
      </c>
      <c r="G904" t="s">
        <v>6824</v>
      </c>
      <c r="H904" t="s">
        <v>590</v>
      </c>
      <c r="I904" t="s">
        <v>1462</v>
      </c>
      <c r="J904">
        <v>2</v>
      </c>
      <c r="K904">
        <v>944.32</v>
      </c>
      <c r="X904">
        <v>2</v>
      </c>
      <c r="Y904">
        <v>944.32</v>
      </c>
      <c r="Z904" s="3">
        <f t="shared" si="14"/>
        <v>472.16</v>
      </c>
    </row>
    <row r="905" spans="1:26" hidden="1">
      <c r="A905" t="s">
        <v>707</v>
      </c>
      <c r="B905" s="6">
        <v>44287</v>
      </c>
      <c r="C905" s="6">
        <v>44651</v>
      </c>
      <c r="D905">
        <v>20210401</v>
      </c>
      <c r="E905">
        <v>20220331</v>
      </c>
      <c r="F905" t="s">
        <v>6825</v>
      </c>
      <c r="G905" t="s">
        <v>6826</v>
      </c>
      <c r="H905" t="s">
        <v>590</v>
      </c>
      <c r="I905" t="s">
        <v>1462</v>
      </c>
      <c r="J905">
        <v>2</v>
      </c>
      <c r="K905">
        <v>6317.63</v>
      </c>
      <c r="X905">
        <v>2</v>
      </c>
      <c r="Y905">
        <v>6317.63</v>
      </c>
      <c r="Z905" s="3">
        <f t="shared" si="14"/>
        <v>3158.8150000000001</v>
      </c>
    </row>
    <row r="906" spans="1:26" hidden="1">
      <c r="A906" t="s">
        <v>707</v>
      </c>
      <c r="B906" s="6">
        <v>44287</v>
      </c>
      <c r="C906" s="6">
        <v>44651</v>
      </c>
      <c r="D906">
        <v>20210401</v>
      </c>
      <c r="E906">
        <v>20220331</v>
      </c>
      <c r="F906" t="s">
        <v>6827</v>
      </c>
      <c r="G906" t="s">
        <v>6828</v>
      </c>
      <c r="H906" t="s">
        <v>590</v>
      </c>
      <c r="I906" t="s">
        <v>1462</v>
      </c>
      <c r="L906">
        <v>12</v>
      </c>
      <c r="M906">
        <v>2639.8</v>
      </c>
      <c r="X906">
        <v>12</v>
      </c>
      <c r="Y906">
        <v>2639.8</v>
      </c>
      <c r="Z906" s="3">
        <f t="shared" si="14"/>
        <v>219.98333333333335</v>
      </c>
    </row>
    <row r="907" spans="1:26" hidden="1">
      <c r="A907" t="s">
        <v>707</v>
      </c>
      <c r="B907" s="6">
        <v>44287</v>
      </c>
      <c r="C907" s="6">
        <v>44651</v>
      </c>
      <c r="D907">
        <v>20210401</v>
      </c>
      <c r="E907">
        <v>20220331</v>
      </c>
      <c r="F907" t="s">
        <v>6829</v>
      </c>
      <c r="G907" t="s">
        <v>6830</v>
      </c>
      <c r="H907" t="s">
        <v>3319</v>
      </c>
      <c r="I907" t="s">
        <v>1462</v>
      </c>
      <c r="L907">
        <v>40</v>
      </c>
      <c r="M907">
        <v>2400</v>
      </c>
      <c r="N907">
        <v>-40</v>
      </c>
      <c r="O907">
        <v>-2400</v>
      </c>
      <c r="Z907" s="3">
        <f t="shared" si="14"/>
        <v>60</v>
      </c>
    </row>
    <row r="908" spans="1:26" hidden="1">
      <c r="A908" t="s">
        <v>707</v>
      </c>
      <c r="B908" s="6">
        <v>44287</v>
      </c>
      <c r="C908" s="6">
        <v>44651</v>
      </c>
      <c r="D908">
        <v>20210401</v>
      </c>
      <c r="E908">
        <v>20220331</v>
      </c>
      <c r="F908" t="s">
        <v>6831</v>
      </c>
      <c r="G908" t="s">
        <v>6832</v>
      </c>
      <c r="H908" t="s">
        <v>590</v>
      </c>
      <c r="I908" t="s">
        <v>805</v>
      </c>
      <c r="J908">
        <v>5</v>
      </c>
      <c r="K908">
        <v>4000</v>
      </c>
      <c r="N908">
        <v>-3</v>
      </c>
      <c r="O908">
        <v>-2400</v>
      </c>
      <c r="X908">
        <v>2</v>
      </c>
      <c r="Y908">
        <v>1600</v>
      </c>
      <c r="Z908" s="3">
        <f t="shared" si="14"/>
        <v>800</v>
      </c>
    </row>
    <row r="909" spans="1:26" hidden="1">
      <c r="A909" t="s">
        <v>707</v>
      </c>
      <c r="B909" s="6">
        <v>44287</v>
      </c>
      <c r="C909" s="6">
        <v>44651</v>
      </c>
      <c r="D909">
        <v>20210401</v>
      </c>
      <c r="E909">
        <v>20220331</v>
      </c>
      <c r="F909" t="s">
        <v>3908</v>
      </c>
      <c r="G909" t="s">
        <v>3909</v>
      </c>
      <c r="H909" t="s">
        <v>590</v>
      </c>
      <c r="I909" t="s">
        <v>805</v>
      </c>
      <c r="J909">
        <v>145</v>
      </c>
      <c r="K909">
        <v>5720.18</v>
      </c>
      <c r="L909">
        <v>1627</v>
      </c>
      <c r="M909">
        <v>70810</v>
      </c>
      <c r="N909">
        <v>-1740</v>
      </c>
      <c r="O909">
        <v>-74952.490000000005</v>
      </c>
      <c r="X909">
        <v>32</v>
      </c>
      <c r="Y909">
        <v>1577.69</v>
      </c>
      <c r="Z909" s="3">
        <f t="shared" si="14"/>
        <v>43.076143678160925</v>
      </c>
    </row>
    <row r="910" spans="1:26" hidden="1">
      <c r="A910" t="s">
        <v>707</v>
      </c>
      <c r="B910" s="6">
        <v>44287</v>
      </c>
      <c r="C910" s="6">
        <v>44651</v>
      </c>
      <c r="D910">
        <v>20210401</v>
      </c>
      <c r="E910">
        <v>20220331</v>
      </c>
      <c r="F910" t="s">
        <v>6833</v>
      </c>
      <c r="G910" t="s">
        <v>6834</v>
      </c>
      <c r="H910" t="s">
        <v>590</v>
      </c>
      <c r="I910" t="s">
        <v>1462</v>
      </c>
      <c r="J910">
        <v>13</v>
      </c>
      <c r="K910">
        <v>3510</v>
      </c>
      <c r="X910">
        <v>13</v>
      </c>
      <c r="Y910">
        <v>3510</v>
      </c>
      <c r="Z910" s="3">
        <f t="shared" si="14"/>
        <v>270</v>
      </c>
    </row>
    <row r="911" spans="1:26" hidden="1">
      <c r="A911" t="s">
        <v>707</v>
      </c>
      <c r="B911" s="6">
        <v>44287</v>
      </c>
      <c r="C911" s="6">
        <v>44651</v>
      </c>
      <c r="D911">
        <v>20210401</v>
      </c>
      <c r="E911">
        <v>20220331</v>
      </c>
      <c r="F911" t="s">
        <v>6835</v>
      </c>
      <c r="G911" t="s">
        <v>6836</v>
      </c>
      <c r="H911" t="s">
        <v>590</v>
      </c>
      <c r="I911" t="s">
        <v>1462</v>
      </c>
      <c r="K911">
        <v>0.01</v>
      </c>
      <c r="L911">
        <v>7</v>
      </c>
      <c r="M911">
        <v>1820</v>
      </c>
      <c r="N911">
        <v>-5</v>
      </c>
      <c r="O911">
        <v>-1300</v>
      </c>
      <c r="X911">
        <v>2</v>
      </c>
      <c r="Y911">
        <v>520.01</v>
      </c>
      <c r="Z911" s="3">
        <f t="shared" si="14"/>
        <v>260</v>
      </c>
    </row>
    <row r="912" spans="1:26" hidden="1">
      <c r="A912" t="s">
        <v>707</v>
      </c>
      <c r="B912" s="6">
        <v>44287</v>
      </c>
      <c r="C912" s="6">
        <v>44651</v>
      </c>
      <c r="D912">
        <v>20210401</v>
      </c>
      <c r="E912">
        <v>20220331</v>
      </c>
      <c r="F912" t="s">
        <v>6837</v>
      </c>
      <c r="G912" t="s">
        <v>6838</v>
      </c>
      <c r="H912" t="s">
        <v>590</v>
      </c>
      <c r="I912" t="s">
        <v>1462</v>
      </c>
      <c r="J912">
        <v>4</v>
      </c>
      <c r="K912">
        <v>515.42999999999995</v>
      </c>
      <c r="X912">
        <v>4</v>
      </c>
      <c r="Y912">
        <v>515.42999999999995</v>
      </c>
      <c r="Z912" s="3">
        <f t="shared" si="14"/>
        <v>128.85749999999999</v>
      </c>
    </row>
    <row r="913" spans="1:26" hidden="1">
      <c r="A913" t="s">
        <v>707</v>
      </c>
      <c r="B913" s="6">
        <v>44287</v>
      </c>
      <c r="C913" s="6">
        <v>44651</v>
      </c>
      <c r="D913">
        <v>20210401</v>
      </c>
      <c r="E913">
        <v>20220331</v>
      </c>
      <c r="F913" t="s">
        <v>3918</v>
      </c>
      <c r="G913" t="s">
        <v>3919</v>
      </c>
      <c r="H913" t="s">
        <v>613</v>
      </c>
      <c r="I913" t="s">
        <v>805</v>
      </c>
      <c r="L913">
        <v>100</v>
      </c>
      <c r="M913">
        <v>4800</v>
      </c>
      <c r="N913">
        <v>-100</v>
      </c>
      <c r="O913">
        <v>-4800</v>
      </c>
      <c r="Z913" s="3">
        <f t="shared" si="14"/>
        <v>48</v>
      </c>
    </row>
    <row r="914" spans="1:26" hidden="1">
      <c r="A914" t="s">
        <v>707</v>
      </c>
      <c r="B914" s="6">
        <v>44287</v>
      </c>
      <c r="C914" s="6">
        <v>44651</v>
      </c>
      <c r="D914">
        <v>20210401</v>
      </c>
      <c r="E914">
        <v>20220331</v>
      </c>
      <c r="F914" t="s">
        <v>3928</v>
      </c>
      <c r="G914" t="s">
        <v>3929</v>
      </c>
      <c r="H914" t="s">
        <v>590</v>
      </c>
      <c r="I914" t="s">
        <v>1462</v>
      </c>
      <c r="J914">
        <v>4</v>
      </c>
      <c r="K914">
        <v>1628</v>
      </c>
      <c r="N914">
        <v>-3</v>
      </c>
      <c r="O914">
        <v>-1221</v>
      </c>
      <c r="X914">
        <v>1</v>
      </c>
      <c r="Y914">
        <v>407</v>
      </c>
      <c r="Z914" s="3">
        <f t="shared" si="14"/>
        <v>407</v>
      </c>
    </row>
    <row r="915" spans="1:26" hidden="1">
      <c r="A915" t="s">
        <v>707</v>
      </c>
      <c r="B915" s="6">
        <v>44287</v>
      </c>
      <c r="C915" s="6">
        <v>44651</v>
      </c>
      <c r="D915">
        <v>20210401</v>
      </c>
      <c r="E915">
        <v>20220331</v>
      </c>
      <c r="F915" t="s">
        <v>3930</v>
      </c>
      <c r="G915" t="s">
        <v>3931</v>
      </c>
      <c r="H915" t="s">
        <v>590</v>
      </c>
      <c r="I915" t="s">
        <v>1462</v>
      </c>
      <c r="J915">
        <v>11</v>
      </c>
      <c r="K915">
        <v>329.81</v>
      </c>
      <c r="N915">
        <v>-1</v>
      </c>
      <c r="O915">
        <v>-29.98</v>
      </c>
      <c r="X915">
        <v>10</v>
      </c>
      <c r="Y915">
        <v>299.83</v>
      </c>
      <c r="Z915" s="3">
        <f t="shared" si="14"/>
        <v>29.98</v>
      </c>
    </row>
    <row r="916" spans="1:26" hidden="1">
      <c r="A916" t="s">
        <v>707</v>
      </c>
      <c r="B916" s="6">
        <v>44287</v>
      </c>
      <c r="C916" s="6">
        <v>44651</v>
      </c>
      <c r="D916">
        <v>20210401</v>
      </c>
      <c r="E916">
        <v>20220331</v>
      </c>
      <c r="F916" t="s">
        <v>6839</v>
      </c>
      <c r="G916" t="s">
        <v>6840</v>
      </c>
      <c r="H916" t="s">
        <v>590</v>
      </c>
      <c r="I916" t="s">
        <v>805</v>
      </c>
      <c r="L916">
        <v>12</v>
      </c>
      <c r="M916">
        <v>12840</v>
      </c>
      <c r="N916">
        <v>-11</v>
      </c>
      <c r="O916">
        <v>-11592</v>
      </c>
      <c r="X916">
        <v>1</v>
      </c>
      <c r="Y916">
        <v>1248</v>
      </c>
      <c r="Z916" s="3">
        <f t="shared" si="14"/>
        <v>1053.8181818181818</v>
      </c>
    </row>
    <row r="917" spans="1:26" hidden="1">
      <c r="A917" t="s">
        <v>707</v>
      </c>
      <c r="B917" s="6">
        <v>44287</v>
      </c>
      <c r="C917" s="6">
        <v>44651</v>
      </c>
      <c r="D917">
        <v>20210401</v>
      </c>
      <c r="E917">
        <v>20220331</v>
      </c>
      <c r="F917" t="s">
        <v>6841</v>
      </c>
      <c r="G917" t="s">
        <v>6842</v>
      </c>
      <c r="H917" t="s">
        <v>590</v>
      </c>
      <c r="I917" t="s">
        <v>1462</v>
      </c>
      <c r="L917">
        <v>1</v>
      </c>
      <c r="M917">
        <v>1187.5</v>
      </c>
      <c r="N917">
        <v>-1</v>
      </c>
      <c r="O917">
        <v>-1187.5</v>
      </c>
      <c r="Z917" s="3">
        <f t="shared" si="14"/>
        <v>1187.5</v>
      </c>
    </row>
    <row r="918" spans="1:26" hidden="1">
      <c r="A918" t="s">
        <v>707</v>
      </c>
      <c r="B918" s="6">
        <v>44287</v>
      </c>
      <c r="C918" s="6">
        <v>44651</v>
      </c>
      <c r="D918">
        <v>20210401</v>
      </c>
      <c r="E918">
        <v>20220331</v>
      </c>
      <c r="F918" t="s">
        <v>6843</v>
      </c>
      <c r="G918" t="s">
        <v>6844</v>
      </c>
      <c r="H918" t="s">
        <v>590</v>
      </c>
      <c r="I918" t="s">
        <v>1462</v>
      </c>
      <c r="J918">
        <v>2</v>
      </c>
      <c r="K918">
        <v>1056</v>
      </c>
      <c r="X918">
        <v>2</v>
      </c>
      <c r="Y918">
        <v>1056</v>
      </c>
      <c r="Z918" s="3">
        <f t="shared" si="14"/>
        <v>528</v>
      </c>
    </row>
    <row r="919" spans="1:26" hidden="1">
      <c r="A919" t="s">
        <v>707</v>
      </c>
      <c r="B919" s="6">
        <v>44287</v>
      </c>
      <c r="C919" s="6">
        <v>44651</v>
      </c>
      <c r="D919">
        <v>20210401</v>
      </c>
      <c r="E919">
        <v>20220331</v>
      </c>
      <c r="F919" t="s">
        <v>6845</v>
      </c>
      <c r="G919" t="s">
        <v>6846</v>
      </c>
      <c r="H919" t="s">
        <v>590</v>
      </c>
      <c r="I919" t="s">
        <v>1462</v>
      </c>
      <c r="J919">
        <v>2</v>
      </c>
      <c r="K919">
        <v>491.2</v>
      </c>
      <c r="X919">
        <v>2</v>
      </c>
      <c r="Y919">
        <v>491.2</v>
      </c>
      <c r="Z919" s="3">
        <f t="shared" si="14"/>
        <v>245.6</v>
      </c>
    </row>
    <row r="920" spans="1:26" hidden="1">
      <c r="A920" t="s">
        <v>707</v>
      </c>
      <c r="B920" s="6">
        <v>44287</v>
      </c>
      <c r="C920" s="6">
        <v>44651</v>
      </c>
      <c r="D920">
        <v>20210401</v>
      </c>
      <c r="E920">
        <v>20220331</v>
      </c>
      <c r="F920" t="s">
        <v>6847</v>
      </c>
      <c r="G920" t="s">
        <v>6848</v>
      </c>
      <c r="H920" t="s">
        <v>590</v>
      </c>
      <c r="I920" t="s">
        <v>1462</v>
      </c>
      <c r="J920">
        <v>8</v>
      </c>
      <c r="K920">
        <v>1174.53</v>
      </c>
      <c r="X920">
        <v>8</v>
      </c>
      <c r="Y920">
        <v>1174.53</v>
      </c>
      <c r="Z920" s="3">
        <f t="shared" si="14"/>
        <v>146.81625</v>
      </c>
    </row>
    <row r="921" spans="1:26" hidden="1">
      <c r="A921" t="s">
        <v>707</v>
      </c>
      <c r="B921" s="6">
        <v>44287</v>
      </c>
      <c r="C921" s="6">
        <v>44651</v>
      </c>
      <c r="D921">
        <v>20210401</v>
      </c>
      <c r="E921">
        <v>20220331</v>
      </c>
      <c r="F921" t="s">
        <v>6849</v>
      </c>
      <c r="G921" t="s">
        <v>6850</v>
      </c>
      <c r="H921" t="s">
        <v>590</v>
      </c>
      <c r="I921" t="s">
        <v>805</v>
      </c>
      <c r="J921">
        <v>8</v>
      </c>
      <c r="K921">
        <v>6533.51</v>
      </c>
      <c r="N921">
        <v>-7</v>
      </c>
      <c r="O921">
        <v>-5716.83</v>
      </c>
      <c r="X921">
        <v>1</v>
      </c>
      <c r="Y921">
        <v>816.68</v>
      </c>
      <c r="Z921" s="3">
        <f t="shared" si="14"/>
        <v>816.68999999999994</v>
      </c>
    </row>
    <row r="922" spans="1:26" hidden="1">
      <c r="A922" t="s">
        <v>707</v>
      </c>
      <c r="B922" s="6">
        <v>44287</v>
      </c>
      <c r="C922" s="6">
        <v>44651</v>
      </c>
      <c r="D922">
        <v>20210401</v>
      </c>
      <c r="E922">
        <v>20220331</v>
      </c>
      <c r="F922" t="s">
        <v>6851</v>
      </c>
      <c r="G922" t="s">
        <v>6852</v>
      </c>
      <c r="H922" t="s">
        <v>590</v>
      </c>
      <c r="I922" t="s">
        <v>1462</v>
      </c>
      <c r="J922">
        <v>1</v>
      </c>
      <c r="K922">
        <v>11587</v>
      </c>
      <c r="N922">
        <v>-1</v>
      </c>
      <c r="O922">
        <v>-11587</v>
      </c>
      <c r="Z922" s="3">
        <f t="shared" si="14"/>
        <v>11587</v>
      </c>
    </row>
    <row r="923" spans="1:26" hidden="1">
      <c r="A923" t="s">
        <v>707</v>
      </c>
      <c r="B923" s="6">
        <v>44287</v>
      </c>
      <c r="C923" s="6">
        <v>44651</v>
      </c>
      <c r="D923">
        <v>20210401</v>
      </c>
      <c r="E923">
        <v>20220331</v>
      </c>
      <c r="F923" t="s">
        <v>6853</v>
      </c>
      <c r="G923" t="s">
        <v>6854</v>
      </c>
      <c r="H923" t="s">
        <v>590</v>
      </c>
      <c r="I923" t="s">
        <v>805</v>
      </c>
      <c r="J923">
        <v>76</v>
      </c>
      <c r="K923">
        <v>4559.9799999999996</v>
      </c>
      <c r="L923">
        <v>100</v>
      </c>
      <c r="M923">
        <v>7200</v>
      </c>
      <c r="N923">
        <v>-39</v>
      </c>
      <c r="O923">
        <v>-2477.14</v>
      </c>
      <c r="R923">
        <v>-81</v>
      </c>
      <c r="S923">
        <v>-5282.88</v>
      </c>
      <c r="X923">
        <v>56</v>
      </c>
      <c r="Y923">
        <v>3999.96</v>
      </c>
      <c r="Z923" s="3">
        <f t="shared" si="14"/>
        <v>63.516410256410254</v>
      </c>
    </row>
    <row r="924" spans="1:26" hidden="1">
      <c r="A924" t="s">
        <v>707</v>
      </c>
      <c r="B924" s="6">
        <v>44287</v>
      </c>
      <c r="C924" s="6">
        <v>44651</v>
      </c>
      <c r="D924">
        <v>20210401</v>
      </c>
      <c r="E924">
        <v>20220331</v>
      </c>
      <c r="F924" t="s">
        <v>6855</v>
      </c>
      <c r="G924" t="s">
        <v>6856</v>
      </c>
      <c r="H924" t="s">
        <v>613</v>
      </c>
      <c r="I924" t="s">
        <v>1462</v>
      </c>
      <c r="L924">
        <v>11.4</v>
      </c>
      <c r="M924">
        <v>2166</v>
      </c>
      <c r="N924">
        <v>-11.4</v>
      </c>
      <c r="O924">
        <v>-2166</v>
      </c>
      <c r="Z924" s="3">
        <f t="shared" si="14"/>
        <v>190</v>
      </c>
    </row>
    <row r="925" spans="1:26" hidden="1">
      <c r="A925" t="s">
        <v>707</v>
      </c>
      <c r="B925" s="6">
        <v>44287</v>
      </c>
      <c r="C925" s="6">
        <v>44651</v>
      </c>
      <c r="D925">
        <v>20210401</v>
      </c>
      <c r="E925">
        <v>20220331</v>
      </c>
      <c r="F925" t="s">
        <v>6857</v>
      </c>
      <c r="G925" t="s">
        <v>6858</v>
      </c>
      <c r="H925" t="s">
        <v>590</v>
      </c>
      <c r="I925" t="s">
        <v>1462</v>
      </c>
      <c r="J925">
        <v>21</v>
      </c>
      <c r="K925">
        <v>25202.78</v>
      </c>
      <c r="N925">
        <v>-17</v>
      </c>
      <c r="O925">
        <v>-20399.580000000002</v>
      </c>
      <c r="X925">
        <v>4</v>
      </c>
      <c r="Y925">
        <v>4803.2</v>
      </c>
      <c r="Z925" s="3">
        <f t="shared" si="14"/>
        <v>1199.9752941176471</v>
      </c>
    </row>
    <row r="926" spans="1:26" hidden="1">
      <c r="A926" t="s">
        <v>707</v>
      </c>
      <c r="B926" s="6">
        <v>44287</v>
      </c>
      <c r="C926" s="6">
        <v>44651</v>
      </c>
      <c r="D926">
        <v>20210401</v>
      </c>
      <c r="E926">
        <v>20220331</v>
      </c>
      <c r="F926" t="s">
        <v>6859</v>
      </c>
      <c r="G926" t="s">
        <v>6860</v>
      </c>
      <c r="H926" t="s">
        <v>590</v>
      </c>
      <c r="I926" t="s">
        <v>1462</v>
      </c>
      <c r="J926">
        <v>1</v>
      </c>
      <c r="K926">
        <v>3213.2</v>
      </c>
      <c r="X926">
        <v>1</v>
      </c>
      <c r="Y926">
        <v>3213.2</v>
      </c>
      <c r="Z926" s="3">
        <f t="shared" si="14"/>
        <v>3213.2</v>
      </c>
    </row>
    <row r="927" spans="1:26" hidden="1">
      <c r="A927" t="s">
        <v>707</v>
      </c>
      <c r="B927" s="6">
        <v>44287</v>
      </c>
      <c r="C927" s="6">
        <v>44651</v>
      </c>
      <c r="D927">
        <v>20210401</v>
      </c>
      <c r="E927">
        <v>20220331</v>
      </c>
      <c r="F927" t="s">
        <v>3954</v>
      </c>
      <c r="G927" t="s">
        <v>3955</v>
      </c>
      <c r="H927" t="s">
        <v>590</v>
      </c>
      <c r="I927" t="s">
        <v>1462</v>
      </c>
      <c r="J927">
        <v>1</v>
      </c>
      <c r="K927">
        <v>2137.5</v>
      </c>
      <c r="X927">
        <v>1</v>
      </c>
      <c r="Y927">
        <v>2137.5</v>
      </c>
      <c r="Z927" s="3">
        <f t="shared" si="14"/>
        <v>2137.5</v>
      </c>
    </row>
    <row r="928" spans="1:26" hidden="1">
      <c r="A928" t="s">
        <v>707</v>
      </c>
      <c r="B928" s="6">
        <v>44287</v>
      </c>
      <c r="C928" s="6">
        <v>44651</v>
      </c>
      <c r="D928">
        <v>20210401</v>
      </c>
      <c r="E928">
        <v>20220331</v>
      </c>
      <c r="F928" t="s">
        <v>6861</v>
      </c>
      <c r="G928" t="s">
        <v>6862</v>
      </c>
      <c r="I928" t="s">
        <v>1462</v>
      </c>
      <c r="J928">
        <v>1</v>
      </c>
      <c r="K928">
        <v>514.5</v>
      </c>
      <c r="X928">
        <v>1</v>
      </c>
      <c r="Y928">
        <v>514.5</v>
      </c>
      <c r="Z928" s="3">
        <f t="shared" si="14"/>
        <v>514.5</v>
      </c>
    </row>
    <row r="929" spans="1:26" hidden="1">
      <c r="A929" t="s">
        <v>707</v>
      </c>
      <c r="B929" s="6">
        <v>44287</v>
      </c>
      <c r="C929" s="6">
        <v>44651</v>
      </c>
      <c r="D929">
        <v>20210401</v>
      </c>
      <c r="E929">
        <v>20220331</v>
      </c>
      <c r="F929" t="s">
        <v>3964</v>
      </c>
      <c r="G929" t="s">
        <v>3965</v>
      </c>
      <c r="H929" t="s">
        <v>590</v>
      </c>
      <c r="I929" t="s">
        <v>1462</v>
      </c>
      <c r="L929">
        <v>1</v>
      </c>
      <c r="M929">
        <v>3513</v>
      </c>
      <c r="X929">
        <v>1</v>
      </c>
      <c r="Y929">
        <v>3513</v>
      </c>
      <c r="Z929" s="3">
        <f t="shared" si="14"/>
        <v>3513</v>
      </c>
    </row>
    <row r="930" spans="1:26" hidden="1">
      <c r="A930" t="s">
        <v>707</v>
      </c>
      <c r="B930" s="6">
        <v>44287</v>
      </c>
      <c r="C930" s="6">
        <v>44651</v>
      </c>
      <c r="D930">
        <v>20210401</v>
      </c>
      <c r="E930">
        <v>20220331</v>
      </c>
      <c r="F930" t="s">
        <v>6863</v>
      </c>
      <c r="G930" t="s">
        <v>6864</v>
      </c>
      <c r="H930" t="s">
        <v>590</v>
      </c>
      <c r="I930" t="s">
        <v>1462</v>
      </c>
      <c r="J930">
        <v>1</v>
      </c>
      <c r="K930">
        <v>1135</v>
      </c>
      <c r="X930">
        <v>1</v>
      </c>
      <c r="Y930">
        <v>1135</v>
      </c>
      <c r="Z930" s="3">
        <f t="shared" si="14"/>
        <v>1135</v>
      </c>
    </row>
    <row r="931" spans="1:26" hidden="1">
      <c r="A931" t="s">
        <v>707</v>
      </c>
      <c r="B931" s="6">
        <v>44287</v>
      </c>
      <c r="C931" s="6">
        <v>44651</v>
      </c>
      <c r="D931">
        <v>20210401</v>
      </c>
      <c r="E931">
        <v>20220331</v>
      </c>
      <c r="F931" t="s">
        <v>6865</v>
      </c>
      <c r="G931" t="s">
        <v>6866</v>
      </c>
      <c r="H931" t="s">
        <v>590</v>
      </c>
      <c r="I931" t="s">
        <v>1462</v>
      </c>
      <c r="L931">
        <v>2</v>
      </c>
      <c r="M931">
        <v>762</v>
      </c>
      <c r="N931">
        <v>-1</v>
      </c>
      <c r="O931">
        <v>-381</v>
      </c>
      <c r="X931">
        <v>1</v>
      </c>
      <c r="Y931">
        <v>381</v>
      </c>
      <c r="Z931" s="3">
        <f t="shared" si="14"/>
        <v>381</v>
      </c>
    </row>
    <row r="932" spans="1:26" hidden="1">
      <c r="A932" t="s">
        <v>707</v>
      </c>
      <c r="B932" s="6">
        <v>44287</v>
      </c>
      <c r="C932" s="6">
        <v>44651</v>
      </c>
      <c r="D932">
        <v>20210401</v>
      </c>
      <c r="E932">
        <v>20220331</v>
      </c>
      <c r="F932" t="s">
        <v>6867</v>
      </c>
      <c r="G932" t="s">
        <v>6868</v>
      </c>
      <c r="H932" t="s">
        <v>590</v>
      </c>
      <c r="I932" t="s">
        <v>1462</v>
      </c>
      <c r="L932">
        <v>8</v>
      </c>
      <c r="M932">
        <v>2960</v>
      </c>
      <c r="N932">
        <v>-7</v>
      </c>
      <c r="O932">
        <v>-2590</v>
      </c>
      <c r="X932">
        <v>1</v>
      </c>
      <c r="Y932">
        <v>370</v>
      </c>
      <c r="Z932" s="3">
        <f t="shared" si="14"/>
        <v>370</v>
      </c>
    </row>
    <row r="933" spans="1:26" hidden="1">
      <c r="A933" t="s">
        <v>707</v>
      </c>
      <c r="B933" s="6">
        <v>44287</v>
      </c>
      <c r="C933" s="6">
        <v>44651</v>
      </c>
      <c r="D933">
        <v>20210401</v>
      </c>
      <c r="E933">
        <v>20220331</v>
      </c>
      <c r="F933" t="s">
        <v>3986</v>
      </c>
      <c r="G933" t="s">
        <v>3987</v>
      </c>
      <c r="H933" t="s">
        <v>590</v>
      </c>
      <c r="I933" t="s">
        <v>1462</v>
      </c>
      <c r="J933">
        <v>3</v>
      </c>
      <c r="K933">
        <v>6697.47</v>
      </c>
      <c r="X933">
        <v>3</v>
      </c>
      <c r="Y933">
        <v>6697.47</v>
      </c>
      <c r="Z933" s="3">
        <f t="shared" si="14"/>
        <v>2232.4900000000002</v>
      </c>
    </row>
    <row r="934" spans="1:26" hidden="1">
      <c r="A934" t="s">
        <v>707</v>
      </c>
      <c r="B934" s="6">
        <v>44287</v>
      </c>
      <c r="C934" s="6">
        <v>44651</v>
      </c>
      <c r="D934">
        <v>20210401</v>
      </c>
      <c r="E934">
        <v>20220331</v>
      </c>
      <c r="F934" t="s">
        <v>6869</v>
      </c>
      <c r="G934" t="s">
        <v>6870</v>
      </c>
      <c r="H934" t="s">
        <v>590</v>
      </c>
      <c r="I934" t="s">
        <v>1462</v>
      </c>
      <c r="J934">
        <v>1</v>
      </c>
      <c r="K934">
        <v>4435.7</v>
      </c>
      <c r="X934">
        <v>1</v>
      </c>
      <c r="Y934">
        <v>4435.7</v>
      </c>
      <c r="Z934" s="3">
        <f t="shared" si="14"/>
        <v>4435.7</v>
      </c>
    </row>
    <row r="935" spans="1:26" hidden="1">
      <c r="A935" t="s">
        <v>707</v>
      </c>
      <c r="B935" s="6">
        <v>44287</v>
      </c>
      <c r="C935" s="6">
        <v>44651</v>
      </c>
      <c r="D935">
        <v>20210401</v>
      </c>
      <c r="E935">
        <v>20220331</v>
      </c>
      <c r="F935" t="s">
        <v>3996</v>
      </c>
      <c r="G935" t="s">
        <v>3997</v>
      </c>
      <c r="H935" t="s">
        <v>590</v>
      </c>
      <c r="I935" t="s">
        <v>1462</v>
      </c>
      <c r="L935">
        <v>15</v>
      </c>
      <c r="M935">
        <v>8627.1</v>
      </c>
      <c r="X935">
        <v>15</v>
      </c>
      <c r="Y935">
        <v>8627.1</v>
      </c>
      <c r="Z935" s="3">
        <f t="shared" si="14"/>
        <v>575.14</v>
      </c>
    </row>
    <row r="936" spans="1:26" hidden="1">
      <c r="A936" t="s">
        <v>707</v>
      </c>
      <c r="B936" s="6">
        <v>44287</v>
      </c>
      <c r="C936" s="6">
        <v>44651</v>
      </c>
      <c r="D936">
        <v>20210401</v>
      </c>
      <c r="E936">
        <v>20220331</v>
      </c>
      <c r="F936" t="s">
        <v>6871</v>
      </c>
      <c r="G936" t="s">
        <v>6872</v>
      </c>
      <c r="H936" t="s">
        <v>590</v>
      </c>
      <c r="I936" t="s">
        <v>1462</v>
      </c>
      <c r="J936">
        <v>1</v>
      </c>
      <c r="K936">
        <v>189.59</v>
      </c>
      <c r="L936">
        <v>10</v>
      </c>
      <c r="M936">
        <v>1950</v>
      </c>
      <c r="N936">
        <v>-6</v>
      </c>
      <c r="O936">
        <v>-1164.6300000000001</v>
      </c>
      <c r="X936">
        <v>5</v>
      </c>
      <c r="Y936">
        <v>974.96</v>
      </c>
      <c r="Z936" s="3">
        <f t="shared" si="14"/>
        <v>194.10500000000002</v>
      </c>
    </row>
    <row r="937" spans="1:26" hidden="1">
      <c r="A937" t="s">
        <v>707</v>
      </c>
      <c r="B937" s="6">
        <v>44287</v>
      </c>
      <c r="C937" s="6">
        <v>44651</v>
      </c>
      <c r="D937">
        <v>20210401</v>
      </c>
      <c r="E937">
        <v>20220331</v>
      </c>
      <c r="F937" t="s">
        <v>4030</v>
      </c>
      <c r="G937" t="s">
        <v>4031</v>
      </c>
      <c r="H937" t="s">
        <v>613</v>
      </c>
      <c r="I937" t="s">
        <v>1845</v>
      </c>
      <c r="L937">
        <v>0.5</v>
      </c>
      <c r="M937">
        <v>50</v>
      </c>
      <c r="N937">
        <v>-0.5</v>
      </c>
      <c r="O937">
        <v>-50</v>
      </c>
      <c r="Z937" s="3">
        <f t="shared" si="14"/>
        <v>100</v>
      </c>
    </row>
    <row r="938" spans="1:26" hidden="1">
      <c r="A938" t="s">
        <v>707</v>
      </c>
      <c r="B938" s="6">
        <v>44287</v>
      </c>
      <c r="C938" s="6">
        <v>44651</v>
      </c>
      <c r="D938">
        <v>20210401</v>
      </c>
      <c r="E938">
        <v>20220331</v>
      </c>
      <c r="F938" t="s">
        <v>6873</v>
      </c>
      <c r="G938" t="s">
        <v>6874</v>
      </c>
      <c r="H938" t="s">
        <v>590</v>
      </c>
      <c r="I938" t="s">
        <v>1462</v>
      </c>
      <c r="L938">
        <v>2</v>
      </c>
      <c r="M938">
        <v>6637.28</v>
      </c>
      <c r="X938">
        <v>2</v>
      </c>
      <c r="Y938">
        <v>6637.28</v>
      </c>
      <c r="Z938" s="3">
        <f t="shared" si="14"/>
        <v>3318.64</v>
      </c>
    </row>
    <row r="939" spans="1:26" hidden="1">
      <c r="A939" t="s">
        <v>707</v>
      </c>
      <c r="B939" s="6">
        <v>44287</v>
      </c>
      <c r="C939" s="6">
        <v>44651</v>
      </c>
      <c r="D939">
        <v>20210401</v>
      </c>
      <c r="E939">
        <v>20220331</v>
      </c>
      <c r="F939" t="s">
        <v>6875</v>
      </c>
      <c r="G939" t="s">
        <v>6876</v>
      </c>
      <c r="H939" t="s">
        <v>613</v>
      </c>
      <c r="I939" t="s">
        <v>1462</v>
      </c>
      <c r="L939">
        <v>5</v>
      </c>
      <c r="M939">
        <v>1250</v>
      </c>
      <c r="X939">
        <v>5</v>
      </c>
      <c r="Y939">
        <v>1250</v>
      </c>
      <c r="Z939" s="3">
        <f t="shared" si="14"/>
        <v>250</v>
      </c>
    </row>
    <row r="940" spans="1:26" hidden="1">
      <c r="A940" t="s">
        <v>707</v>
      </c>
      <c r="B940" s="6">
        <v>44287</v>
      </c>
      <c r="C940" s="6">
        <v>44651</v>
      </c>
      <c r="D940">
        <v>20210401</v>
      </c>
      <c r="E940">
        <v>20220331</v>
      </c>
      <c r="F940" t="s">
        <v>4032</v>
      </c>
      <c r="G940" t="s">
        <v>4033</v>
      </c>
      <c r="H940" t="s">
        <v>590</v>
      </c>
      <c r="I940" t="s">
        <v>1462</v>
      </c>
      <c r="L940">
        <v>1</v>
      </c>
      <c r="M940">
        <v>8728.7800000000007</v>
      </c>
      <c r="N940">
        <v>-1</v>
      </c>
      <c r="O940">
        <v>-8728.7800000000007</v>
      </c>
      <c r="Z940" s="3">
        <f t="shared" si="14"/>
        <v>8728.7800000000007</v>
      </c>
    </row>
    <row r="941" spans="1:26" hidden="1">
      <c r="A941" t="s">
        <v>707</v>
      </c>
      <c r="B941" s="6">
        <v>44287</v>
      </c>
      <c r="C941" s="6">
        <v>44651</v>
      </c>
      <c r="D941">
        <v>20210401</v>
      </c>
      <c r="E941">
        <v>20220331</v>
      </c>
      <c r="F941" t="s">
        <v>6877</v>
      </c>
      <c r="G941" t="s">
        <v>6878</v>
      </c>
      <c r="H941" t="s">
        <v>613</v>
      </c>
      <c r="I941" t="s">
        <v>1462</v>
      </c>
      <c r="J941">
        <v>50</v>
      </c>
      <c r="K941">
        <v>3200</v>
      </c>
      <c r="X941">
        <v>50</v>
      </c>
      <c r="Y941">
        <v>3200</v>
      </c>
      <c r="Z941" s="3">
        <f t="shared" si="14"/>
        <v>64</v>
      </c>
    </row>
    <row r="942" spans="1:26" hidden="1">
      <c r="A942" t="s">
        <v>707</v>
      </c>
      <c r="B942" s="6">
        <v>44287</v>
      </c>
      <c r="C942" s="6">
        <v>44651</v>
      </c>
      <c r="D942">
        <v>20210401</v>
      </c>
      <c r="E942">
        <v>20220331</v>
      </c>
      <c r="F942" t="s">
        <v>6879</v>
      </c>
      <c r="G942" t="s">
        <v>6880</v>
      </c>
      <c r="H942" t="s">
        <v>590</v>
      </c>
      <c r="I942" t="s">
        <v>1462</v>
      </c>
      <c r="J942">
        <v>2</v>
      </c>
      <c r="K942">
        <v>10221.1</v>
      </c>
      <c r="X942">
        <v>2</v>
      </c>
      <c r="Y942">
        <v>10221.1</v>
      </c>
      <c r="Z942" s="3">
        <f t="shared" si="14"/>
        <v>5110.55</v>
      </c>
    </row>
    <row r="943" spans="1:26" hidden="1">
      <c r="A943" t="s">
        <v>707</v>
      </c>
      <c r="B943" s="6">
        <v>44287</v>
      </c>
      <c r="C943" s="6">
        <v>44651</v>
      </c>
      <c r="D943">
        <v>20210401</v>
      </c>
      <c r="E943">
        <v>20220331</v>
      </c>
      <c r="F943" t="s">
        <v>6881</v>
      </c>
      <c r="G943" t="s">
        <v>6882</v>
      </c>
      <c r="H943" t="s">
        <v>590</v>
      </c>
      <c r="I943" t="s">
        <v>1462</v>
      </c>
      <c r="J943">
        <v>2</v>
      </c>
      <c r="K943">
        <v>3240</v>
      </c>
      <c r="X943">
        <v>2</v>
      </c>
      <c r="Y943">
        <v>3240</v>
      </c>
      <c r="Z943" s="3">
        <f t="shared" si="14"/>
        <v>1620</v>
      </c>
    </row>
    <row r="944" spans="1:26" hidden="1">
      <c r="A944" t="s">
        <v>707</v>
      </c>
      <c r="B944" s="6">
        <v>44287</v>
      </c>
      <c r="C944" s="6">
        <v>44651</v>
      </c>
      <c r="D944">
        <v>20210401</v>
      </c>
      <c r="E944">
        <v>20220331</v>
      </c>
      <c r="F944" t="s">
        <v>6883</v>
      </c>
      <c r="G944" t="s">
        <v>6884</v>
      </c>
      <c r="H944" t="s">
        <v>590</v>
      </c>
      <c r="I944" t="s">
        <v>1462</v>
      </c>
      <c r="J944">
        <v>1</v>
      </c>
      <c r="K944">
        <v>1350.8</v>
      </c>
      <c r="X944">
        <v>1</v>
      </c>
      <c r="Y944">
        <v>1350.8</v>
      </c>
      <c r="Z944" s="3">
        <f t="shared" si="14"/>
        <v>1350.8</v>
      </c>
    </row>
    <row r="945" spans="1:26" hidden="1">
      <c r="A945" t="s">
        <v>707</v>
      </c>
      <c r="B945" s="6">
        <v>44287</v>
      </c>
      <c r="C945" s="6">
        <v>44651</v>
      </c>
      <c r="D945">
        <v>20210401</v>
      </c>
      <c r="E945">
        <v>20220331</v>
      </c>
      <c r="F945" t="s">
        <v>6885</v>
      </c>
      <c r="G945" t="s">
        <v>6886</v>
      </c>
      <c r="I945" t="s">
        <v>1462</v>
      </c>
      <c r="J945">
        <v>1</v>
      </c>
      <c r="K945">
        <v>1291.25</v>
      </c>
      <c r="X945">
        <v>1</v>
      </c>
      <c r="Y945">
        <v>1291.25</v>
      </c>
      <c r="Z945" s="3">
        <f t="shared" si="14"/>
        <v>1291.25</v>
      </c>
    </row>
    <row r="946" spans="1:26" hidden="1">
      <c r="A946" t="s">
        <v>707</v>
      </c>
      <c r="B946" s="6">
        <v>44287</v>
      </c>
      <c r="C946" s="6">
        <v>44651</v>
      </c>
      <c r="D946">
        <v>20210401</v>
      </c>
      <c r="E946">
        <v>20220331</v>
      </c>
      <c r="F946" t="s">
        <v>6887</v>
      </c>
      <c r="G946" t="s">
        <v>6888</v>
      </c>
      <c r="H946" t="s">
        <v>590</v>
      </c>
      <c r="I946" t="s">
        <v>1462</v>
      </c>
      <c r="L946">
        <v>250</v>
      </c>
      <c r="M946">
        <v>650</v>
      </c>
      <c r="N946">
        <v>-150</v>
      </c>
      <c r="O946">
        <v>-400</v>
      </c>
      <c r="X946">
        <v>100</v>
      </c>
      <c r="Y946">
        <v>250</v>
      </c>
      <c r="Z946" s="3">
        <f t="shared" si="14"/>
        <v>2.6666666666666665</v>
      </c>
    </row>
    <row r="947" spans="1:26" hidden="1">
      <c r="A947" t="s">
        <v>707</v>
      </c>
      <c r="B947" s="6">
        <v>44287</v>
      </c>
      <c r="C947" s="6">
        <v>44651</v>
      </c>
      <c r="D947">
        <v>20210401</v>
      </c>
      <c r="E947">
        <v>20220331</v>
      </c>
      <c r="F947" t="s">
        <v>6889</v>
      </c>
      <c r="G947" t="s">
        <v>6890</v>
      </c>
      <c r="H947" t="s">
        <v>590</v>
      </c>
      <c r="I947" t="s">
        <v>1462</v>
      </c>
      <c r="J947">
        <v>3</v>
      </c>
      <c r="K947">
        <v>1200</v>
      </c>
      <c r="X947">
        <v>3</v>
      </c>
      <c r="Y947">
        <v>1200</v>
      </c>
      <c r="Z947" s="3">
        <f t="shared" si="14"/>
        <v>400</v>
      </c>
    </row>
    <row r="948" spans="1:26" hidden="1">
      <c r="A948" t="s">
        <v>707</v>
      </c>
      <c r="B948" s="6">
        <v>44287</v>
      </c>
      <c r="C948" s="6">
        <v>44651</v>
      </c>
      <c r="D948">
        <v>20210401</v>
      </c>
      <c r="E948">
        <v>20220331</v>
      </c>
      <c r="F948" t="s">
        <v>6891</v>
      </c>
      <c r="G948" t="s">
        <v>6892</v>
      </c>
      <c r="H948" t="s">
        <v>590</v>
      </c>
      <c r="I948" t="s">
        <v>1462</v>
      </c>
      <c r="J948">
        <v>13</v>
      </c>
      <c r="K948">
        <v>765.55</v>
      </c>
      <c r="X948">
        <v>13</v>
      </c>
      <c r="Y948">
        <v>765.55</v>
      </c>
      <c r="Z948" s="3">
        <f t="shared" si="14"/>
        <v>58.888461538461534</v>
      </c>
    </row>
    <row r="949" spans="1:26" hidden="1">
      <c r="A949" t="s">
        <v>707</v>
      </c>
      <c r="B949" s="6">
        <v>44287</v>
      </c>
      <c r="C949" s="6">
        <v>44651</v>
      </c>
      <c r="D949">
        <v>20210401</v>
      </c>
      <c r="E949">
        <v>20220331</v>
      </c>
      <c r="F949" t="s">
        <v>6893</v>
      </c>
      <c r="G949" t="s">
        <v>6894</v>
      </c>
      <c r="H949" t="s">
        <v>590</v>
      </c>
      <c r="I949" t="s">
        <v>1462</v>
      </c>
      <c r="J949">
        <v>1</v>
      </c>
      <c r="K949">
        <v>200</v>
      </c>
      <c r="X949">
        <v>1</v>
      </c>
      <c r="Y949">
        <v>200</v>
      </c>
      <c r="Z949" s="3">
        <f t="shared" si="14"/>
        <v>200</v>
      </c>
    </row>
    <row r="950" spans="1:26" hidden="1">
      <c r="A950" t="s">
        <v>707</v>
      </c>
      <c r="B950" s="6">
        <v>44287</v>
      </c>
      <c r="C950" s="6">
        <v>44651</v>
      </c>
      <c r="D950">
        <v>20210401</v>
      </c>
      <c r="E950">
        <v>20220331</v>
      </c>
      <c r="F950" t="s">
        <v>6895</v>
      </c>
      <c r="G950" t="s">
        <v>6896</v>
      </c>
      <c r="H950" t="s">
        <v>590</v>
      </c>
      <c r="I950" t="s">
        <v>1462</v>
      </c>
      <c r="J950">
        <v>2</v>
      </c>
      <c r="K950">
        <v>44</v>
      </c>
      <c r="X950">
        <v>2</v>
      </c>
      <c r="Y950">
        <v>44</v>
      </c>
      <c r="Z950" s="3">
        <f t="shared" si="14"/>
        <v>22</v>
      </c>
    </row>
    <row r="951" spans="1:26" hidden="1">
      <c r="A951" t="s">
        <v>707</v>
      </c>
      <c r="B951" s="6">
        <v>44287</v>
      </c>
      <c r="C951" s="6">
        <v>44651</v>
      </c>
      <c r="D951">
        <v>20210401</v>
      </c>
      <c r="E951">
        <v>20220331</v>
      </c>
      <c r="F951" t="s">
        <v>6897</v>
      </c>
      <c r="G951" t="s">
        <v>6898</v>
      </c>
      <c r="H951" t="s">
        <v>590</v>
      </c>
      <c r="I951" t="s">
        <v>805</v>
      </c>
      <c r="L951">
        <v>4</v>
      </c>
      <c r="M951">
        <v>128</v>
      </c>
      <c r="X951">
        <v>4</v>
      </c>
      <c r="Y951">
        <v>128</v>
      </c>
      <c r="Z951" s="3">
        <f t="shared" si="14"/>
        <v>32</v>
      </c>
    </row>
    <row r="952" spans="1:26" hidden="1">
      <c r="A952" t="s">
        <v>707</v>
      </c>
      <c r="B952" s="6">
        <v>44287</v>
      </c>
      <c r="C952" s="6">
        <v>44651</v>
      </c>
      <c r="D952">
        <v>20210401</v>
      </c>
      <c r="E952">
        <v>20220331</v>
      </c>
      <c r="F952" t="s">
        <v>6899</v>
      </c>
      <c r="G952" t="s">
        <v>6900</v>
      </c>
      <c r="H952" t="s">
        <v>590</v>
      </c>
      <c r="I952" t="s">
        <v>1462</v>
      </c>
      <c r="L952">
        <v>4</v>
      </c>
      <c r="M952">
        <v>252</v>
      </c>
      <c r="N952">
        <v>-4</v>
      </c>
      <c r="O952">
        <v>-252</v>
      </c>
      <c r="Z952" s="3">
        <f t="shared" si="14"/>
        <v>63</v>
      </c>
    </row>
    <row r="953" spans="1:26" hidden="1">
      <c r="A953" t="s">
        <v>707</v>
      </c>
      <c r="B953" s="6">
        <v>44287</v>
      </c>
      <c r="C953" s="6">
        <v>44651</v>
      </c>
      <c r="D953">
        <v>20210401</v>
      </c>
      <c r="E953">
        <v>20220331</v>
      </c>
      <c r="F953" t="s">
        <v>6901</v>
      </c>
      <c r="G953" t="s">
        <v>6902</v>
      </c>
      <c r="H953" t="s">
        <v>590</v>
      </c>
      <c r="I953" t="s">
        <v>1462</v>
      </c>
      <c r="J953">
        <v>4</v>
      </c>
      <c r="K953">
        <v>4</v>
      </c>
      <c r="X953">
        <v>4</v>
      </c>
      <c r="Y953">
        <v>4</v>
      </c>
      <c r="Z953" s="3">
        <f t="shared" si="14"/>
        <v>1</v>
      </c>
    </row>
    <row r="954" spans="1:26" hidden="1">
      <c r="A954" t="s">
        <v>707</v>
      </c>
      <c r="B954" s="6">
        <v>44287</v>
      </c>
      <c r="C954" s="6">
        <v>44651</v>
      </c>
      <c r="D954">
        <v>20210401</v>
      </c>
      <c r="E954">
        <v>20220331</v>
      </c>
      <c r="F954" t="s">
        <v>6903</v>
      </c>
      <c r="G954" t="s">
        <v>6904</v>
      </c>
      <c r="H954" t="s">
        <v>590</v>
      </c>
      <c r="I954" t="s">
        <v>805</v>
      </c>
      <c r="J954">
        <v>7</v>
      </c>
      <c r="K954">
        <v>560</v>
      </c>
      <c r="X954">
        <v>7</v>
      </c>
      <c r="Y954">
        <v>560</v>
      </c>
      <c r="Z954" s="3">
        <f t="shared" si="14"/>
        <v>80</v>
      </c>
    </row>
    <row r="955" spans="1:26" hidden="1">
      <c r="A955" t="s">
        <v>707</v>
      </c>
      <c r="B955" s="6">
        <v>44287</v>
      </c>
      <c r="C955" s="6">
        <v>44651</v>
      </c>
      <c r="D955">
        <v>20210401</v>
      </c>
      <c r="E955">
        <v>20220331</v>
      </c>
      <c r="F955" t="s">
        <v>6905</v>
      </c>
      <c r="G955" t="s">
        <v>6906</v>
      </c>
      <c r="H955" t="s">
        <v>590</v>
      </c>
      <c r="I955" t="s">
        <v>1462</v>
      </c>
      <c r="N955">
        <v>-2</v>
      </c>
      <c r="O955">
        <v>-109.12</v>
      </c>
      <c r="X955">
        <v>-2</v>
      </c>
      <c r="Y955">
        <v>-109.12</v>
      </c>
      <c r="Z955" s="3">
        <f t="shared" si="14"/>
        <v>54.56</v>
      </c>
    </row>
    <row r="956" spans="1:26" hidden="1">
      <c r="A956" t="s">
        <v>707</v>
      </c>
      <c r="B956" s="6">
        <v>44287</v>
      </c>
      <c r="C956" s="6">
        <v>44651</v>
      </c>
      <c r="D956">
        <v>20210401</v>
      </c>
      <c r="E956">
        <v>20220331</v>
      </c>
      <c r="F956" t="s">
        <v>6907</v>
      </c>
      <c r="G956" t="s">
        <v>6908</v>
      </c>
      <c r="H956" t="s">
        <v>590</v>
      </c>
      <c r="I956" t="s">
        <v>1462</v>
      </c>
      <c r="J956">
        <v>4</v>
      </c>
      <c r="K956">
        <v>2426.58</v>
      </c>
      <c r="N956">
        <v>-1</v>
      </c>
      <c r="O956">
        <v>-606.65</v>
      </c>
      <c r="X956">
        <v>3</v>
      </c>
      <c r="Y956">
        <v>1819.93</v>
      </c>
      <c r="Z956" s="3">
        <f t="shared" si="14"/>
        <v>606.65</v>
      </c>
    </row>
    <row r="957" spans="1:26" hidden="1">
      <c r="A957" t="s">
        <v>707</v>
      </c>
      <c r="B957" s="6">
        <v>44287</v>
      </c>
      <c r="C957" s="6">
        <v>44651</v>
      </c>
      <c r="D957">
        <v>20210401</v>
      </c>
      <c r="E957">
        <v>20220331</v>
      </c>
      <c r="F957" t="s">
        <v>6909</v>
      </c>
      <c r="G957" t="s">
        <v>6910</v>
      </c>
      <c r="H957" t="s">
        <v>590</v>
      </c>
      <c r="I957" t="s">
        <v>1462</v>
      </c>
      <c r="J957">
        <v>4</v>
      </c>
      <c r="K957">
        <v>5400</v>
      </c>
      <c r="L957">
        <v>4</v>
      </c>
      <c r="M957">
        <v>5400</v>
      </c>
      <c r="N957">
        <v>-4</v>
      </c>
      <c r="O957">
        <v>-5400</v>
      </c>
      <c r="X957">
        <v>4</v>
      </c>
      <c r="Y957">
        <v>5400</v>
      </c>
      <c r="Z957" s="3">
        <f t="shared" si="14"/>
        <v>1350</v>
      </c>
    </row>
    <row r="958" spans="1:26" hidden="1">
      <c r="A958" t="s">
        <v>707</v>
      </c>
      <c r="B958" s="6">
        <v>44287</v>
      </c>
      <c r="C958" s="6">
        <v>44651</v>
      </c>
      <c r="D958">
        <v>20210401</v>
      </c>
      <c r="E958">
        <v>20220331</v>
      </c>
      <c r="F958" t="s">
        <v>6911</v>
      </c>
      <c r="G958" t="s">
        <v>6912</v>
      </c>
      <c r="H958" t="s">
        <v>590</v>
      </c>
      <c r="I958" t="s">
        <v>1462</v>
      </c>
      <c r="J958">
        <v>2</v>
      </c>
      <c r="K958">
        <v>4263.6099999999997</v>
      </c>
      <c r="L958">
        <v>10</v>
      </c>
      <c r="M958">
        <v>21317.759999999998</v>
      </c>
      <c r="N958">
        <v>-7</v>
      </c>
      <c r="O958">
        <v>-14922.47</v>
      </c>
      <c r="X958">
        <v>5</v>
      </c>
      <c r="Y958">
        <v>10658.9</v>
      </c>
      <c r="Z958" s="3">
        <f t="shared" si="14"/>
        <v>2131.7814285714285</v>
      </c>
    </row>
    <row r="959" spans="1:26" hidden="1">
      <c r="A959" t="s">
        <v>707</v>
      </c>
      <c r="B959" s="6">
        <v>44287</v>
      </c>
      <c r="C959" s="6">
        <v>44651</v>
      </c>
      <c r="D959">
        <v>20210401</v>
      </c>
      <c r="E959">
        <v>20220331</v>
      </c>
      <c r="F959" t="s">
        <v>6913</v>
      </c>
      <c r="G959" t="s">
        <v>6914</v>
      </c>
      <c r="H959" t="s">
        <v>590</v>
      </c>
      <c r="I959" t="s">
        <v>1462</v>
      </c>
      <c r="J959">
        <v>21</v>
      </c>
      <c r="K959">
        <v>7717.85</v>
      </c>
      <c r="X959">
        <v>21</v>
      </c>
      <c r="Y959">
        <v>7717.85</v>
      </c>
      <c r="Z959" s="3">
        <f t="shared" si="14"/>
        <v>367.51666666666671</v>
      </c>
    </row>
    <row r="960" spans="1:26" hidden="1">
      <c r="A960" t="s">
        <v>707</v>
      </c>
      <c r="B960" s="6">
        <v>44287</v>
      </c>
      <c r="C960" s="6">
        <v>44651</v>
      </c>
      <c r="D960">
        <v>20210401</v>
      </c>
      <c r="E960">
        <v>20220331</v>
      </c>
      <c r="F960" t="s">
        <v>6915</v>
      </c>
      <c r="G960" t="s">
        <v>6916</v>
      </c>
      <c r="H960" t="s">
        <v>590</v>
      </c>
      <c r="I960" t="s">
        <v>1462</v>
      </c>
      <c r="J960">
        <v>1</v>
      </c>
      <c r="K960">
        <v>12392.16</v>
      </c>
      <c r="X960">
        <v>1</v>
      </c>
      <c r="Y960">
        <v>12392.16</v>
      </c>
      <c r="Z960" s="3">
        <f t="shared" si="14"/>
        <v>12392.16</v>
      </c>
    </row>
    <row r="961" spans="1:26" hidden="1">
      <c r="A961" t="s">
        <v>707</v>
      </c>
      <c r="B961" s="6">
        <v>44287</v>
      </c>
      <c r="C961" s="6">
        <v>44651</v>
      </c>
      <c r="D961">
        <v>20210401</v>
      </c>
      <c r="E961">
        <v>20220331</v>
      </c>
      <c r="F961" t="s">
        <v>6917</v>
      </c>
      <c r="G961" t="s">
        <v>6918</v>
      </c>
      <c r="H961" t="s">
        <v>590</v>
      </c>
      <c r="I961" t="s">
        <v>1462</v>
      </c>
      <c r="L961">
        <v>2</v>
      </c>
      <c r="M961">
        <v>8400</v>
      </c>
      <c r="X961">
        <v>2</v>
      </c>
      <c r="Y961">
        <v>8400</v>
      </c>
      <c r="Z961" s="3">
        <f t="shared" si="14"/>
        <v>4200</v>
      </c>
    </row>
    <row r="962" spans="1:26" hidden="1">
      <c r="A962" t="s">
        <v>707</v>
      </c>
      <c r="B962" s="6">
        <v>44287</v>
      </c>
      <c r="C962" s="6">
        <v>44651</v>
      </c>
      <c r="D962">
        <v>20210401</v>
      </c>
      <c r="E962">
        <v>20220331</v>
      </c>
      <c r="F962" t="s">
        <v>6919</v>
      </c>
      <c r="G962" t="s">
        <v>6920</v>
      </c>
      <c r="H962" t="s">
        <v>590</v>
      </c>
      <c r="I962" t="s">
        <v>1462</v>
      </c>
      <c r="L962">
        <v>2</v>
      </c>
      <c r="M962">
        <v>580</v>
      </c>
      <c r="X962">
        <v>2</v>
      </c>
      <c r="Y962">
        <v>580</v>
      </c>
      <c r="Z962" s="3">
        <f t="shared" si="14"/>
        <v>290</v>
      </c>
    </row>
    <row r="963" spans="1:26" hidden="1">
      <c r="A963" t="s">
        <v>707</v>
      </c>
      <c r="B963" s="6">
        <v>44287</v>
      </c>
      <c r="C963" s="6">
        <v>44651</v>
      </c>
      <c r="D963">
        <v>20210401</v>
      </c>
      <c r="E963">
        <v>20220331</v>
      </c>
      <c r="F963" t="s">
        <v>6921</v>
      </c>
      <c r="G963" t="s">
        <v>6922</v>
      </c>
      <c r="H963" t="s">
        <v>590</v>
      </c>
      <c r="I963" t="s">
        <v>1462</v>
      </c>
      <c r="J963">
        <v>1</v>
      </c>
      <c r="K963">
        <v>237.5</v>
      </c>
      <c r="X963">
        <v>1</v>
      </c>
      <c r="Y963">
        <v>237.5</v>
      </c>
      <c r="Z963" s="3">
        <f t="shared" ref="Z963:Z1026" si="15">IFERROR((O963+Q963)/(N963+P963),Y963/X963)</f>
        <v>237.5</v>
      </c>
    </row>
    <row r="964" spans="1:26" hidden="1">
      <c r="A964" t="s">
        <v>707</v>
      </c>
      <c r="B964" s="6">
        <v>44287</v>
      </c>
      <c r="C964" s="6">
        <v>44651</v>
      </c>
      <c r="D964">
        <v>20210401</v>
      </c>
      <c r="E964">
        <v>20220331</v>
      </c>
      <c r="F964" t="s">
        <v>4099</v>
      </c>
      <c r="G964" t="s">
        <v>4100</v>
      </c>
      <c r="H964" t="s">
        <v>590</v>
      </c>
      <c r="I964" t="s">
        <v>1462</v>
      </c>
      <c r="J964">
        <v>17</v>
      </c>
      <c r="K964">
        <v>680</v>
      </c>
      <c r="X964">
        <v>17</v>
      </c>
      <c r="Y964">
        <v>680</v>
      </c>
      <c r="Z964" s="3">
        <f t="shared" si="15"/>
        <v>40</v>
      </c>
    </row>
    <row r="965" spans="1:26" hidden="1">
      <c r="A965" t="s">
        <v>707</v>
      </c>
      <c r="B965" s="6">
        <v>44287</v>
      </c>
      <c r="C965" s="6">
        <v>44651</v>
      </c>
      <c r="D965">
        <v>20210401</v>
      </c>
      <c r="E965">
        <v>20220331</v>
      </c>
      <c r="F965" t="s">
        <v>4101</v>
      </c>
      <c r="G965" t="s">
        <v>4102</v>
      </c>
      <c r="H965" t="s">
        <v>590</v>
      </c>
      <c r="I965" t="s">
        <v>1462</v>
      </c>
      <c r="J965">
        <v>5</v>
      </c>
      <c r="K965">
        <v>5</v>
      </c>
      <c r="X965">
        <v>5</v>
      </c>
      <c r="Y965">
        <v>5</v>
      </c>
      <c r="Z965" s="3">
        <f t="shared" si="15"/>
        <v>1</v>
      </c>
    </row>
    <row r="966" spans="1:26" hidden="1">
      <c r="A966" t="s">
        <v>707</v>
      </c>
      <c r="B966" s="6">
        <v>44287</v>
      </c>
      <c r="C966" s="6">
        <v>44651</v>
      </c>
      <c r="D966">
        <v>20210401</v>
      </c>
      <c r="E966">
        <v>20220331</v>
      </c>
      <c r="F966" t="s">
        <v>6923</v>
      </c>
      <c r="G966" t="s">
        <v>6924</v>
      </c>
      <c r="H966" t="s">
        <v>590</v>
      </c>
      <c r="I966" t="s">
        <v>1462</v>
      </c>
      <c r="J966">
        <v>4</v>
      </c>
      <c r="K966">
        <v>6080</v>
      </c>
      <c r="L966">
        <v>2</v>
      </c>
      <c r="M966">
        <v>5888.76</v>
      </c>
      <c r="N966">
        <v>-2</v>
      </c>
      <c r="O966">
        <v>-3989.59</v>
      </c>
      <c r="X966">
        <v>4</v>
      </c>
      <c r="Y966">
        <v>7979.17</v>
      </c>
      <c r="Z966" s="3">
        <f t="shared" si="15"/>
        <v>1994.7950000000001</v>
      </c>
    </row>
    <row r="967" spans="1:26" hidden="1">
      <c r="A967" t="s">
        <v>707</v>
      </c>
      <c r="B967" s="6">
        <v>44287</v>
      </c>
      <c r="C967" s="6">
        <v>44651</v>
      </c>
      <c r="D967">
        <v>20210401</v>
      </c>
      <c r="E967">
        <v>20220331</v>
      </c>
      <c r="F967" t="s">
        <v>4109</v>
      </c>
      <c r="G967" t="s">
        <v>4110</v>
      </c>
      <c r="H967" t="s">
        <v>590</v>
      </c>
      <c r="I967" t="s">
        <v>774</v>
      </c>
      <c r="L967">
        <v>1</v>
      </c>
      <c r="M967">
        <v>1</v>
      </c>
      <c r="N967">
        <v>-1</v>
      </c>
      <c r="O967">
        <v>-1</v>
      </c>
      <c r="Z967" s="3">
        <f t="shared" si="15"/>
        <v>1</v>
      </c>
    </row>
    <row r="968" spans="1:26" hidden="1">
      <c r="A968" t="s">
        <v>707</v>
      </c>
      <c r="B968" s="6">
        <v>44287</v>
      </c>
      <c r="C968" s="6">
        <v>44651</v>
      </c>
      <c r="D968">
        <v>20210401</v>
      </c>
      <c r="E968">
        <v>20220331</v>
      </c>
      <c r="F968" t="s">
        <v>4111</v>
      </c>
      <c r="G968" t="s">
        <v>4112</v>
      </c>
      <c r="H968" t="s">
        <v>590</v>
      </c>
      <c r="I968" t="s">
        <v>774</v>
      </c>
      <c r="L968">
        <v>1</v>
      </c>
      <c r="M968">
        <v>1</v>
      </c>
      <c r="N968">
        <v>-1</v>
      </c>
      <c r="O968">
        <v>-1</v>
      </c>
      <c r="Z968" s="3">
        <f t="shared" si="15"/>
        <v>1</v>
      </c>
    </row>
    <row r="969" spans="1:26" hidden="1">
      <c r="A969" t="s">
        <v>707</v>
      </c>
      <c r="B969" s="6">
        <v>44287</v>
      </c>
      <c r="C969" s="6">
        <v>44651</v>
      </c>
      <c r="D969">
        <v>20210401</v>
      </c>
      <c r="E969">
        <v>20220331</v>
      </c>
      <c r="F969" t="s">
        <v>6925</v>
      </c>
      <c r="G969" t="s">
        <v>6926</v>
      </c>
      <c r="H969" t="s">
        <v>613</v>
      </c>
      <c r="I969" t="s">
        <v>1462</v>
      </c>
      <c r="L969">
        <v>14.8</v>
      </c>
      <c r="M969">
        <v>1258</v>
      </c>
      <c r="X969">
        <v>14.8</v>
      </c>
      <c r="Y969">
        <v>1258</v>
      </c>
      <c r="Z969" s="3">
        <f t="shared" si="15"/>
        <v>85</v>
      </c>
    </row>
    <row r="970" spans="1:26" hidden="1">
      <c r="A970" t="s">
        <v>707</v>
      </c>
      <c r="B970" s="6">
        <v>44287</v>
      </c>
      <c r="C970" s="6">
        <v>44651</v>
      </c>
      <c r="D970">
        <v>20210401</v>
      </c>
      <c r="E970">
        <v>20220331</v>
      </c>
      <c r="F970" t="s">
        <v>6927</v>
      </c>
      <c r="G970" t="s">
        <v>6928</v>
      </c>
      <c r="I970" t="s">
        <v>1462</v>
      </c>
      <c r="L970">
        <v>30</v>
      </c>
      <c r="M970">
        <v>4049.5</v>
      </c>
      <c r="N970">
        <v>-30</v>
      </c>
      <c r="O970">
        <v>-4049.5</v>
      </c>
      <c r="Z970" s="3">
        <f t="shared" si="15"/>
        <v>134.98333333333332</v>
      </c>
    </row>
    <row r="971" spans="1:26" hidden="1">
      <c r="A971" t="s">
        <v>707</v>
      </c>
      <c r="B971" s="6">
        <v>44287</v>
      </c>
      <c r="C971" s="6">
        <v>44651</v>
      </c>
      <c r="D971">
        <v>20210401</v>
      </c>
      <c r="E971">
        <v>20220331</v>
      </c>
      <c r="F971" t="s">
        <v>6929</v>
      </c>
      <c r="G971" t="s">
        <v>6930</v>
      </c>
      <c r="H971" t="s">
        <v>590</v>
      </c>
      <c r="I971" t="s">
        <v>1462</v>
      </c>
      <c r="L971">
        <v>300</v>
      </c>
      <c r="M971">
        <v>675</v>
      </c>
      <c r="N971">
        <v>-100</v>
      </c>
      <c r="O971">
        <v>-225</v>
      </c>
      <c r="X971">
        <v>200</v>
      </c>
      <c r="Y971">
        <v>450</v>
      </c>
      <c r="Z971" s="3">
        <f t="shared" si="15"/>
        <v>2.25</v>
      </c>
    </row>
    <row r="972" spans="1:26" hidden="1">
      <c r="A972" t="s">
        <v>707</v>
      </c>
      <c r="B972" s="6">
        <v>44287</v>
      </c>
      <c r="C972" s="6">
        <v>44651</v>
      </c>
      <c r="D972">
        <v>20210401</v>
      </c>
      <c r="E972">
        <v>20220331</v>
      </c>
      <c r="F972" t="s">
        <v>6931</v>
      </c>
      <c r="G972" t="s">
        <v>6932</v>
      </c>
      <c r="H972" t="s">
        <v>613</v>
      </c>
      <c r="I972" t="s">
        <v>1462</v>
      </c>
      <c r="L972">
        <v>5</v>
      </c>
      <c r="M972">
        <v>675</v>
      </c>
      <c r="N972">
        <v>-5</v>
      </c>
      <c r="O972">
        <v>-675</v>
      </c>
      <c r="Z972" s="3">
        <f t="shared" si="15"/>
        <v>135</v>
      </c>
    </row>
    <row r="973" spans="1:26" hidden="1">
      <c r="A973" t="s">
        <v>707</v>
      </c>
      <c r="B973" s="6">
        <v>44287</v>
      </c>
      <c r="C973" s="6">
        <v>44651</v>
      </c>
      <c r="D973">
        <v>20210401</v>
      </c>
      <c r="E973">
        <v>20220331</v>
      </c>
      <c r="F973" t="s">
        <v>6933</v>
      </c>
      <c r="G973" t="s">
        <v>6934</v>
      </c>
      <c r="H973" t="s">
        <v>613</v>
      </c>
      <c r="I973" t="s">
        <v>1462</v>
      </c>
      <c r="L973">
        <v>10</v>
      </c>
      <c r="M973">
        <v>1350</v>
      </c>
      <c r="N973">
        <v>-10</v>
      </c>
      <c r="O973">
        <v>-1350</v>
      </c>
      <c r="Z973" s="3">
        <f t="shared" si="15"/>
        <v>135</v>
      </c>
    </row>
    <row r="974" spans="1:26" hidden="1">
      <c r="A974" t="s">
        <v>707</v>
      </c>
      <c r="B974" s="6">
        <v>44287</v>
      </c>
      <c r="C974" s="6">
        <v>44651</v>
      </c>
      <c r="D974">
        <v>20210401</v>
      </c>
      <c r="E974">
        <v>20220331</v>
      </c>
      <c r="F974" t="s">
        <v>6935</v>
      </c>
      <c r="G974" t="s">
        <v>6936</v>
      </c>
      <c r="H974" t="s">
        <v>613</v>
      </c>
      <c r="I974" t="s">
        <v>1462</v>
      </c>
      <c r="L974">
        <v>5</v>
      </c>
      <c r="M974">
        <v>675</v>
      </c>
      <c r="N974">
        <v>-5</v>
      </c>
      <c r="O974">
        <v>-675</v>
      </c>
      <c r="Z974" s="3">
        <f t="shared" si="15"/>
        <v>135</v>
      </c>
    </row>
    <row r="975" spans="1:26" hidden="1">
      <c r="A975" t="s">
        <v>707</v>
      </c>
      <c r="B975" s="6">
        <v>44287</v>
      </c>
      <c r="C975" s="6">
        <v>44651</v>
      </c>
      <c r="D975">
        <v>20210401</v>
      </c>
      <c r="E975">
        <v>20220331</v>
      </c>
      <c r="F975" t="s">
        <v>6937</v>
      </c>
      <c r="G975" t="s">
        <v>6938</v>
      </c>
      <c r="H975" t="s">
        <v>613</v>
      </c>
      <c r="I975" t="s">
        <v>1462</v>
      </c>
      <c r="L975">
        <v>10</v>
      </c>
      <c r="M975">
        <v>1350</v>
      </c>
      <c r="N975">
        <v>-10</v>
      </c>
      <c r="O975">
        <v>-1350</v>
      </c>
      <c r="Z975" s="3">
        <f t="shared" si="15"/>
        <v>135</v>
      </c>
    </row>
    <row r="976" spans="1:26" hidden="1">
      <c r="A976" t="s">
        <v>707</v>
      </c>
      <c r="B976" s="6">
        <v>44287</v>
      </c>
      <c r="C976" s="6">
        <v>44651</v>
      </c>
      <c r="D976">
        <v>20210401</v>
      </c>
      <c r="E976">
        <v>20220331</v>
      </c>
      <c r="F976" t="s">
        <v>4129</v>
      </c>
      <c r="G976" t="s">
        <v>4130</v>
      </c>
      <c r="H976" t="s">
        <v>613</v>
      </c>
      <c r="I976" t="s">
        <v>1462</v>
      </c>
      <c r="L976">
        <v>20</v>
      </c>
      <c r="M976">
        <v>1139.8</v>
      </c>
      <c r="X976">
        <v>20</v>
      </c>
      <c r="Y976">
        <v>1139.8</v>
      </c>
      <c r="Z976" s="3">
        <f t="shared" si="15"/>
        <v>56.989999999999995</v>
      </c>
    </row>
    <row r="977" spans="1:26" hidden="1">
      <c r="A977" t="s">
        <v>707</v>
      </c>
      <c r="B977" s="6">
        <v>44287</v>
      </c>
      <c r="C977" s="6">
        <v>44651</v>
      </c>
      <c r="D977">
        <v>20210401</v>
      </c>
      <c r="E977">
        <v>20220331</v>
      </c>
      <c r="F977" t="s">
        <v>6939</v>
      </c>
      <c r="G977" t="s">
        <v>6940</v>
      </c>
      <c r="H977" t="s">
        <v>613</v>
      </c>
      <c r="I977" t="s">
        <v>1462</v>
      </c>
      <c r="L977">
        <v>10</v>
      </c>
      <c r="M977">
        <v>1350</v>
      </c>
      <c r="N977">
        <v>-10</v>
      </c>
      <c r="O977">
        <v>-1350</v>
      </c>
      <c r="Z977" s="3">
        <f t="shared" si="15"/>
        <v>135</v>
      </c>
    </row>
    <row r="978" spans="1:26" hidden="1">
      <c r="A978" t="s">
        <v>707</v>
      </c>
      <c r="B978" s="6">
        <v>44287</v>
      </c>
      <c r="C978" s="6">
        <v>44651</v>
      </c>
      <c r="D978">
        <v>20210401</v>
      </c>
      <c r="E978">
        <v>20220331</v>
      </c>
      <c r="F978" t="s">
        <v>6941</v>
      </c>
      <c r="G978" t="s">
        <v>6942</v>
      </c>
      <c r="H978" t="s">
        <v>613</v>
      </c>
      <c r="I978" t="s">
        <v>1462</v>
      </c>
      <c r="L978">
        <v>10</v>
      </c>
      <c r="M978">
        <v>1350</v>
      </c>
      <c r="N978">
        <v>-10</v>
      </c>
      <c r="O978">
        <v>-1350</v>
      </c>
      <c r="Z978" s="3">
        <f t="shared" si="15"/>
        <v>135</v>
      </c>
    </row>
    <row r="979" spans="1:26" hidden="1">
      <c r="A979" t="s">
        <v>707</v>
      </c>
      <c r="B979" s="6">
        <v>44287</v>
      </c>
      <c r="C979" s="6">
        <v>44651</v>
      </c>
      <c r="D979">
        <v>20210401</v>
      </c>
      <c r="E979">
        <v>20220331</v>
      </c>
      <c r="F979" t="s">
        <v>6943</v>
      </c>
      <c r="G979" t="s">
        <v>6944</v>
      </c>
      <c r="H979" t="s">
        <v>613</v>
      </c>
      <c r="I979" t="s">
        <v>1462</v>
      </c>
      <c r="L979">
        <v>427.6</v>
      </c>
      <c r="M979">
        <v>25305</v>
      </c>
      <c r="N979">
        <v>-427.6</v>
      </c>
      <c r="O979">
        <v>-25305</v>
      </c>
      <c r="Z979" s="3">
        <f t="shared" si="15"/>
        <v>59.17913938260056</v>
      </c>
    </row>
    <row r="980" spans="1:26" hidden="1">
      <c r="A980" t="s">
        <v>707</v>
      </c>
      <c r="B980" s="6">
        <v>44287</v>
      </c>
      <c r="C980" s="6">
        <v>44651</v>
      </c>
      <c r="D980">
        <v>20210401</v>
      </c>
      <c r="E980">
        <v>20220331</v>
      </c>
      <c r="F980" t="s">
        <v>6945</v>
      </c>
      <c r="G980" t="s">
        <v>6946</v>
      </c>
      <c r="H980" t="s">
        <v>590</v>
      </c>
      <c r="I980" t="s">
        <v>1462</v>
      </c>
      <c r="J980">
        <v>105</v>
      </c>
      <c r="K980">
        <v>524.6</v>
      </c>
      <c r="L980">
        <v>100</v>
      </c>
      <c r="M980">
        <v>1100</v>
      </c>
      <c r="N980">
        <v>-72</v>
      </c>
      <c r="O980">
        <v>-441.58</v>
      </c>
      <c r="X980">
        <v>133</v>
      </c>
      <c r="Y980">
        <v>1183.02</v>
      </c>
      <c r="Z980" s="3">
        <f t="shared" si="15"/>
        <v>6.133055555555555</v>
      </c>
    </row>
    <row r="981" spans="1:26" hidden="1">
      <c r="A981" t="s">
        <v>707</v>
      </c>
      <c r="B981" s="6">
        <v>44287</v>
      </c>
      <c r="C981" s="6">
        <v>44651</v>
      </c>
      <c r="D981">
        <v>20210401</v>
      </c>
      <c r="E981">
        <v>20220331</v>
      </c>
      <c r="F981" t="s">
        <v>6947</v>
      </c>
      <c r="G981" t="s">
        <v>6948</v>
      </c>
      <c r="H981" t="s">
        <v>590</v>
      </c>
      <c r="I981" t="s">
        <v>1462</v>
      </c>
      <c r="L981">
        <v>50</v>
      </c>
      <c r="M981">
        <v>1250</v>
      </c>
      <c r="N981">
        <v>-22</v>
      </c>
      <c r="O981">
        <v>-550</v>
      </c>
      <c r="X981">
        <v>28</v>
      </c>
      <c r="Y981">
        <v>700</v>
      </c>
      <c r="Z981" s="3">
        <f t="shared" si="15"/>
        <v>25</v>
      </c>
    </row>
    <row r="982" spans="1:26" hidden="1">
      <c r="A982" t="s">
        <v>707</v>
      </c>
      <c r="B982" s="6">
        <v>44287</v>
      </c>
      <c r="C982" s="6">
        <v>44651</v>
      </c>
      <c r="D982">
        <v>20210401</v>
      </c>
      <c r="E982">
        <v>20220331</v>
      </c>
      <c r="F982" t="s">
        <v>6949</v>
      </c>
      <c r="G982" t="s">
        <v>6950</v>
      </c>
      <c r="H982" t="s">
        <v>590</v>
      </c>
      <c r="I982" t="s">
        <v>1462</v>
      </c>
      <c r="J982">
        <v>6</v>
      </c>
      <c r="L982">
        <v>50</v>
      </c>
      <c r="M982">
        <v>950</v>
      </c>
      <c r="N982">
        <v>-11</v>
      </c>
      <c r="O982">
        <v>-172.73</v>
      </c>
      <c r="X982">
        <v>45</v>
      </c>
      <c r="Y982">
        <v>777.27</v>
      </c>
      <c r="Z982" s="3">
        <f t="shared" si="15"/>
        <v>15.702727272727271</v>
      </c>
    </row>
    <row r="983" spans="1:26" hidden="1">
      <c r="A983" t="s">
        <v>707</v>
      </c>
      <c r="B983" s="6">
        <v>44287</v>
      </c>
      <c r="C983" s="6">
        <v>44651</v>
      </c>
      <c r="D983">
        <v>20210401</v>
      </c>
      <c r="E983">
        <v>20220331</v>
      </c>
      <c r="F983" t="s">
        <v>6951</v>
      </c>
      <c r="G983" t="s">
        <v>6952</v>
      </c>
      <c r="H983" t="s">
        <v>590</v>
      </c>
      <c r="I983" t="s">
        <v>1462</v>
      </c>
      <c r="L983">
        <v>100</v>
      </c>
      <c r="M983">
        <v>475</v>
      </c>
      <c r="X983">
        <v>100</v>
      </c>
      <c r="Y983">
        <v>475</v>
      </c>
      <c r="Z983" s="3">
        <f t="shared" si="15"/>
        <v>4.75</v>
      </c>
    </row>
    <row r="984" spans="1:26" hidden="1">
      <c r="A984" t="s">
        <v>707</v>
      </c>
      <c r="B984" s="6">
        <v>44287</v>
      </c>
      <c r="C984" s="6">
        <v>44651</v>
      </c>
      <c r="D984">
        <v>20210401</v>
      </c>
      <c r="E984">
        <v>20220331</v>
      </c>
      <c r="F984" t="s">
        <v>6953</v>
      </c>
      <c r="G984" t="s">
        <v>6954</v>
      </c>
      <c r="H984" t="s">
        <v>590</v>
      </c>
      <c r="I984" t="s">
        <v>1462</v>
      </c>
      <c r="J984">
        <v>22</v>
      </c>
      <c r="K984">
        <v>294.7</v>
      </c>
      <c r="N984">
        <v>-22</v>
      </c>
      <c r="O984">
        <v>-294.67</v>
      </c>
      <c r="Y984">
        <v>0.03</v>
      </c>
      <c r="Z984" s="3">
        <f t="shared" si="15"/>
        <v>13.394090909090909</v>
      </c>
    </row>
    <row r="985" spans="1:26" hidden="1">
      <c r="A985" t="s">
        <v>707</v>
      </c>
      <c r="B985" s="6">
        <v>44287</v>
      </c>
      <c r="C985" s="6">
        <v>44651</v>
      </c>
      <c r="D985">
        <v>20210401</v>
      </c>
      <c r="E985">
        <v>20220331</v>
      </c>
      <c r="F985" t="s">
        <v>6955</v>
      </c>
      <c r="G985" t="s">
        <v>6956</v>
      </c>
      <c r="H985" t="s">
        <v>590</v>
      </c>
      <c r="I985" t="s">
        <v>1462</v>
      </c>
      <c r="J985">
        <v>53</v>
      </c>
      <c r="K985">
        <v>265</v>
      </c>
      <c r="L985">
        <v>200</v>
      </c>
      <c r="M985">
        <v>1320</v>
      </c>
      <c r="N985">
        <v>-63</v>
      </c>
      <c r="O985">
        <v>-339.85</v>
      </c>
      <c r="X985">
        <v>190</v>
      </c>
      <c r="Y985">
        <v>1245.1500000000001</v>
      </c>
      <c r="Z985" s="3">
        <f t="shared" si="15"/>
        <v>5.3944444444444448</v>
      </c>
    </row>
    <row r="986" spans="1:26" hidden="1">
      <c r="A986" t="s">
        <v>707</v>
      </c>
      <c r="B986" s="6">
        <v>44287</v>
      </c>
      <c r="C986" s="6">
        <v>44651</v>
      </c>
      <c r="D986">
        <v>20210401</v>
      </c>
      <c r="E986">
        <v>20220331</v>
      </c>
      <c r="F986" t="s">
        <v>6957</v>
      </c>
      <c r="G986" t="s">
        <v>6958</v>
      </c>
      <c r="H986" t="s">
        <v>590</v>
      </c>
      <c r="I986" t="s">
        <v>1462</v>
      </c>
      <c r="J986">
        <v>26</v>
      </c>
      <c r="K986">
        <v>100.06</v>
      </c>
      <c r="N986">
        <v>-26</v>
      </c>
      <c r="O986">
        <v>-100.06</v>
      </c>
      <c r="Z986" s="3">
        <f t="shared" si="15"/>
        <v>3.8484615384615384</v>
      </c>
    </row>
    <row r="987" spans="1:26" hidden="1">
      <c r="A987" t="s">
        <v>707</v>
      </c>
      <c r="B987" s="6">
        <v>44287</v>
      </c>
      <c r="C987" s="6">
        <v>44651</v>
      </c>
      <c r="D987">
        <v>20210401</v>
      </c>
      <c r="E987">
        <v>20220331</v>
      </c>
      <c r="F987" t="s">
        <v>6959</v>
      </c>
      <c r="G987" t="s">
        <v>6960</v>
      </c>
      <c r="H987" t="s">
        <v>590</v>
      </c>
      <c r="I987" t="s">
        <v>1462</v>
      </c>
      <c r="J987">
        <v>40</v>
      </c>
      <c r="K987">
        <v>1080</v>
      </c>
      <c r="N987">
        <v>-3</v>
      </c>
      <c r="O987">
        <v>-81</v>
      </c>
      <c r="X987">
        <v>37</v>
      </c>
      <c r="Y987">
        <v>999</v>
      </c>
      <c r="Z987" s="3">
        <f t="shared" si="15"/>
        <v>27</v>
      </c>
    </row>
    <row r="988" spans="1:26" hidden="1">
      <c r="A988" t="s">
        <v>707</v>
      </c>
      <c r="B988" s="6">
        <v>44287</v>
      </c>
      <c r="C988" s="6">
        <v>44651</v>
      </c>
      <c r="D988">
        <v>20210401</v>
      </c>
      <c r="E988">
        <v>20220331</v>
      </c>
      <c r="F988" t="s">
        <v>4205</v>
      </c>
      <c r="G988" t="s">
        <v>4206</v>
      </c>
      <c r="H988" t="s">
        <v>590</v>
      </c>
      <c r="I988" t="s">
        <v>1462</v>
      </c>
      <c r="J988">
        <v>22</v>
      </c>
      <c r="K988">
        <v>385</v>
      </c>
      <c r="X988">
        <v>22</v>
      </c>
      <c r="Y988">
        <v>385</v>
      </c>
      <c r="Z988" s="3">
        <f t="shared" si="15"/>
        <v>17.5</v>
      </c>
    </row>
    <row r="989" spans="1:26" hidden="1">
      <c r="A989" t="s">
        <v>707</v>
      </c>
      <c r="B989" s="6">
        <v>44287</v>
      </c>
      <c r="C989" s="6">
        <v>44651</v>
      </c>
      <c r="D989">
        <v>20210401</v>
      </c>
      <c r="E989">
        <v>20220331</v>
      </c>
      <c r="F989" t="s">
        <v>6961</v>
      </c>
      <c r="G989" t="s">
        <v>6962</v>
      </c>
      <c r="H989" t="s">
        <v>590</v>
      </c>
      <c r="I989" t="s">
        <v>1462</v>
      </c>
      <c r="J989">
        <v>15</v>
      </c>
      <c r="K989">
        <v>629.73</v>
      </c>
      <c r="N989">
        <v>-5</v>
      </c>
      <c r="O989">
        <v>-209.9</v>
      </c>
      <c r="X989">
        <v>10</v>
      </c>
      <c r="Y989">
        <v>419.83</v>
      </c>
      <c r="Z989" s="3">
        <f t="shared" si="15"/>
        <v>41.980000000000004</v>
      </c>
    </row>
    <row r="990" spans="1:26" hidden="1">
      <c r="A990" t="s">
        <v>707</v>
      </c>
      <c r="B990" s="6">
        <v>44287</v>
      </c>
      <c r="C990" s="6">
        <v>44651</v>
      </c>
      <c r="D990">
        <v>20210401</v>
      </c>
      <c r="E990">
        <v>20220331</v>
      </c>
      <c r="F990" t="s">
        <v>4215</v>
      </c>
      <c r="G990" t="s">
        <v>4216</v>
      </c>
      <c r="H990" t="s">
        <v>590</v>
      </c>
      <c r="I990" t="s">
        <v>1462</v>
      </c>
      <c r="J990">
        <v>69</v>
      </c>
      <c r="K990">
        <v>672.75</v>
      </c>
      <c r="N990">
        <v>-15</v>
      </c>
      <c r="O990">
        <v>-146.25</v>
      </c>
      <c r="X990">
        <v>54</v>
      </c>
      <c r="Y990">
        <v>526.5</v>
      </c>
      <c r="Z990" s="3">
        <f t="shared" si="15"/>
        <v>9.75</v>
      </c>
    </row>
    <row r="991" spans="1:26" hidden="1">
      <c r="A991" t="s">
        <v>707</v>
      </c>
      <c r="B991" s="6">
        <v>44287</v>
      </c>
      <c r="C991" s="6">
        <v>44651</v>
      </c>
      <c r="D991">
        <v>20210401</v>
      </c>
      <c r="E991">
        <v>20220331</v>
      </c>
      <c r="F991" t="s">
        <v>6963</v>
      </c>
      <c r="G991" t="s">
        <v>6964</v>
      </c>
      <c r="H991" t="s">
        <v>590</v>
      </c>
      <c r="I991" t="s">
        <v>1462</v>
      </c>
      <c r="J991">
        <v>33</v>
      </c>
      <c r="K991">
        <v>1617</v>
      </c>
      <c r="X991">
        <v>33</v>
      </c>
      <c r="Y991">
        <v>1617</v>
      </c>
      <c r="Z991" s="3">
        <f t="shared" si="15"/>
        <v>49</v>
      </c>
    </row>
    <row r="992" spans="1:26" hidden="1">
      <c r="A992" t="s">
        <v>707</v>
      </c>
      <c r="B992" s="6">
        <v>44287</v>
      </c>
      <c r="C992" s="6">
        <v>44651</v>
      </c>
      <c r="D992">
        <v>20210401</v>
      </c>
      <c r="E992">
        <v>20220331</v>
      </c>
      <c r="F992" t="s">
        <v>4221</v>
      </c>
      <c r="G992" t="s">
        <v>4222</v>
      </c>
      <c r="H992" t="s">
        <v>590</v>
      </c>
      <c r="I992" t="s">
        <v>1462</v>
      </c>
      <c r="J992">
        <v>38</v>
      </c>
      <c r="K992">
        <v>266</v>
      </c>
      <c r="N992">
        <v>-14</v>
      </c>
      <c r="O992">
        <v>-98</v>
      </c>
      <c r="X992">
        <v>24</v>
      </c>
      <c r="Y992">
        <v>168</v>
      </c>
      <c r="Z992" s="3">
        <f t="shared" si="15"/>
        <v>7</v>
      </c>
    </row>
    <row r="993" spans="1:26" hidden="1">
      <c r="A993" t="s">
        <v>707</v>
      </c>
      <c r="B993" s="6">
        <v>44287</v>
      </c>
      <c r="C993" s="6">
        <v>44651</v>
      </c>
      <c r="D993">
        <v>20210401</v>
      </c>
      <c r="E993">
        <v>20220331</v>
      </c>
      <c r="F993" t="s">
        <v>6965</v>
      </c>
      <c r="G993" t="s">
        <v>6966</v>
      </c>
      <c r="H993" t="s">
        <v>590</v>
      </c>
      <c r="I993" t="s">
        <v>1462</v>
      </c>
      <c r="L993">
        <v>50</v>
      </c>
      <c r="M993">
        <v>200</v>
      </c>
      <c r="X993">
        <v>50</v>
      </c>
      <c r="Y993">
        <v>200</v>
      </c>
      <c r="Z993" s="3">
        <f t="shared" si="15"/>
        <v>4</v>
      </c>
    </row>
    <row r="994" spans="1:26" hidden="1">
      <c r="A994" t="s">
        <v>707</v>
      </c>
      <c r="B994" s="6">
        <v>44287</v>
      </c>
      <c r="C994" s="6">
        <v>44651</v>
      </c>
      <c r="D994">
        <v>20210401</v>
      </c>
      <c r="E994">
        <v>20220331</v>
      </c>
      <c r="F994" t="s">
        <v>6967</v>
      </c>
      <c r="G994" t="s">
        <v>6968</v>
      </c>
      <c r="H994" t="s">
        <v>590</v>
      </c>
      <c r="I994" t="s">
        <v>1462</v>
      </c>
      <c r="L994">
        <v>50</v>
      </c>
      <c r="M994">
        <v>287.5</v>
      </c>
      <c r="X994">
        <v>50</v>
      </c>
      <c r="Y994">
        <v>287.5</v>
      </c>
      <c r="Z994" s="3">
        <f t="shared" si="15"/>
        <v>5.75</v>
      </c>
    </row>
    <row r="995" spans="1:26" hidden="1">
      <c r="A995" t="s">
        <v>707</v>
      </c>
      <c r="B995" s="6">
        <v>44287</v>
      </c>
      <c r="C995" s="6">
        <v>44651</v>
      </c>
      <c r="D995">
        <v>20210401</v>
      </c>
      <c r="E995">
        <v>20220331</v>
      </c>
      <c r="F995" t="s">
        <v>6969</v>
      </c>
      <c r="G995" t="s">
        <v>6970</v>
      </c>
      <c r="H995" t="s">
        <v>590</v>
      </c>
      <c r="I995" t="s">
        <v>1462</v>
      </c>
      <c r="L995">
        <v>50</v>
      </c>
      <c r="M995">
        <v>187.5</v>
      </c>
      <c r="X995">
        <v>50</v>
      </c>
      <c r="Y995">
        <v>187.5</v>
      </c>
      <c r="Z995" s="3">
        <f t="shared" si="15"/>
        <v>3.75</v>
      </c>
    </row>
    <row r="996" spans="1:26" hidden="1">
      <c r="A996" t="s">
        <v>707</v>
      </c>
      <c r="B996" s="6">
        <v>44287</v>
      </c>
      <c r="C996" s="6">
        <v>44651</v>
      </c>
      <c r="D996">
        <v>20210401</v>
      </c>
      <c r="E996">
        <v>20220331</v>
      </c>
      <c r="F996" t="s">
        <v>4231</v>
      </c>
      <c r="G996" t="s">
        <v>4232</v>
      </c>
      <c r="H996" t="s">
        <v>590</v>
      </c>
      <c r="I996" t="s">
        <v>1462</v>
      </c>
      <c r="J996">
        <v>74</v>
      </c>
      <c r="N996">
        <v>-12</v>
      </c>
      <c r="X996">
        <v>62</v>
      </c>
      <c r="Z996" s="3">
        <f t="shared" si="15"/>
        <v>0</v>
      </c>
    </row>
    <row r="997" spans="1:26" hidden="1">
      <c r="A997" t="s">
        <v>707</v>
      </c>
      <c r="B997" s="6">
        <v>44287</v>
      </c>
      <c r="C997" s="6">
        <v>44651</v>
      </c>
      <c r="D997">
        <v>20210401</v>
      </c>
      <c r="E997">
        <v>20220331</v>
      </c>
      <c r="F997" t="s">
        <v>4235</v>
      </c>
      <c r="G997" t="s">
        <v>4236</v>
      </c>
      <c r="H997" t="s">
        <v>590</v>
      </c>
      <c r="I997" t="s">
        <v>1462</v>
      </c>
      <c r="J997">
        <v>50</v>
      </c>
      <c r="K997">
        <v>169.17</v>
      </c>
      <c r="X997">
        <v>50</v>
      </c>
      <c r="Y997">
        <v>169.17</v>
      </c>
      <c r="Z997" s="3">
        <f t="shared" si="15"/>
        <v>3.3834</v>
      </c>
    </row>
    <row r="998" spans="1:26" hidden="1">
      <c r="A998" t="s">
        <v>707</v>
      </c>
      <c r="B998" s="6">
        <v>44287</v>
      </c>
      <c r="C998" s="6">
        <v>44651</v>
      </c>
      <c r="D998">
        <v>20210401</v>
      </c>
      <c r="E998">
        <v>20220331</v>
      </c>
      <c r="F998" t="s">
        <v>4241</v>
      </c>
      <c r="G998" t="s">
        <v>4242</v>
      </c>
      <c r="H998" t="s">
        <v>590</v>
      </c>
      <c r="I998" t="s">
        <v>1462</v>
      </c>
      <c r="J998">
        <v>50</v>
      </c>
      <c r="K998">
        <v>1405.51</v>
      </c>
      <c r="N998">
        <v>-10</v>
      </c>
      <c r="O998">
        <v>-267.99</v>
      </c>
      <c r="X998">
        <v>40</v>
      </c>
      <c r="Y998">
        <v>1137.52</v>
      </c>
      <c r="Z998" s="3">
        <f t="shared" si="15"/>
        <v>26.798999999999999</v>
      </c>
    </row>
    <row r="999" spans="1:26" hidden="1">
      <c r="A999" t="s">
        <v>707</v>
      </c>
      <c r="B999" s="6">
        <v>44287</v>
      </c>
      <c r="C999" s="6">
        <v>44651</v>
      </c>
      <c r="D999">
        <v>20210401</v>
      </c>
      <c r="E999">
        <v>20220331</v>
      </c>
      <c r="F999" t="s">
        <v>6971</v>
      </c>
      <c r="G999" t="s">
        <v>6972</v>
      </c>
      <c r="H999" t="s">
        <v>590</v>
      </c>
      <c r="I999" t="s">
        <v>1462</v>
      </c>
      <c r="J999">
        <v>14</v>
      </c>
      <c r="K999">
        <v>1036</v>
      </c>
      <c r="N999">
        <v>-1</v>
      </c>
      <c r="O999">
        <v>-74</v>
      </c>
      <c r="R999">
        <v>-1</v>
      </c>
      <c r="S999">
        <v>-74</v>
      </c>
      <c r="X999">
        <v>12</v>
      </c>
      <c r="Y999">
        <v>888</v>
      </c>
      <c r="Z999" s="3">
        <f t="shared" si="15"/>
        <v>74</v>
      </c>
    </row>
    <row r="1000" spans="1:26" hidden="1">
      <c r="A1000" t="s">
        <v>707</v>
      </c>
      <c r="B1000" s="6">
        <v>44287</v>
      </c>
      <c r="C1000" s="6">
        <v>44651</v>
      </c>
      <c r="D1000">
        <v>20210401</v>
      </c>
      <c r="E1000">
        <v>20220331</v>
      </c>
      <c r="F1000" t="s">
        <v>6973</v>
      </c>
      <c r="G1000" t="s">
        <v>6974</v>
      </c>
      <c r="H1000" t="s">
        <v>590</v>
      </c>
      <c r="I1000" t="s">
        <v>805</v>
      </c>
      <c r="L1000">
        <v>50</v>
      </c>
      <c r="M1000">
        <v>250</v>
      </c>
      <c r="X1000">
        <v>50</v>
      </c>
      <c r="Y1000">
        <v>250</v>
      </c>
      <c r="Z1000" s="3">
        <f t="shared" si="15"/>
        <v>5</v>
      </c>
    </row>
    <row r="1001" spans="1:26" hidden="1">
      <c r="A1001" t="s">
        <v>707</v>
      </c>
      <c r="B1001" s="6">
        <v>44287</v>
      </c>
      <c r="C1001" s="6">
        <v>44651</v>
      </c>
      <c r="D1001">
        <v>20210401</v>
      </c>
      <c r="E1001">
        <v>20220331</v>
      </c>
      <c r="F1001" t="s">
        <v>6975</v>
      </c>
      <c r="G1001" t="s">
        <v>6976</v>
      </c>
      <c r="H1001" t="s">
        <v>590</v>
      </c>
      <c r="I1001" t="s">
        <v>805</v>
      </c>
      <c r="J1001">
        <v>50</v>
      </c>
      <c r="K1001">
        <v>211.9</v>
      </c>
      <c r="L1001">
        <v>50</v>
      </c>
      <c r="M1001">
        <v>225</v>
      </c>
      <c r="X1001">
        <v>100</v>
      </c>
      <c r="Y1001">
        <v>436.9</v>
      </c>
      <c r="Z1001" s="3">
        <f t="shared" si="15"/>
        <v>4.3689999999999998</v>
      </c>
    </row>
    <row r="1002" spans="1:26" hidden="1">
      <c r="A1002" t="s">
        <v>707</v>
      </c>
      <c r="B1002" s="6">
        <v>44287</v>
      </c>
      <c r="C1002" s="6">
        <v>44651</v>
      </c>
      <c r="D1002">
        <v>20210401</v>
      </c>
      <c r="E1002">
        <v>20220331</v>
      </c>
      <c r="F1002" t="s">
        <v>4261</v>
      </c>
      <c r="G1002" t="s">
        <v>4262</v>
      </c>
      <c r="H1002" t="s">
        <v>590</v>
      </c>
      <c r="I1002" t="s">
        <v>1462</v>
      </c>
      <c r="J1002">
        <v>27</v>
      </c>
      <c r="K1002">
        <v>189.44</v>
      </c>
      <c r="X1002">
        <v>27</v>
      </c>
      <c r="Y1002">
        <v>189.44</v>
      </c>
      <c r="Z1002" s="3">
        <f t="shared" si="15"/>
        <v>7.0162962962962965</v>
      </c>
    </row>
    <row r="1003" spans="1:26" hidden="1">
      <c r="A1003" t="s">
        <v>707</v>
      </c>
      <c r="B1003" s="6">
        <v>44287</v>
      </c>
      <c r="C1003" s="6">
        <v>44651</v>
      </c>
      <c r="D1003">
        <v>20210401</v>
      </c>
      <c r="E1003">
        <v>20220331</v>
      </c>
      <c r="F1003" t="s">
        <v>4271</v>
      </c>
      <c r="G1003" t="s">
        <v>4272</v>
      </c>
      <c r="H1003" t="s">
        <v>590</v>
      </c>
      <c r="I1003" t="s">
        <v>1462</v>
      </c>
      <c r="L1003">
        <v>70</v>
      </c>
      <c r="M1003">
        <v>270</v>
      </c>
      <c r="X1003">
        <v>70</v>
      </c>
      <c r="Y1003">
        <v>270</v>
      </c>
      <c r="Z1003" s="3">
        <f t="shared" si="15"/>
        <v>3.8571428571428572</v>
      </c>
    </row>
    <row r="1004" spans="1:26" hidden="1">
      <c r="A1004" t="s">
        <v>707</v>
      </c>
      <c r="B1004" s="6">
        <v>44287</v>
      </c>
      <c r="C1004" s="6">
        <v>44651</v>
      </c>
      <c r="D1004">
        <v>20210401</v>
      </c>
      <c r="E1004">
        <v>20220331</v>
      </c>
      <c r="F1004" t="s">
        <v>6977</v>
      </c>
      <c r="G1004" t="s">
        <v>6978</v>
      </c>
      <c r="H1004" t="s">
        <v>590</v>
      </c>
      <c r="I1004" t="s">
        <v>1462</v>
      </c>
      <c r="L1004">
        <v>50</v>
      </c>
      <c r="M1004">
        <v>162.5</v>
      </c>
      <c r="X1004">
        <v>50</v>
      </c>
      <c r="Y1004">
        <v>162.5</v>
      </c>
      <c r="Z1004" s="3">
        <f t="shared" si="15"/>
        <v>3.25</v>
      </c>
    </row>
    <row r="1005" spans="1:26" hidden="1">
      <c r="A1005" t="s">
        <v>707</v>
      </c>
      <c r="B1005" s="6">
        <v>44287</v>
      </c>
      <c r="C1005" s="6">
        <v>44651</v>
      </c>
      <c r="D1005">
        <v>20210401</v>
      </c>
      <c r="E1005">
        <v>20220331</v>
      </c>
      <c r="F1005" t="s">
        <v>6979</v>
      </c>
      <c r="G1005" t="s">
        <v>6980</v>
      </c>
      <c r="H1005" t="s">
        <v>613</v>
      </c>
      <c r="I1005" t="s">
        <v>1462</v>
      </c>
      <c r="L1005">
        <v>5</v>
      </c>
      <c r="M1005">
        <v>375</v>
      </c>
      <c r="N1005">
        <v>-5</v>
      </c>
      <c r="O1005">
        <v>-375</v>
      </c>
      <c r="Z1005" s="3">
        <f t="shared" si="15"/>
        <v>75</v>
      </c>
    </row>
    <row r="1006" spans="1:26" hidden="1">
      <c r="A1006" t="s">
        <v>707</v>
      </c>
      <c r="B1006" s="6">
        <v>44287</v>
      </c>
      <c r="C1006" s="6">
        <v>44651</v>
      </c>
      <c r="D1006">
        <v>20210401</v>
      </c>
      <c r="E1006">
        <v>20220331</v>
      </c>
      <c r="F1006" t="s">
        <v>6981</v>
      </c>
      <c r="G1006" t="s">
        <v>6982</v>
      </c>
      <c r="H1006" t="s">
        <v>613</v>
      </c>
      <c r="I1006" t="s">
        <v>1462</v>
      </c>
      <c r="L1006">
        <v>10</v>
      </c>
      <c r="M1006">
        <v>750</v>
      </c>
      <c r="N1006">
        <v>-10</v>
      </c>
      <c r="O1006">
        <v>-750</v>
      </c>
      <c r="Z1006" s="3">
        <f t="shared" si="15"/>
        <v>75</v>
      </c>
    </row>
    <row r="1007" spans="1:26" hidden="1">
      <c r="A1007" t="s">
        <v>707</v>
      </c>
      <c r="B1007" s="6">
        <v>44287</v>
      </c>
      <c r="C1007" s="6">
        <v>44651</v>
      </c>
      <c r="D1007">
        <v>20210401</v>
      </c>
      <c r="E1007">
        <v>20220331</v>
      </c>
      <c r="F1007" t="s">
        <v>6983</v>
      </c>
      <c r="G1007" t="s">
        <v>6984</v>
      </c>
      <c r="H1007" t="s">
        <v>613</v>
      </c>
      <c r="I1007" t="s">
        <v>1462</v>
      </c>
      <c r="L1007">
        <v>5</v>
      </c>
      <c r="M1007">
        <v>375</v>
      </c>
      <c r="N1007">
        <v>-5</v>
      </c>
      <c r="O1007">
        <v>-375</v>
      </c>
      <c r="Z1007" s="3">
        <f t="shared" si="15"/>
        <v>75</v>
      </c>
    </row>
    <row r="1008" spans="1:26" hidden="1">
      <c r="A1008" t="s">
        <v>707</v>
      </c>
      <c r="B1008" s="6">
        <v>44287</v>
      </c>
      <c r="C1008" s="6">
        <v>44651</v>
      </c>
      <c r="D1008">
        <v>20210401</v>
      </c>
      <c r="E1008">
        <v>20220331</v>
      </c>
      <c r="F1008" t="s">
        <v>6985</v>
      </c>
      <c r="G1008" t="s">
        <v>6986</v>
      </c>
      <c r="H1008" t="s">
        <v>590</v>
      </c>
      <c r="I1008" t="s">
        <v>1462</v>
      </c>
      <c r="L1008">
        <v>5</v>
      </c>
      <c r="M1008">
        <v>375</v>
      </c>
      <c r="N1008">
        <v>-5</v>
      </c>
      <c r="O1008">
        <v>-375</v>
      </c>
      <c r="Z1008" s="3">
        <f t="shared" si="15"/>
        <v>75</v>
      </c>
    </row>
    <row r="1009" spans="1:26" hidden="1">
      <c r="A1009" t="s">
        <v>707</v>
      </c>
      <c r="B1009" s="6">
        <v>44287</v>
      </c>
      <c r="C1009" s="6">
        <v>44651</v>
      </c>
      <c r="D1009">
        <v>20210401</v>
      </c>
      <c r="E1009">
        <v>20220331</v>
      </c>
      <c r="F1009" t="s">
        <v>4301</v>
      </c>
      <c r="G1009" t="s">
        <v>4302</v>
      </c>
      <c r="H1009" t="s">
        <v>590</v>
      </c>
      <c r="I1009" t="s">
        <v>1462</v>
      </c>
      <c r="N1009">
        <v>-8</v>
      </c>
      <c r="O1009">
        <v>-8</v>
      </c>
      <c r="X1009">
        <v>-8</v>
      </c>
      <c r="Y1009">
        <v>-8</v>
      </c>
      <c r="Z1009" s="3">
        <f t="shared" si="15"/>
        <v>1</v>
      </c>
    </row>
    <row r="1010" spans="1:26" hidden="1">
      <c r="A1010" t="s">
        <v>707</v>
      </c>
      <c r="B1010" s="6">
        <v>44287</v>
      </c>
      <c r="C1010" s="6">
        <v>44651</v>
      </c>
      <c r="D1010">
        <v>20210401</v>
      </c>
      <c r="E1010">
        <v>20220331</v>
      </c>
      <c r="F1010" t="s">
        <v>6987</v>
      </c>
      <c r="G1010" t="s">
        <v>6988</v>
      </c>
      <c r="H1010" t="s">
        <v>590</v>
      </c>
      <c r="I1010" t="s">
        <v>1462</v>
      </c>
      <c r="J1010">
        <v>91</v>
      </c>
      <c r="K1010">
        <v>115.93</v>
      </c>
      <c r="N1010">
        <v>-91</v>
      </c>
      <c r="O1010">
        <v>-115.87</v>
      </c>
      <c r="Y1010">
        <v>0.06</v>
      </c>
      <c r="Z1010" s="3">
        <f t="shared" si="15"/>
        <v>1.2732967032967033</v>
      </c>
    </row>
    <row r="1011" spans="1:26" hidden="1">
      <c r="A1011" t="s">
        <v>707</v>
      </c>
      <c r="B1011" s="6">
        <v>44287</v>
      </c>
      <c r="C1011" s="6">
        <v>44651</v>
      </c>
      <c r="D1011">
        <v>20210401</v>
      </c>
      <c r="E1011">
        <v>20220331</v>
      </c>
      <c r="F1011" t="s">
        <v>6989</v>
      </c>
      <c r="G1011" t="s">
        <v>6990</v>
      </c>
      <c r="H1011" t="s">
        <v>590</v>
      </c>
      <c r="I1011" t="s">
        <v>1462</v>
      </c>
      <c r="L1011">
        <v>300</v>
      </c>
      <c r="M1011">
        <v>240</v>
      </c>
      <c r="N1011">
        <v>-108</v>
      </c>
      <c r="O1011">
        <v>-86.4</v>
      </c>
      <c r="X1011">
        <v>192</v>
      </c>
      <c r="Y1011">
        <v>153.6</v>
      </c>
      <c r="Z1011" s="3">
        <f t="shared" si="15"/>
        <v>0.8</v>
      </c>
    </row>
    <row r="1012" spans="1:26" hidden="1">
      <c r="A1012" t="s">
        <v>707</v>
      </c>
      <c r="B1012" s="6">
        <v>44287</v>
      </c>
      <c r="C1012" s="6">
        <v>44651</v>
      </c>
      <c r="D1012">
        <v>20210401</v>
      </c>
      <c r="E1012">
        <v>20220331</v>
      </c>
      <c r="F1012" t="s">
        <v>6991</v>
      </c>
      <c r="G1012" t="s">
        <v>6992</v>
      </c>
      <c r="H1012" t="s">
        <v>590</v>
      </c>
      <c r="I1012" t="s">
        <v>805</v>
      </c>
      <c r="J1012">
        <v>381</v>
      </c>
      <c r="K1012">
        <v>10858.5</v>
      </c>
      <c r="N1012">
        <v>-45</v>
      </c>
      <c r="O1012">
        <v>-1282.5</v>
      </c>
      <c r="X1012">
        <v>336</v>
      </c>
      <c r="Y1012">
        <v>9576</v>
      </c>
      <c r="Z1012" s="3">
        <f t="shared" si="15"/>
        <v>28.5</v>
      </c>
    </row>
    <row r="1013" spans="1:26" hidden="1">
      <c r="A1013" t="s">
        <v>707</v>
      </c>
      <c r="B1013" s="6">
        <v>44287</v>
      </c>
      <c r="C1013" s="6">
        <v>44651</v>
      </c>
      <c r="D1013">
        <v>20210401</v>
      </c>
      <c r="E1013">
        <v>20220331</v>
      </c>
      <c r="F1013" t="s">
        <v>6993</v>
      </c>
      <c r="G1013" t="s">
        <v>6994</v>
      </c>
      <c r="H1013" t="s">
        <v>590</v>
      </c>
      <c r="I1013" t="s">
        <v>1462</v>
      </c>
      <c r="J1013">
        <v>153</v>
      </c>
      <c r="K1013">
        <v>153</v>
      </c>
      <c r="L1013">
        <v>200</v>
      </c>
      <c r="M1013">
        <v>300</v>
      </c>
      <c r="N1013">
        <v>-206</v>
      </c>
      <c r="O1013">
        <v>-238.26</v>
      </c>
      <c r="X1013">
        <v>147</v>
      </c>
      <c r="Y1013">
        <v>214.74</v>
      </c>
      <c r="Z1013" s="3">
        <f t="shared" si="15"/>
        <v>1.1566019417475728</v>
      </c>
    </row>
    <row r="1014" spans="1:26" hidden="1">
      <c r="A1014" t="s">
        <v>707</v>
      </c>
      <c r="B1014" s="6">
        <v>44287</v>
      </c>
      <c r="C1014" s="6">
        <v>44651</v>
      </c>
      <c r="D1014">
        <v>20210401</v>
      </c>
      <c r="E1014">
        <v>20220331</v>
      </c>
      <c r="F1014" t="s">
        <v>6995</v>
      </c>
      <c r="G1014" t="s">
        <v>6996</v>
      </c>
      <c r="H1014" t="s">
        <v>590</v>
      </c>
      <c r="I1014" t="s">
        <v>1462</v>
      </c>
      <c r="J1014">
        <v>66</v>
      </c>
      <c r="K1014">
        <v>128.54</v>
      </c>
      <c r="N1014">
        <v>-20</v>
      </c>
      <c r="O1014">
        <v>-38.950000000000003</v>
      </c>
      <c r="X1014">
        <v>46</v>
      </c>
      <c r="Y1014">
        <v>89.59</v>
      </c>
      <c r="Z1014" s="3">
        <f t="shared" si="15"/>
        <v>1.9475000000000002</v>
      </c>
    </row>
    <row r="1015" spans="1:26" hidden="1">
      <c r="A1015" t="s">
        <v>707</v>
      </c>
      <c r="B1015" s="6">
        <v>44287</v>
      </c>
      <c r="C1015" s="6">
        <v>44651</v>
      </c>
      <c r="D1015">
        <v>20210401</v>
      </c>
      <c r="E1015">
        <v>20220331</v>
      </c>
      <c r="F1015" t="s">
        <v>6997</v>
      </c>
      <c r="G1015" t="s">
        <v>6998</v>
      </c>
      <c r="H1015" t="s">
        <v>613</v>
      </c>
      <c r="I1015" t="s">
        <v>1462</v>
      </c>
      <c r="L1015">
        <v>10</v>
      </c>
      <c r="M1015">
        <v>1350</v>
      </c>
      <c r="N1015">
        <v>-10</v>
      </c>
      <c r="O1015">
        <v>-1350</v>
      </c>
      <c r="Z1015" s="3">
        <f t="shared" si="15"/>
        <v>135</v>
      </c>
    </row>
    <row r="1016" spans="1:26" hidden="1">
      <c r="A1016" t="s">
        <v>707</v>
      </c>
      <c r="B1016" s="6">
        <v>44287</v>
      </c>
      <c r="C1016" s="6">
        <v>44651</v>
      </c>
      <c r="D1016">
        <v>20210401</v>
      </c>
      <c r="E1016">
        <v>20220331</v>
      </c>
      <c r="F1016" t="s">
        <v>6999</v>
      </c>
      <c r="G1016" t="s">
        <v>7000</v>
      </c>
      <c r="H1016" t="s">
        <v>613</v>
      </c>
      <c r="I1016" t="s">
        <v>1462</v>
      </c>
      <c r="L1016">
        <v>30</v>
      </c>
      <c r="M1016">
        <v>4050</v>
      </c>
      <c r="N1016">
        <v>-30</v>
      </c>
      <c r="O1016">
        <v>-4050</v>
      </c>
      <c r="Z1016" s="3">
        <f t="shared" si="15"/>
        <v>135</v>
      </c>
    </row>
    <row r="1017" spans="1:26" hidden="1">
      <c r="A1017" t="s">
        <v>707</v>
      </c>
      <c r="B1017" s="6">
        <v>44287</v>
      </c>
      <c r="C1017" s="6">
        <v>44651</v>
      </c>
      <c r="D1017">
        <v>20210401</v>
      </c>
      <c r="E1017">
        <v>20220331</v>
      </c>
      <c r="F1017" t="s">
        <v>7001</v>
      </c>
      <c r="G1017" t="s">
        <v>7002</v>
      </c>
      <c r="H1017" t="s">
        <v>590</v>
      </c>
      <c r="I1017" t="s">
        <v>1462</v>
      </c>
      <c r="L1017">
        <v>40</v>
      </c>
      <c r="M1017">
        <v>5400</v>
      </c>
      <c r="N1017">
        <v>-40</v>
      </c>
      <c r="O1017">
        <v>-5400</v>
      </c>
      <c r="Z1017" s="3">
        <f t="shared" si="15"/>
        <v>135</v>
      </c>
    </row>
    <row r="1018" spans="1:26" hidden="1">
      <c r="A1018" t="s">
        <v>707</v>
      </c>
      <c r="B1018" s="6">
        <v>44287</v>
      </c>
      <c r="C1018" s="6">
        <v>44651</v>
      </c>
      <c r="D1018">
        <v>20210401</v>
      </c>
      <c r="E1018">
        <v>20220331</v>
      </c>
      <c r="F1018" t="s">
        <v>4309</v>
      </c>
      <c r="G1018" t="s">
        <v>4310</v>
      </c>
      <c r="H1018" t="s">
        <v>613</v>
      </c>
      <c r="I1018" t="s">
        <v>1462</v>
      </c>
      <c r="L1018">
        <v>20</v>
      </c>
      <c r="M1018">
        <v>50</v>
      </c>
      <c r="X1018">
        <v>20</v>
      </c>
      <c r="Y1018">
        <v>50</v>
      </c>
      <c r="Z1018" s="3">
        <f t="shared" si="15"/>
        <v>2.5</v>
      </c>
    </row>
    <row r="1019" spans="1:26" hidden="1">
      <c r="A1019" t="s">
        <v>707</v>
      </c>
      <c r="B1019" s="6">
        <v>44287</v>
      </c>
      <c r="C1019" s="6">
        <v>44651</v>
      </c>
      <c r="D1019">
        <v>20210401</v>
      </c>
      <c r="E1019">
        <v>20220331</v>
      </c>
      <c r="F1019" t="s">
        <v>7003</v>
      </c>
      <c r="G1019" t="s">
        <v>7004</v>
      </c>
      <c r="H1019" t="s">
        <v>613</v>
      </c>
      <c r="I1019" t="s">
        <v>1462</v>
      </c>
      <c r="L1019">
        <v>10</v>
      </c>
      <c r="M1019">
        <v>1350</v>
      </c>
      <c r="N1019">
        <v>-10</v>
      </c>
      <c r="O1019">
        <v>-1350</v>
      </c>
      <c r="Z1019" s="3">
        <f t="shared" si="15"/>
        <v>135</v>
      </c>
    </row>
    <row r="1020" spans="1:26" hidden="1">
      <c r="A1020" t="s">
        <v>707</v>
      </c>
      <c r="B1020" s="6">
        <v>44287</v>
      </c>
      <c r="C1020" s="6">
        <v>44651</v>
      </c>
      <c r="D1020">
        <v>20210401</v>
      </c>
      <c r="E1020">
        <v>20220331</v>
      </c>
      <c r="F1020" t="s">
        <v>4321</v>
      </c>
      <c r="G1020" t="s">
        <v>4322</v>
      </c>
      <c r="H1020" t="s">
        <v>590</v>
      </c>
      <c r="I1020" t="s">
        <v>774</v>
      </c>
      <c r="L1020">
        <v>1</v>
      </c>
      <c r="M1020">
        <v>50000</v>
      </c>
      <c r="N1020">
        <v>-1</v>
      </c>
      <c r="O1020">
        <v>-50000</v>
      </c>
      <c r="Z1020" s="3">
        <f t="shared" si="15"/>
        <v>50000</v>
      </c>
    </row>
    <row r="1021" spans="1:26" hidden="1">
      <c r="A1021" t="s">
        <v>707</v>
      </c>
      <c r="B1021" s="6">
        <v>44287</v>
      </c>
      <c r="C1021" s="6">
        <v>44651</v>
      </c>
      <c r="D1021">
        <v>20210401</v>
      </c>
      <c r="E1021">
        <v>20220331</v>
      </c>
      <c r="F1021" t="s">
        <v>4323</v>
      </c>
      <c r="G1021" t="s">
        <v>4324</v>
      </c>
      <c r="H1021" t="s">
        <v>590</v>
      </c>
      <c r="I1021" t="s">
        <v>774</v>
      </c>
      <c r="L1021">
        <v>1</v>
      </c>
      <c r="M1021">
        <v>1</v>
      </c>
      <c r="P1021">
        <v>1</v>
      </c>
      <c r="R1021">
        <v>-1</v>
      </c>
      <c r="X1021">
        <v>1</v>
      </c>
      <c r="Y1021">
        <v>1</v>
      </c>
      <c r="Z1021" s="3">
        <f t="shared" si="15"/>
        <v>0</v>
      </c>
    </row>
    <row r="1022" spans="1:26" hidden="1">
      <c r="A1022" t="s">
        <v>707</v>
      </c>
      <c r="B1022" s="6">
        <v>44287</v>
      </c>
      <c r="C1022" s="6">
        <v>44651</v>
      </c>
      <c r="D1022">
        <v>20210401</v>
      </c>
      <c r="E1022">
        <v>20220331</v>
      </c>
      <c r="F1022" t="s">
        <v>4325</v>
      </c>
      <c r="G1022" t="s">
        <v>4326</v>
      </c>
      <c r="H1022" t="s">
        <v>590</v>
      </c>
      <c r="I1022" t="s">
        <v>774</v>
      </c>
      <c r="L1022">
        <v>1</v>
      </c>
      <c r="M1022">
        <v>1</v>
      </c>
      <c r="N1022">
        <v>-1</v>
      </c>
      <c r="O1022">
        <v>-1</v>
      </c>
      <c r="P1022">
        <v>1</v>
      </c>
      <c r="Q1022">
        <v>91000</v>
      </c>
      <c r="R1022">
        <v>-1</v>
      </c>
      <c r="S1022">
        <v>-91000</v>
      </c>
      <c r="Z1022" s="3" t="e">
        <f t="shared" si="15"/>
        <v>#DIV/0!</v>
      </c>
    </row>
    <row r="1023" spans="1:26" hidden="1">
      <c r="A1023" t="s">
        <v>707</v>
      </c>
      <c r="B1023" s="6">
        <v>44287</v>
      </c>
      <c r="C1023" s="6">
        <v>44651</v>
      </c>
      <c r="D1023">
        <v>20210401</v>
      </c>
      <c r="E1023">
        <v>20220331</v>
      </c>
      <c r="F1023" t="s">
        <v>4327</v>
      </c>
      <c r="G1023" t="s">
        <v>4328</v>
      </c>
      <c r="H1023" t="s">
        <v>590</v>
      </c>
      <c r="I1023" t="s">
        <v>774</v>
      </c>
      <c r="L1023">
        <v>1</v>
      </c>
      <c r="M1023">
        <v>1</v>
      </c>
      <c r="N1023">
        <v>-1</v>
      </c>
      <c r="O1023">
        <v>-1</v>
      </c>
      <c r="Z1023" s="3">
        <f t="shared" si="15"/>
        <v>1</v>
      </c>
    </row>
    <row r="1024" spans="1:26" hidden="1">
      <c r="A1024" t="s">
        <v>707</v>
      </c>
      <c r="B1024" s="6">
        <v>44287</v>
      </c>
      <c r="C1024" s="6">
        <v>44651</v>
      </c>
      <c r="D1024">
        <v>20210401</v>
      </c>
      <c r="E1024">
        <v>20220331</v>
      </c>
      <c r="F1024" t="s">
        <v>4329</v>
      </c>
      <c r="G1024" t="s">
        <v>4330</v>
      </c>
      <c r="H1024" t="s">
        <v>590</v>
      </c>
      <c r="I1024" t="s">
        <v>774</v>
      </c>
      <c r="L1024">
        <v>1</v>
      </c>
      <c r="M1024">
        <v>1</v>
      </c>
      <c r="N1024">
        <v>-1</v>
      </c>
      <c r="O1024">
        <v>-1</v>
      </c>
      <c r="Z1024" s="3">
        <f t="shared" si="15"/>
        <v>1</v>
      </c>
    </row>
    <row r="1025" spans="1:26" hidden="1">
      <c r="A1025" t="s">
        <v>707</v>
      </c>
      <c r="B1025" s="6">
        <v>44287</v>
      </c>
      <c r="C1025" s="6">
        <v>44651</v>
      </c>
      <c r="D1025">
        <v>20210401</v>
      </c>
      <c r="E1025">
        <v>20220331</v>
      </c>
      <c r="F1025" t="s">
        <v>4331</v>
      </c>
      <c r="G1025" t="s">
        <v>4332</v>
      </c>
      <c r="H1025" t="s">
        <v>590</v>
      </c>
      <c r="I1025" t="s">
        <v>774</v>
      </c>
      <c r="L1025">
        <v>1</v>
      </c>
      <c r="M1025">
        <v>1</v>
      </c>
      <c r="N1025">
        <v>-1</v>
      </c>
      <c r="O1025">
        <v>-1</v>
      </c>
      <c r="Z1025" s="3">
        <f t="shared" si="15"/>
        <v>1</v>
      </c>
    </row>
    <row r="1026" spans="1:26" hidden="1">
      <c r="A1026" t="s">
        <v>707</v>
      </c>
      <c r="B1026" s="6">
        <v>44287</v>
      </c>
      <c r="C1026" s="6">
        <v>44651</v>
      </c>
      <c r="D1026">
        <v>20210401</v>
      </c>
      <c r="E1026">
        <v>20220331</v>
      </c>
      <c r="F1026" t="s">
        <v>4333</v>
      </c>
      <c r="G1026" t="s">
        <v>4334</v>
      </c>
      <c r="H1026" t="s">
        <v>590</v>
      </c>
      <c r="I1026" t="s">
        <v>774</v>
      </c>
      <c r="L1026">
        <v>1</v>
      </c>
      <c r="M1026">
        <v>1</v>
      </c>
      <c r="N1026">
        <v>-1</v>
      </c>
      <c r="O1026">
        <v>-1</v>
      </c>
      <c r="Z1026" s="3">
        <f t="shared" si="15"/>
        <v>1</v>
      </c>
    </row>
    <row r="1027" spans="1:26" hidden="1">
      <c r="A1027" t="s">
        <v>707</v>
      </c>
      <c r="B1027" s="6">
        <v>44287</v>
      </c>
      <c r="C1027" s="6">
        <v>44651</v>
      </c>
      <c r="D1027">
        <v>20210401</v>
      </c>
      <c r="E1027">
        <v>20220331</v>
      </c>
      <c r="F1027" t="s">
        <v>4335</v>
      </c>
      <c r="G1027" t="s">
        <v>4336</v>
      </c>
      <c r="H1027" t="s">
        <v>590</v>
      </c>
      <c r="I1027" t="s">
        <v>774</v>
      </c>
      <c r="L1027">
        <v>1</v>
      </c>
      <c r="M1027">
        <v>1</v>
      </c>
      <c r="N1027">
        <v>-1</v>
      </c>
      <c r="O1027">
        <v>-1</v>
      </c>
      <c r="Z1027" s="3">
        <f t="shared" ref="Z1027:Z1090" si="16">IFERROR((O1027+Q1027)/(N1027+P1027),Y1027/X1027)</f>
        <v>1</v>
      </c>
    </row>
    <row r="1028" spans="1:26" hidden="1">
      <c r="A1028" t="s">
        <v>707</v>
      </c>
      <c r="B1028" s="6">
        <v>44287</v>
      </c>
      <c r="C1028" s="6">
        <v>44651</v>
      </c>
      <c r="D1028">
        <v>20210401</v>
      </c>
      <c r="E1028">
        <v>20220331</v>
      </c>
      <c r="F1028" t="s">
        <v>4349</v>
      </c>
      <c r="G1028" t="s">
        <v>4350</v>
      </c>
      <c r="H1028" t="s">
        <v>590</v>
      </c>
      <c r="I1028" t="s">
        <v>774</v>
      </c>
      <c r="L1028">
        <v>1</v>
      </c>
      <c r="M1028">
        <v>1</v>
      </c>
      <c r="N1028">
        <v>-1</v>
      </c>
      <c r="O1028">
        <v>-1</v>
      </c>
      <c r="Z1028" s="3">
        <f t="shared" si="16"/>
        <v>1</v>
      </c>
    </row>
    <row r="1029" spans="1:26" hidden="1">
      <c r="A1029" t="s">
        <v>707</v>
      </c>
      <c r="B1029" s="6">
        <v>44287</v>
      </c>
      <c r="C1029" s="6">
        <v>44651</v>
      </c>
      <c r="D1029">
        <v>20210401</v>
      </c>
      <c r="E1029">
        <v>20220331</v>
      </c>
      <c r="F1029" t="s">
        <v>7005</v>
      </c>
      <c r="G1029" t="s">
        <v>7006</v>
      </c>
      <c r="H1029" t="s">
        <v>590</v>
      </c>
      <c r="I1029" t="s">
        <v>1462</v>
      </c>
      <c r="J1029">
        <v>3</v>
      </c>
      <c r="K1029">
        <v>1335</v>
      </c>
      <c r="L1029">
        <v>6</v>
      </c>
      <c r="M1029">
        <v>6628.84</v>
      </c>
      <c r="N1029">
        <v>-5</v>
      </c>
      <c r="O1029">
        <v>-3544.62</v>
      </c>
      <c r="X1029">
        <v>4</v>
      </c>
      <c r="Y1029">
        <v>4419.22</v>
      </c>
      <c r="Z1029" s="3">
        <f t="shared" si="16"/>
        <v>708.92399999999998</v>
      </c>
    </row>
    <row r="1030" spans="1:26" hidden="1">
      <c r="A1030" t="s">
        <v>707</v>
      </c>
      <c r="B1030" s="6">
        <v>44287</v>
      </c>
      <c r="C1030" s="6">
        <v>44651</v>
      </c>
      <c r="D1030">
        <v>20210401</v>
      </c>
      <c r="E1030">
        <v>20220331</v>
      </c>
      <c r="F1030" t="s">
        <v>7007</v>
      </c>
      <c r="G1030" t="s">
        <v>7008</v>
      </c>
      <c r="H1030" t="s">
        <v>590</v>
      </c>
      <c r="I1030" t="s">
        <v>1462</v>
      </c>
      <c r="J1030">
        <v>6</v>
      </c>
      <c r="K1030">
        <v>5160</v>
      </c>
      <c r="X1030">
        <v>6</v>
      </c>
      <c r="Y1030">
        <v>5160</v>
      </c>
      <c r="Z1030" s="3">
        <f t="shared" si="16"/>
        <v>860</v>
      </c>
    </row>
    <row r="1031" spans="1:26" hidden="1">
      <c r="A1031" t="s">
        <v>707</v>
      </c>
      <c r="B1031" s="6">
        <v>44287</v>
      </c>
      <c r="C1031" s="6">
        <v>44651</v>
      </c>
      <c r="D1031">
        <v>20210401</v>
      </c>
      <c r="E1031">
        <v>20220331</v>
      </c>
      <c r="F1031" t="s">
        <v>7009</v>
      </c>
      <c r="G1031" t="s">
        <v>7010</v>
      </c>
      <c r="H1031" t="s">
        <v>590</v>
      </c>
      <c r="I1031" t="s">
        <v>1462</v>
      </c>
      <c r="J1031">
        <v>1</v>
      </c>
      <c r="K1031">
        <v>1100</v>
      </c>
      <c r="X1031">
        <v>1</v>
      </c>
      <c r="Y1031">
        <v>1100</v>
      </c>
      <c r="Z1031" s="3">
        <f t="shared" si="16"/>
        <v>1100</v>
      </c>
    </row>
    <row r="1032" spans="1:26" hidden="1">
      <c r="A1032" t="s">
        <v>707</v>
      </c>
      <c r="B1032" s="6">
        <v>44287</v>
      </c>
      <c r="C1032" s="6">
        <v>44651</v>
      </c>
      <c r="D1032">
        <v>20210401</v>
      </c>
      <c r="E1032">
        <v>20220331</v>
      </c>
      <c r="F1032" t="s">
        <v>7011</v>
      </c>
      <c r="G1032" t="s">
        <v>7012</v>
      </c>
      <c r="H1032" t="s">
        <v>1973</v>
      </c>
      <c r="I1032" t="s">
        <v>1462</v>
      </c>
      <c r="J1032">
        <v>5</v>
      </c>
      <c r="K1032">
        <v>6750</v>
      </c>
      <c r="L1032">
        <v>12</v>
      </c>
      <c r="M1032">
        <v>22320.400000000001</v>
      </c>
      <c r="N1032">
        <v>-6</v>
      </c>
      <c r="O1032">
        <v>-9041.6</v>
      </c>
      <c r="X1032">
        <v>11</v>
      </c>
      <c r="Y1032">
        <v>20028.8</v>
      </c>
      <c r="Z1032" s="3">
        <f t="shared" si="16"/>
        <v>1506.9333333333334</v>
      </c>
    </row>
    <row r="1033" spans="1:26" hidden="1">
      <c r="A1033" t="s">
        <v>707</v>
      </c>
      <c r="B1033" s="6">
        <v>44287</v>
      </c>
      <c r="C1033" s="6">
        <v>44651</v>
      </c>
      <c r="D1033">
        <v>20210401</v>
      </c>
      <c r="E1033">
        <v>20220331</v>
      </c>
      <c r="F1033" t="s">
        <v>7013</v>
      </c>
      <c r="G1033" t="s">
        <v>7014</v>
      </c>
      <c r="H1033" t="s">
        <v>590</v>
      </c>
      <c r="I1033" t="s">
        <v>1462</v>
      </c>
      <c r="L1033">
        <v>6</v>
      </c>
      <c r="M1033">
        <v>31177.96</v>
      </c>
      <c r="N1033">
        <v>-2</v>
      </c>
      <c r="O1033">
        <v>-10392.65</v>
      </c>
      <c r="X1033">
        <v>4</v>
      </c>
      <c r="Y1033">
        <v>20785.310000000001</v>
      </c>
      <c r="Z1033" s="3">
        <f t="shared" si="16"/>
        <v>5196.3249999999998</v>
      </c>
    </row>
    <row r="1034" spans="1:26" hidden="1">
      <c r="A1034" t="s">
        <v>707</v>
      </c>
      <c r="B1034" s="6">
        <v>44287</v>
      </c>
      <c r="C1034" s="6">
        <v>44651</v>
      </c>
      <c r="D1034">
        <v>20210401</v>
      </c>
      <c r="E1034">
        <v>20220331</v>
      </c>
      <c r="F1034" t="s">
        <v>7015</v>
      </c>
      <c r="G1034" t="s">
        <v>7016</v>
      </c>
      <c r="H1034" t="s">
        <v>590</v>
      </c>
      <c r="I1034" t="s">
        <v>1462</v>
      </c>
      <c r="J1034">
        <v>1</v>
      </c>
      <c r="K1034">
        <v>2035</v>
      </c>
      <c r="N1034">
        <v>-1</v>
      </c>
      <c r="O1034">
        <v>-2035</v>
      </c>
      <c r="Z1034" s="3">
        <f t="shared" si="16"/>
        <v>2035</v>
      </c>
    </row>
    <row r="1035" spans="1:26" hidden="1">
      <c r="A1035" t="s">
        <v>707</v>
      </c>
      <c r="B1035" s="6">
        <v>44287</v>
      </c>
      <c r="C1035" s="6">
        <v>44651</v>
      </c>
      <c r="D1035">
        <v>20210401</v>
      </c>
      <c r="E1035">
        <v>20220331</v>
      </c>
      <c r="F1035" t="s">
        <v>7017</v>
      </c>
      <c r="G1035" t="s">
        <v>7018</v>
      </c>
      <c r="H1035" t="s">
        <v>3847</v>
      </c>
      <c r="I1035" t="s">
        <v>1462</v>
      </c>
      <c r="J1035">
        <v>1</v>
      </c>
      <c r="K1035">
        <v>950.18</v>
      </c>
      <c r="X1035">
        <v>1</v>
      </c>
      <c r="Y1035">
        <v>950.18</v>
      </c>
      <c r="Z1035" s="3">
        <f t="shared" si="16"/>
        <v>950.18</v>
      </c>
    </row>
    <row r="1036" spans="1:26" hidden="1">
      <c r="A1036" t="s">
        <v>707</v>
      </c>
      <c r="B1036" s="6">
        <v>44287</v>
      </c>
      <c r="C1036" s="6">
        <v>44651</v>
      </c>
      <c r="D1036">
        <v>20210401</v>
      </c>
      <c r="E1036">
        <v>20220331</v>
      </c>
      <c r="F1036" t="s">
        <v>7019</v>
      </c>
      <c r="G1036" t="s">
        <v>7020</v>
      </c>
      <c r="H1036" t="s">
        <v>590</v>
      </c>
      <c r="I1036" t="s">
        <v>805</v>
      </c>
      <c r="J1036">
        <v>2</v>
      </c>
      <c r="K1036">
        <v>17441.990000000002</v>
      </c>
      <c r="N1036">
        <v>-2</v>
      </c>
      <c r="O1036">
        <v>-17442</v>
      </c>
      <c r="Y1036">
        <v>-0.01</v>
      </c>
      <c r="Z1036" s="3">
        <f t="shared" si="16"/>
        <v>8721</v>
      </c>
    </row>
    <row r="1037" spans="1:26" hidden="1">
      <c r="A1037" t="s">
        <v>707</v>
      </c>
      <c r="B1037" s="6">
        <v>44287</v>
      </c>
      <c r="C1037" s="6">
        <v>44651</v>
      </c>
      <c r="D1037">
        <v>20210401</v>
      </c>
      <c r="E1037">
        <v>20220331</v>
      </c>
      <c r="F1037" t="s">
        <v>7021</v>
      </c>
      <c r="G1037" t="s">
        <v>7022</v>
      </c>
      <c r="H1037" t="s">
        <v>2073</v>
      </c>
      <c r="I1037" t="s">
        <v>1462</v>
      </c>
      <c r="J1037">
        <v>20</v>
      </c>
      <c r="K1037">
        <v>1600</v>
      </c>
      <c r="X1037">
        <v>20</v>
      </c>
      <c r="Y1037">
        <v>1600</v>
      </c>
      <c r="Z1037" s="3">
        <f t="shared" si="16"/>
        <v>80</v>
      </c>
    </row>
    <row r="1038" spans="1:26" hidden="1">
      <c r="A1038" t="s">
        <v>707</v>
      </c>
      <c r="B1038" s="6">
        <v>44287</v>
      </c>
      <c r="C1038" s="6">
        <v>44651</v>
      </c>
      <c r="D1038">
        <v>20210401</v>
      </c>
      <c r="E1038">
        <v>20220331</v>
      </c>
      <c r="F1038" t="s">
        <v>4413</v>
      </c>
      <c r="G1038" t="s">
        <v>4414</v>
      </c>
      <c r="H1038" t="s">
        <v>590</v>
      </c>
      <c r="I1038" t="s">
        <v>1462</v>
      </c>
      <c r="J1038">
        <v>2</v>
      </c>
      <c r="K1038">
        <v>700</v>
      </c>
      <c r="L1038">
        <v>6</v>
      </c>
      <c r="M1038">
        <v>2400</v>
      </c>
      <c r="N1038">
        <v>-8</v>
      </c>
      <c r="O1038">
        <v>-3100</v>
      </c>
      <c r="Z1038" s="3">
        <f t="shared" si="16"/>
        <v>387.5</v>
      </c>
    </row>
    <row r="1039" spans="1:26" hidden="1">
      <c r="A1039" t="s">
        <v>707</v>
      </c>
      <c r="B1039" s="6">
        <v>44287</v>
      </c>
      <c r="C1039" s="6">
        <v>44651</v>
      </c>
      <c r="D1039">
        <v>20210401</v>
      </c>
      <c r="E1039">
        <v>20220331</v>
      </c>
      <c r="F1039" t="s">
        <v>7023</v>
      </c>
      <c r="G1039" t="s">
        <v>7024</v>
      </c>
      <c r="H1039" t="s">
        <v>590</v>
      </c>
      <c r="I1039" t="s">
        <v>1462</v>
      </c>
      <c r="J1039">
        <v>3</v>
      </c>
      <c r="K1039">
        <v>31670.880000000001</v>
      </c>
      <c r="N1039">
        <v>-3</v>
      </c>
      <c r="O1039">
        <v>-31670.880000000001</v>
      </c>
      <c r="Z1039" s="3">
        <f t="shared" si="16"/>
        <v>10556.960000000001</v>
      </c>
    </row>
    <row r="1040" spans="1:26" hidden="1">
      <c r="A1040" t="s">
        <v>707</v>
      </c>
      <c r="B1040" s="6">
        <v>44287</v>
      </c>
      <c r="C1040" s="6">
        <v>44651</v>
      </c>
      <c r="D1040">
        <v>20210401</v>
      </c>
      <c r="E1040">
        <v>20220331</v>
      </c>
      <c r="F1040" t="s">
        <v>7025</v>
      </c>
      <c r="G1040" t="s">
        <v>7026</v>
      </c>
      <c r="H1040" t="s">
        <v>590</v>
      </c>
      <c r="I1040" t="s">
        <v>1462</v>
      </c>
      <c r="J1040">
        <v>4</v>
      </c>
      <c r="K1040">
        <v>13800</v>
      </c>
      <c r="N1040">
        <v>-4</v>
      </c>
      <c r="O1040">
        <v>-13800</v>
      </c>
      <c r="Z1040" s="3">
        <f t="shared" si="16"/>
        <v>3450</v>
      </c>
    </row>
    <row r="1041" spans="1:26" hidden="1">
      <c r="A1041" t="s">
        <v>707</v>
      </c>
      <c r="B1041" s="6">
        <v>44287</v>
      </c>
      <c r="C1041" s="6">
        <v>44651</v>
      </c>
      <c r="D1041">
        <v>20210401</v>
      </c>
      <c r="E1041">
        <v>20220331</v>
      </c>
      <c r="F1041" t="s">
        <v>4419</v>
      </c>
      <c r="G1041" t="s">
        <v>4420</v>
      </c>
      <c r="H1041" t="s">
        <v>1973</v>
      </c>
      <c r="I1041" t="s">
        <v>1462</v>
      </c>
      <c r="L1041">
        <v>4</v>
      </c>
      <c r="M1041">
        <v>2655.92</v>
      </c>
      <c r="X1041">
        <v>4</v>
      </c>
      <c r="Y1041">
        <v>2655.92</v>
      </c>
      <c r="Z1041" s="3">
        <f t="shared" si="16"/>
        <v>663.98</v>
      </c>
    </row>
    <row r="1042" spans="1:26" hidden="1">
      <c r="A1042" t="s">
        <v>707</v>
      </c>
      <c r="B1042" s="6">
        <v>44287</v>
      </c>
      <c r="C1042" s="6">
        <v>44651</v>
      </c>
      <c r="D1042">
        <v>20210401</v>
      </c>
      <c r="E1042">
        <v>20220331</v>
      </c>
      <c r="F1042" t="s">
        <v>7027</v>
      </c>
      <c r="G1042" t="s">
        <v>7028</v>
      </c>
      <c r="H1042" t="s">
        <v>1973</v>
      </c>
      <c r="I1042" t="s">
        <v>1462</v>
      </c>
      <c r="L1042">
        <v>8</v>
      </c>
      <c r="M1042">
        <v>2464</v>
      </c>
      <c r="N1042">
        <v>-8</v>
      </c>
      <c r="O1042">
        <v>-2464</v>
      </c>
      <c r="Z1042" s="3">
        <f t="shared" si="16"/>
        <v>308</v>
      </c>
    </row>
    <row r="1043" spans="1:26" hidden="1">
      <c r="A1043" t="s">
        <v>707</v>
      </c>
      <c r="B1043" s="6">
        <v>44287</v>
      </c>
      <c r="C1043" s="6">
        <v>44651</v>
      </c>
      <c r="D1043">
        <v>20210401</v>
      </c>
      <c r="E1043">
        <v>20220331</v>
      </c>
      <c r="F1043" t="s">
        <v>7029</v>
      </c>
      <c r="G1043" t="s">
        <v>7030</v>
      </c>
      <c r="H1043" t="s">
        <v>590</v>
      </c>
      <c r="I1043" t="s">
        <v>1462</v>
      </c>
      <c r="L1043">
        <v>2</v>
      </c>
      <c r="M1043">
        <v>11714</v>
      </c>
      <c r="N1043">
        <v>-2</v>
      </c>
      <c r="O1043">
        <v>-11714</v>
      </c>
      <c r="Z1043" s="3">
        <f t="shared" si="16"/>
        <v>5857</v>
      </c>
    </row>
    <row r="1044" spans="1:26" hidden="1">
      <c r="A1044" t="s">
        <v>707</v>
      </c>
      <c r="B1044" s="6">
        <v>44287</v>
      </c>
      <c r="C1044" s="6">
        <v>44651</v>
      </c>
      <c r="D1044">
        <v>20210401</v>
      </c>
      <c r="E1044">
        <v>20220331</v>
      </c>
      <c r="F1044" t="s">
        <v>4429</v>
      </c>
      <c r="G1044" t="s">
        <v>4430</v>
      </c>
      <c r="H1044" t="s">
        <v>590</v>
      </c>
      <c r="I1044" t="s">
        <v>1462</v>
      </c>
      <c r="L1044">
        <v>1</v>
      </c>
      <c r="M1044">
        <v>13342</v>
      </c>
      <c r="N1044">
        <v>-1</v>
      </c>
      <c r="O1044">
        <v>-13342</v>
      </c>
      <c r="Z1044" s="3">
        <f t="shared" si="16"/>
        <v>13342</v>
      </c>
    </row>
    <row r="1045" spans="1:26" hidden="1">
      <c r="A1045" t="s">
        <v>707</v>
      </c>
      <c r="B1045" s="6">
        <v>44287</v>
      </c>
      <c r="C1045" s="6">
        <v>44651</v>
      </c>
      <c r="D1045">
        <v>20210401</v>
      </c>
      <c r="E1045">
        <v>20220331</v>
      </c>
      <c r="F1045" t="s">
        <v>7031</v>
      </c>
      <c r="G1045" t="s">
        <v>7032</v>
      </c>
      <c r="H1045" t="s">
        <v>590</v>
      </c>
      <c r="I1045" t="s">
        <v>1462</v>
      </c>
      <c r="J1045">
        <v>3</v>
      </c>
      <c r="K1045">
        <v>847.88</v>
      </c>
      <c r="N1045">
        <v>-3</v>
      </c>
      <c r="O1045">
        <v>-847.88</v>
      </c>
      <c r="Z1045" s="3">
        <f t="shared" si="16"/>
        <v>282.62666666666667</v>
      </c>
    </row>
    <row r="1046" spans="1:26" hidden="1">
      <c r="A1046" t="s">
        <v>707</v>
      </c>
      <c r="B1046" s="6">
        <v>44287</v>
      </c>
      <c r="C1046" s="6">
        <v>44651</v>
      </c>
      <c r="D1046">
        <v>20210401</v>
      </c>
      <c r="E1046">
        <v>20220331</v>
      </c>
      <c r="F1046" t="s">
        <v>7033</v>
      </c>
      <c r="G1046" t="s">
        <v>7034</v>
      </c>
      <c r="I1046" t="s">
        <v>1462</v>
      </c>
      <c r="J1046">
        <v>4</v>
      </c>
      <c r="K1046">
        <v>1920</v>
      </c>
      <c r="N1046">
        <v>-1</v>
      </c>
      <c r="O1046">
        <v>-480</v>
      </c>
      <c r="X1046">
        <v>3</v>
      </c>
      <c r="Y1046">
        <v>1440</v>
      </c>
      <c r="Z1046" s="3">
        <f t="shared" si="16"/>
        <v>480</v>
      </c>
    </row>
    <row r="1047" spans="1:26" hidden="1">
      <c r="A1047" t="s">
        <v>707</v>
      </c>
      <c r="B1047" s="6">
        <v>44287</v>
      </c>
      <c r="C1047" s="6">
        <v>44651</v>
      </c>
      <c r="D1047">
        <v>20210401</v>
      </c>
      <c r="E1047">
        <v>20220331</v>
      </c>
      <c r="F1047" t="s">
        <v>7035</v>
      </c>
      <c r="G1047" t="s">
        <v>7036</v>
      </c>
      <c r="H1047" t="s">
        <v>590</v>
      </c>
      <c r="I1047" t="s">
        <v>1462</v>
      </c>
      <c r="J1047">
        <v>10</v>
      </c>
      <c r="K1047">
        <v>7199.92</v>
      </c>
      <c r="X1047">
        <v>10</v>
      </c>
      <c r="Y1047">
        <v>7199.92</v>
      </c>
      <c r="Z1047" s="3">
        <f t="shared" si="16"/>
        <v>719.99199999999996</v>
      </c>
    </row>
    <row r="1048" spans="1:26" hidden="1">
      <c r="A1048" t="s">
        <v>707</v>
      </c>
      <c r="B1048" s="6">
        <v>44287</v>
      </c>
      <c r="C1048" s="6">
        <v>44651</v>
      </c>
      <c r="D1048">
        <v>20210401</v>
      </c>
      <c r="E1048">
        <v>20220331</v>
      </c>
      <c r="F1048" t="s">
        <v>4441</v>
      </c>
      <c r="G1048" t="s">
        <v>4442</v>
      </c>
      <c r="H1048" t="s">
        <v>590</v>
      </c>
      <c r="I1048" t="s">
        <v>805</v>
      </c>
      <c r="L1048">
        <v>52</v>
      </c>
      <c r="M1048">
        <v>9000</v>
      </c>
      <c r="N1048">
        <v>-25</v>
      </c>
      <c r="O1048">
        <v>-4282.41</v>
      </c>
      <c r="X1048">
        <v>27</v>
      </c>
      <c r="Y1048">
        <v>4717.59</v>
      </c>
      <c r="Z1048" s="3">
        <f t="shared" si="16"/>
        <v>171.29640000000001</v>
      </c>
    </row>
    <row r="1049" spans="1:26" hidden="1">
      <c r="A1049" t="s">
        <v>707</v>
      </c>
      <c r="B1049" s="6">
        <v>44287</v>
      </c>
      <c r="C1049" s="6">
        <v>44651</v>
      </c>
      <c r="D1049">
        <v>20210401</v>
      </c>
      <c r="E1049">
        <v>20220331</v>
      </c>
      <c r="F1049" t="s">
        <v>4453</v>
      </c>
      <c r="G1049" t="s">
        <v>4454</v>
      </c>
      <c r="H1049" t="s">
        <v>590</v>
      </c>
      <c r="I1049" t="s">
        <v>1462</v>
      </c>
      <c r="J1049">
        <v>11</v>
      </c>
      <c r="K1049">
        <v>6875</v>
      </c>
      <c r="X1049">
        <v>11</v>
      </c>
      <c r="Y1049">
        <v>6875</v>
      </c>
      <c r="Z1049" s="3">
        <f t="shared" si="16"/>
        <v>625</v>
      </c>
    </row>
    <row r="1050" spans="1:26" hidden="1">
      <c r="A1050" t="s">
        <v>707</v>
      </c>
      <c r="B1050" s="6">
        <v>44287</v>
      </c>
      <c r="C1050" s="6">
        <v>44651</v>
      </c>
      <c r="D1050">
        <v>20210401</v>
      </c>
      <c r="E1050">
        <v>20220331</v>
      </c>
      <c r="F1050" t="s">
        <v>4455</v>
      </c>
      <c r="G1050" t="s">
        <v>4456</v>
      </c>
      <c r="H1050" t="s">
        <v>590</v>
      </c>
      <c r="I1050" t="s">
        <v>1462</v>
      </c>
      <c r="J1050">
        <v>46</v>
      </c>
      <c r="K1050">
        <v>3696.65</v>
      </c>
      <c r="N1050">
        <v>-46</v>
      </c>
      <c r="O1050">
        <v>-3696.56</v>
      </c>
      <c r="Y1050">
        <v>0.09</v>
      </c>
      <c r="Z1050" s="3">
        <f t="shared" si="16"/>
        <v>80.36</v>
      </c>
    </row>
    <row r="1051" spans="1:26" hidden="1">
      <c r="A1051" t="s">
        <v>707</v>
      </c>
      <c r="B1051" s="6">
        <v>44287</v>
      </c>
      <c r="C1051" s="6">
        <v>44651</v>
      </c>
      <c r="D1051">
        <v>20210401</v>
      </c>
      <c r="E1051">
        <v>20220331</v>
      </c>
      <c r="F1051" t="s">
        <v>4457</v>
      </c>
      <c r="G1051" t="s">
        <v>4458</v>
      </c>
      <c r="H1051" t="s">
        <v>590</v>
      </c>
      <c r="I1051" t="s">
        <v>805</v>
      </c>
      <c r="L1051">
        <v>191</v>
      </c>
      <c r="M1051">
        <v>5730</v>
      </c>
      <c r="N1051">
        <v>-59</v>
      </c>
      <c r="O1051">
        <v>-1769.99</v>
      </c>
      <c r="X1051">
        <v>132</v>
      </c>
      <c r="Y1051">
        <v>3960.01</v>
      </c>
      <c r="Z1051" s="3">
        <f t="shared" si="16"/>
        <v>29.999830508474577</v>
      </c>
    </row>
    <row r="1052" spans="1:26" hidden="1">
      <c r="A1052" t="s">
        <v>707</v>
      </c>
      <c r="B1052" s="6">
        <v>44287</v>
      </c>
      <c r="C1052" s="6">
        <v>44651</v>
      </c>
      <c r="D1052">
        <v>20210401</v>
      </c>
      <c r="E1052">
        <v>20220331</v>
      </c>
      <c r="F1052" t="s">
        <v>4459</v>
      </c>
      <c r="G1052" t="s">
        <v>4460</v>
      </c>
      <c r="H1052" t="s">
        <v>590</v>
      </c>
      <c r="I1052" t="s">
        <v>805</v>
      </c>
      <c r="J1052">
        <v>6</v>
      </c>
      <c r="K1052">
        <v>13500.01</v>
      </c>
      <c r="L1052">
        <v>100</v>
      </c>
      <c r="M1052">
        <v>216800</v>
      </c>
      <c r="N1052">
        <v>-72</v>
      </c>
      <c r="O1052">
        <v>-155887.5</v>
      </c>
      <c r="X1052">
        <v>34</v>
      </c>
      <c r="Y1052">
        <v>74412.509999999995</v>
      </c>
      <c r="Z1052" s="3">
        <f t="shared" si="16"/>
        <v>2165.1041666666665</v>
      </c>
    </row>
    <row r="1053" spans="1:26" hidden="1">
      <c r="A1053" t="s">
        <v>707</v>
      </c>
      <c r="B1053" s="6">
        <v>44287</v>
      </c>
      <c r="C1053" s="6">
        <v>44651</v>
      </c>
      <c r="D1053">
        <v>20210401</v>
      </c>
      <c r="E1053">
        <v>20220331</v>
      </c>
      <c r="F1053" t="s">
        <v>4461</v>
      </c>
      <c r="G1053" t="s">
        <v>4462</v>
      </c>
      <c r="H1053" t="s">
        <v>590</v>
      </c>
      <c r="I1053" t="s">
        <v>1462</v>
      </c>
      <c r="J1053">
        <v>17</v>
      </c>
      <c r="K1053">
        <v>8803.27</v>
      </c>
      <c r="L1053">
        <v>12</v>
      </c>
      <c r="M1053">
        <v>6000</v>
      </c>
      <c r="N1053">
        <v>-1</v>
      </c>
      <c r="O1053">
        <v>-510.46</v>
      </c>
      <c r="X1053">
        <v>28</v>
      </c>
      <c r="Y1053">
        <v>14292.81</v>
      </c>
      <c r="Z1053" s="3">
        <f t="shared" si="16"/>
        <v>510.46</v>
      </c>
    </row>
    <row r="1054" spans="1:26" hidden="1">
      <c r="A1054" t="s">
        <v>707</v>
      </c>
      <c r="B1054" s="6">
        <v>44287</v>
      </c>
      <c r="C1054" s="6">
        <v>44651</v>
      </c>
      <c r="D1054">
        <v>20210401</v>
      </c>
      <c r="E1054">
        <v>20220331</v>
      </c>
      <c r="F1054" t="s">
        <v>4463</v>
      </c>
      <c r="G1054" t="s">
        <v>4464</v>
      </c>
      <c r="H1054" t="s">
        <v>590</v>
      </c>
      <c r="I1054" t="s">
        <v>1462</v>
      </c>
      <c r="J1054">
        <v>20</v>
      </c>
      <c r="K1054">
        <v>32068.38</v>
      </c>
      <c r="X1054">
        <v>20</v>
      </c>
      <c r="Y1054">
        <v>32068.38</v>
      </c>
      <c r="Z1054" s="3">
        <f t="shared" si="16"/>
        <v>1603.4190000000001</v>
      </c>
    </row>
    <row r="1055" spans="1:26" hidden="1">
      <c r="A1055" t="s">
        <v>707</v>
      </c>
      <c r="B1055" s="6">
        <v>44287</v>
      </c>
      <c r="C1055" s="6">
        <v>44651</v>
      </c>
      <c r="D1055">
        <v>20210401</v>
      </c>
      <c r="E1055">
        <v>20220331</v>
      </c>
      <c r="F1055" t="s">
        <v>7037</v>
      </c>
      <c r="G1055" t="s">
        <v>7038</v>
      </c>
      <c r="H1055" t="s">
        <v>590</v>
      </c>
      <c r="I1055" t="s">
        <v>1462</v>
      </c>
      <c r="J1055">
        <v>8</v>
      </c>
      <c r="K1055">
        <v>19200</v>
      </c>
      <c r="X1055">
        <v>8</v>
      </c>
      <c r="Y1055">
        <v>19200</v>
      </c>
      <c r="Z1055" s="3">
        <f t="shared" si="16"/>
        <v>2400</v>
      </c>
    </row>
    <row r="1056" spans="1:26" hidden="1">
      <c r="A1056" t="s">
        <v>707</v>
      </c>
      <c r="B1056" s="6">
        <v>44287</v>
      </c>
      <c r="C1056" s="6">
        <v>44651</v>
      </c>
      <c r="D1056">
        <v>20210401</v>
      </c>
      <c r="E1056">
        <v>20220331</v>
      </c>
      <c r="F1056" t="s">
        <v>7039</v>
      </c>
      <c r="G1056" t="s">
        <v>7040</v>
      </c>
      <c r="H1056" t="s">
        <v>590</v>
      </c>
      <c r="I1056" t="s">
        <v>1462</v>
      </c>
      <c r="J1056">
        <v>1</v>
      </c>
      <c r="K1056">
        <v>10071</v>
      </c>
      <c r="L1056">
        <v>3</v>
      </c>
      <c r="M1056">
        <v>41127.96</v>
      </c>
      <c r="R1056">
        <v>-1</v>
      </c>
      <c r="S1056">
        <v>-12549.75</v>
      </c>
      <c r="X1056">
        <v>3</v>
      </c>
      <c r="Y1056">
        <v>38649.21</v>
      </c>
      <c r="Z1056" s="3">
        <f t="shared" si="16"/>
        <v>12883.07</v>
      </c>
    </row>
    <row r="1057" spans="1:26" hidden="1">
      <c r="A1057" t="s">
        <v>707</v>
      </c>
      <c r="B1057" s="6">
        <v>44287</v>
      </c>
      <c r="C1057" s="6">
        <v>44651</v>
      </c>
      <c r="D1057">
        <v>20210401</v>
      </c>
      <c r="E1057">
        <v>20220331</v>
      </c>
      <c r="F1057" t="s">
        <v>7041</v>
      </c>
      <c r="G1057" t="s">
        <v>7042</v>
      </c>
      <c r="H1057" t="s">
        <v>590</v>
      </c>
      <c r="I1057" t="s">
        <v>1462</v>
      </c>
      <c r="J1057">
        <v>12</v>
      </c>
      <c r="K1057">
        <v>408</v>
      </c>
      <c r="L1057">
        <v>12</v>
      </c>
      <c r="M1057">
        <v>336</v>
      </c>
      <c r="N1057">
        <v>-8</v>
      </c>
      <c r="O1057">
        <v>-272</v>
      </c>
      <c r="X1057">
        <v>16</v>
      </c>
      <c r="Y1057">
        <v>472</v>
      </c>
      <c r="Z1057" s="3">
        <f t="shared" si="16"/>
        <v>34</v>
      </c>
    </row>
    <row r="1058" spans="1:26" hidden="1">
      <c r="A1058" t="s">
        <v>707</v>
      </c>
      <c r="B1058" s="6">
        <v>44287</v>
      </c>
      <c r="C1058" s="6">
        <v>44651</v>
      </c>
      <c r="D1058">
        <v>20210401</v>
      </c>
      <c r="E1058">
        <v>20220331</v>
      </c>
      <c r="F1058" t="s">
        <v>7043</v>
      </c>
      <c r="G1058" t="s">
        <v>7044</v>
      </c>
      <c r="H1058" t="s">
        <v>590</v>
      </c>
      <c r="I1058" t="s">
        <v>1462</v>
      </c>
      <c r="L1058">
        <v>2</v>
      </c>
      <c r="M1058">
        <v>5600</v>
      </c>
      <c r="X1058">
        <v>2</v>
      </c>
      <c r="Y1058">
        <v>5600</v>
      </c>
      <c r="Z1058" s="3">
        <f t="shared" si="16"/>
        <v>2800</v>
      </c>
    </row>
    <row r="1059" spans="1:26" hidden="1">
      <c r="A1059" t="s">
        <v>707</v>
      </c>
      <c r="B1059" s="6">
        <v>44287</v>
      </c>
      <c r="C1059" s="6">
        <v>44651</v>
      </c>
      <c r="D1059">
        <v>20210401</v>
      </c>
      <c r="E1059">
        <v>20220331</v>
      </c>
      <c r="F1059" t="s">
        <v>7045</v>
      </c>
      <c r="G1059" t="s">
        <v>7046</v>
      </c>
      <c r="H1059" t="s">
        <v>590</v>
      </c>
      <c r="I1059" t="s">
        <v>1462</v>
      </c>
      <c r="J1059">
        <v>2</v>
      </c>
      <c r="K1059">
        <v>4040</v>
      </c>
      <c r="X1059">
        <v>2</v>
      </c>
      <c r="Y1059">
        <v>4040</v>
      </c>
      <c r="Z1059" s="3">
        <f t="shared" si="16"/>
        <v>2020</v>
      </c>
    </row>
    <row r="1060" spans="1:26" hidden="1">
      <c r="A1060" t="s">
        <v>707</v>
      </c>
      <c r="B1060" s="6">
        <v>44287</v>
      </c>
      <c r="C1060" s="6">
        <v>44651</v>
      </c>
      <c r="D1060">
        <v>20210401</v>
      </c>
      <c r="E1060">
        <v>20220331</v>
      </c>
      <c r="F1060" t="s">
        <v>7047</v>
      </c>
      <c r="G1060" t="s">
        <v>7048</v>
      </c>
      <c r="H1060" t="s">
        <v>590</v>
      </c>
      <c r="I1060" t="s">
        <v>1462</v>
      </c>
      <c r="L1060">
        <v>3</v>
      </c>
      <c r="M1060">
        <v>1211.26</v>
      </c>
      <c r="X1060">
        <v>3</v>
      </c>
      <c r="Y1060">
        <v>1211.26</v>
      </c>
      <c r="Z1060" s="3">
        <f t="shared" si="16"/>
        <v>403.75333333333333</v>
      </c>
    </row>
    <row r="1061" spans="1:26" hidden="1">
      <c r="A1061" t="s">
        <v>707</v>
      </c>
      <c r="B1061" s="6">
        <v>44287</v>
      </c>
      <c r="C1061" s="6">
        <v>44651</v>
      </c>
      <c r="D1061">
        <v>20210401</v>
      </c>
      <c r="E1061">
        <v>20220331</v>
      </c>
      <c r="F1061" t="s">
        <v>7049</v>
      </c>
      <c r="G1061" t="s">
        <v>7050</v>
      </c>
      <c r="H1061" t="s">
        <v>590</v>
      </c>
      <c r="I1061" t="s">
        <v>1462</v>
      </c>
      <c r="J1061">
        <v>2</v>
      </c>
      <c r="K1061">
        <v>4851.95</v>
      </c>
      <c r="X1061">
        <v>2</v>
      </c>
      <c r="Y1061">
        <v>4851.95</v>
      </c>
      <c r="Z1061" s="3">
        <f t="shared" si="16"/>
        <v>2425.9749999999999</v>
      </c>
    </row>
    <row r="1062" spans="1:26" hidden="1">
      <c r="A1062" t="s">
        <v>707</v>
      </c>
      <c r="B1062" s="6">
        <v>44287</v>
      </c>
      <c r="C1062" s="6">
        <v>44651</v>
      </c>
      <c r="D1062">
        <v>20210401</v>
      </c>
      <c r="E1062">
        <v>20220331</v>
      </c>
      <c r="F1062" t="s">
        <v>4491</v>
      </c>
      <c r="G1062" t="s">
        <v>4492</v>
      </c>
      <c r="H1062" t="s">
        <v>590</v>
      </c>
      <c r="I1062" t="s">
        <v>1462</v>
      </c>
      <c r="J1062">
        <v>1</v>
      </c>
      <c r="K1062">
        <v>529.47</v>
      </c>
      <c r="L1062">
        <v>4</v>
      </c>
      <c r="M1062">
        <v>2069.3000000000002</v>
      </c>
      <c r="N1062">
        <v>-3</v>
      </c>
      <c r="O1062">
        <v>-1528.47</v>
      </c>
      <c r="X1062">
        <v>2</v>
      </c>
      <c r="Y1062">
        <v>1070.3</v>
      </c>
      <c r="Z1062" s="3">
        <f t="shared" si="16"/>
        <v>509.49</v>
      </c>
    </row>
    <row r="1063" spans="1:26" hidden="1">
      <c r="A1063" t="s">
        <v>707</v>
      </c>
      <c r="B1063" s="6">
        <v>44287</v>
      </c>
      <c r="C1063" s="6">
        <v>44651</v>
      </c>
      <c r="D1063">
        <v>20210401</v>
      </c>
      <c r="E1063">
        <v>20220331</v>
      </c>
      <c r="F1063" t="s">
        <v>4493</v>
      </c>
      <c r="G1063" t="s">
        <v>4494</v>
      </c>
      <c r="H1063" t="s">
        <v>590</v>
      </c>
      <c r="I1063" t="s">
        <v>1462</v>
      </c>
      <c r="L1063">
        <v>1</v>
      </c>
      <c r="M1063">
        <v>12393</v>
      </c>
      <c r="X1063">
        <v>1</v>
      </c>
      <c r="Y1063">
        <v>12393</v>
      </c>
      <c r="Z1063" s="3">
        <f t="shared" si="16"/>
        <v>12393</v>
      </c>
    </row>
    <row r="1064" spans="1:26" hidden="1">
      <c r="A1064" t="s">
        <v>707</v>
      </c>
      <c r="B1064" s="6">
        <v>44287</v>
      </c>
      <c r="C1064" s="6">
        <v>44651</v>
      </c>
      <c r="D1064">
        <v>20210401</v>
      </c>
      <c r="E1064">
        <v>20220331</v>
      </c>
      <c r="F1064" t="s">
        <v>4495</v>
      </c>
      <c r="G1064" t="s">
        <v>4496</v>
      </c>
      <c r="H1064" t="s">
        <v>590</v>
      </c>
      <c r="I1064" t="s">
        <v>805</v>
      </c>
      <c r="L1064">
        <v>36</v>
      </c>
      <c r="M1064">
        <v>1141.3599999999999</v>
      </c>
      <c r="N1064">
        <v>-4</v>
      </c>
      <c r="O1064">
        <v>-128</v>
      </c>
      <c r="X1064">
        <v>32</v>
      </c>
      <c r="Y1064">
        <v>1013.36</v>
      </c>
      <c r="Z1064" s="3">
        <f t="shared" si="16"/>
        <v>32</v>
      </c>
    </row>
    <row r="1065" spans="1:26" hidden="1">
      <c r="A1065" t="s">
        <v>707</v>
      </c>
      <c r="B1065" s="6">
        <v>44287</v>
      </c>
      <c r="C1065" s="6">
        <v>44651</v>
      </c>
      <c r="D1065">
        <v>20210401</v>
      </c>
      <c r="E1065">
        <v>20220331</v>
      </c>
      <c r="F1065" t="s">
        <v>4499</v>
      </c>
      <c r="G1065" t="s">
        <v>4500</v>
      </c>
      <c r="H1065" t="s">
        <v>590</v>
      </c>
      <c r="I1065" t="s">
        <v>1462</v>
      </c>
      <c r="J1065">
        <v>1</v>
      </c>
      <c r="K1065">
        <v>2981.16</v>
      </c>
      <c r="L1065">
        <v>2</v>
      </c>
      <c r="M1065">
        <v>5561.36</v>
      </c>
      <c r="X1065">
        <v>3</v>
      </c>
      <c r="Y1065">
        <v>8542.52</v>
      </c>
      <c r="Z1065" s="3">
        <f t="shared" si="16"/>
        <v>2847.5066666666667</v>
      </c>
    </row>
    <row r="1066" spans="1:26" hidden="1">
      <c r="A1066" t="s">
        <v>707</v>
      </c>
      <c r="B1066" s="6">
        <v>44287</v>
      </c>
      <c r="C1066" s="6">
        <v>44651</v>
      </c>
      <c r="D1066">
        <v>20210401</v>
      </c>
      <c r="E1066">
        <v>20220331</v>
      </c>
      <c r="F1066" t="s">
        <v>7051</v>
      </c>
      <c r="G1066" t="s">
        <v>7052</v>
      </c>
      <c r="H1066" t="s">
        <v>590</v>
      </c>
      <c r="I1066" t="s">
        <v>805</v>
      </c>
      <c r="J1066">
        <v>2</v>
      </c>
      <c r="K1066">
        <v>25389</v>
      </c>
      <c r="X1066">
        <v>2</v>
      </c>
      <c r="Y1066">
        <v>25389</v>
      </c>
      <c r="Z1066" s="3">
        <f t="shared" si="16"/>
        <v>12694.5</v>
      </c>
    </row>
    <row r="1067" spans="1:26" hidden="1">
      <c r="A1067" t="s">
        <v>707</v>
      </c>
      <c r="B1067" s="6">
        <v>44287</v>
      </c>
      <c r="C1067" s="6">
        <v>44651</v>
      </c>
      <c r="D1067">
        <v>20210401</v>
      </c>
      <c r="E1067">
        <v>20220331</v>
      </c>
      <c r="F1067" t="s">
        <v>7053</v>
      </c>
      <c r="G1067" t="s">
        <v>7054</v>
      </c>
      <c r="H1067" t="s">
        <v>590</v>
      </c>
      <c r="I1067" t="s">
        <v>1462</v>
      </c>
      <c r="L1067">
        <v>1</v>
      </c>
      <c r="M1067">
        <v>34853.300000000003</v>
      </c>
      <c r="N1067">
        <v>-1</v>
      </c>
      <c r="O1067">
        <v>-34853.300000000003</v>
      </c>
      <c r="Z1067" s="3">
        <f t="shared" si="16"/>
        <v>34853.300000000003</v>
      </c>
    </row>
    <row r="1068" spans="1:26" hidden="1">
      <c r="A1068" t="s">
        <v>707</v>
      </c>
      <c r="B1068" s="6">
        <v>44287</v>
      </c>
      <c r="C1068" s="6">
        <v>44651</v>
      </c>
      <c r="D1068">
        <v>20210401</v>
      </c>
      <c r="E1068">
        <v>20220331</v>
      </c>
      <c r="F1068" t="s">
        <v>7055</v>
      </c>
      <c r="G1068" t="s">
        <v>7056</v>
      </c>
      <c r="H1068" t="s">
        <v>590</v>
      </c>
      <c r="I1068" t="s">
        <v>805</v>
      </c>
      <c r="J1068">
        <v>1</v>
      </c>
      <c r="K1068">
        <v>4833.57</v>
      </c>
      <c r="X1068">
        <v>1</v>
      </c>
      <c r="Y1068">
        <v>4833.57</v>
      </c>
      <c r="Z1068" s="3">
        <f t="shared" si="16"/>
        <v>4833.57</v>
      </c>
    </row>
    <row r="1069" spans="1:26" hidden="1">
      <c r="A1069" t="s">
        <v>707</v>
      </c>
      <c r="B1069" s="6">
        <v>44287</v>
      </c>
      <c r="C1069" s="6">
        <v>44651</v>
      </c>
      <c r="D1069">
        <v>20210401</v>
      </c>
      <c r="E1069">
        <v>20220331</v>
      </c>
      <c r="F1069" t="s">
        <v>4501</v>
      </c>
      <c r="G1069" t="s">
        <v>4502</v>
      </c>
      <c r="H1069" t="s">
        <v>590</v>
      </c>
      <c r="I1069" t="s">
        <v>1462</v>
      </c>
      <c r="J1069">
        <v>14</v>
      </c>
      <c r="K1069">
        <v>9079.2800000000007</v>
      </c>
      <c r="L1069">
        <v>8</v>
      </c>
      <c r="M1069">
        <v>5614.44</v>
      </c>
      <c r="N1069">
        <v>-10</v>
      </c>
      <c r="O1069">
        <v>-6626.15</v>
      </c>
      <c r="X1069">
        <v>12</v>
      </c>
      <c r="Y1069">
        <v>8067.57</v>
      </c>
      <c r="Z1069" s="3">
        <f t="shared" si="16"/>
        <v>662.61500000000001</v>
      </c>
    </row>
    <row r="1070" spans="1:26" hidden="1">
      <c r="A1070" t="s">
        <v>707</v>
      </c>
      <c r="B1070" s="6">
        <v>44287</v>
      </c>
      <c r="C1070" s="6">
        <v>44651</v>
      </c>
      <c r="D1070">
        <v>20210401</v>
      </c>
      <c r="E1070">
        <v>20220331</v>
      </c>
      <c r="F1070" t="s">
        <v>7057</v>
      </c>
      <c r="G1070" t="s">
        <v>7058</v>
      </c>
      <c r="H1070" t="s">
        <v>590</v>
      </c>
      <c r="I1070" t="s">
        <v>1462</v>
      </c>
      <c r="L1070">
        <v>10</v>
      </c>
      <c r="M1070">
        <v>958.23</v>
      </c>
      <c r="N1070">
        <v>-6</v>
      </c>
      <c r="O1070">
        <v>-571.27</v>
      </c>
      <c r="X1070">
        <v>4</v>
      </c>
      <c r="Y1070">
        <v>386.96</v>
      </c>
      <c r="Z1070" s="3">
        <f t="shared" si="16"/>
        <v>95.211666666666659</v>
      </c>
    </row>
    <row r="1071" spans="1:26" hidden="1">
      <c r="A1071" t="s">
        <v>707</v>
      </c>
      <c r="B1071" s="6">
        <v>44287</v>
      </c>
      <c r="C1071" s="6">
        <v>44651</v>
      </c>
      <c r="D1071">
        <v>20210401</v>
      </c>
      <c r="E1071">
        <v>20220331</v>
      </c>
      <c r="F1071" t="s">
        <v>7059</v>
      </c>
      <c r="G1071" t="s">
        <v>7060</v>
      </c>
      <c r="H1071" t="s">
        <v>590</v>
      </c>
      <c r="I1071" t="s">
        <v>1462</v>
      </c>
      <c r="J1071">
        <v>4</v>
      </c>
      <c r="K1071">
        <v>7491.34</v>
      </c>
      <c r="N1071">
        <v>-1</v>
      </c>
      <c r="O1071">
        <v>-1872.84</v>
      </c>
      <c r="X1071">
        <v>3</v>
      </c>
      <c r="Y1071">
        <v>5618.5</v>
      </c>
      <c r="Z1071" s="3">
        <f t="shared" si="16"/>
        <v>1872.84</v>
      </c>
    </row>
    <row r="1072" spans="1:26" hidden="1">
      <c r="A1072" t="s">
        <v>707</v>
      </c>
      <c r="B1072" s="6">
        <v>44287</v>
      </c>
      <c r="C1072" s="6">
        <v>44651</v>
      </c>
      <c r="D1072">
        <v>20210401</v>
      </c>
      <c r="E1072">
        <v>20220331</v>
      </c>
      <c r="F1072" t="s">
        <v>7061</v>
      </c>
      <c r="G1072" t="s">
        <v>7062</v>
      </c>
      <c r="H1072" t="s">
        <v>3847</v>
      </c>
      <c r="I1072" t="s">
        <v>1462</v>
      </c>
      <c r="J1072">
        <v>5</v>
      </c>
      <c r="K1072">
        <v>1216.3499999999999</v>
      </c>
      <c r="L1072">
        <v>14</v>
      </c>
      <c r="M1072">
        <v>3822.32</v>
      </c>
      <c r="N1072">
        <v>-8</v>
      </c>
      <c r="O1072">
        <v>-2010.24</v>
      </c>
      <c r="X1072">
        <v>11</v>
      </c>
      <c r="Y1072">
        <v>3028.43</v>
      </c>
      <c r="Z1072" s="3">
        <f t="shared" si="16"/>
        <v>251.28</v>
      </c>
    </row>
    <row r="1073" spans="1:26" hidden="1">
      <c r="A1073" t="s">
        <v>707</v>
      </c>
      <c r="B1073" s="6">
        <v>44287</v>
      </c>
      <c r="C1073" s="6">
        <v>44651</v>
      </c>
      <c r="D1073">
        <v>20210401</v>
      </c>
      <c r="E1073">
        <v>20220331</v>
      </c>
      <c r="F1073" t="s">
        <v>7063</v>
      </c>
      <c r="G1073" t="s">
        <v>7064</v>
      </c>
      <c r="H1073" t="s">
        <v>590</v>
      </c>
      <c r="I1073" t="s">
        <v>805</v>
      </c>
      <c r="J1073">
        <v>31</v>
      </c>
      <c r="K1073">
        <v>1993.96</v>
      </c>
      <c r="L1073">
        <v>18</v>
      </c>
      <c r="M1073">
        <v>1156.68</v>
      </c>
      <c r="N1073">
        <v>-28</v>
      </c>
      <c r="O1073">
        <v>-1800.64</v>
      </c>
      <c r="X1073">
        <v>21</v>
      </c>
      <c r="Y1073">
        <v>1350</v>
      </c>
      <c r="Z1073" s="3">
        <f t="shared" si="16"/>
        <v>64.308571428571426</v>
      </c>
    </row>
    <row r="1074" spans="1:26" hidden="1">
      <c r="A1074" t="s">
        <v>707</v>
      </c>
      <c r="B1074" s="6">
        <v>44287</v>
      </c>
      <c r="C1074" s="6">
        <v>44651</v>
      </c>
      <c r="D1074">
        <v>20210401</v>
      </c>
      <c r="E1074">
        <v>20220331</v>
      </c>
      <c r="F1074" t="s">
        <v>7065</v>
      </c>
      <c r="G1074" t="s">
        <v>7066</v>
      </c>
      <c r="H1074" t="s">
        <v>590</v>
      </c>
      <c r="I1074" t="s">
        <v>1462</v>
      </c>
      <c r="J1074">
        <v>6</v>
      </c>
      <c r="K1074">
        <v>5700</v>
      </c>
      <c r="X1074">
        <v>6</v>
      </c>
      <c r="Y1074">
        <v>5700</v>
      </c>
      <c r="Z1074" s="3">
        <f t="shared" si="16"/>
        <v>950</v>
      </c>
    </row>
    <row r="1075" spans="1:26" hidden="1">
      <c r="A1075" t="s">
        <v>707</v>
      </c>
      <c r="B1075" s="6">
        <v>44287</v>
      </c>
      <c r="C1075" s="6">
        <v>44651</v>
      </c>
      <c r="D1075">
        <v>20210401</v>
      </c>
      <c r="E1075">
        <v>20220331</v>
      </c>
      <c r="F1075" t="s">
        <v>4513</v>
      </c>
      <c r="G1075" t="s">
        <v>4514</v>
      </c>
      <c r="H1075" t="s">
        <v>590</v>
      </c>
      <c r="I1075" t="s">
        <v>1462</v>
      </c>
      <c r="L1075">
        <v>20</v>
      </c>
      <c r="M1075">
        <v>1300</v>
      </c>
      <c r="R1075">
        <v>-10</v>
      </c>
      <c r="S1075">
        <v>-650</v>
      </c>
      <c r="X1075">
        <v>10</v>
      </c>
      <c r="Y1075">
        <v>650</v>
      </c>
      <c r="Z1075" s="3">
        <f t="shared" si="16"/>
        <v>65</v>
      </c>
    </row>
    <row r="1076" spans="1:26" hidden="1">
      <c r="A1076" t="s">
        <v>707</v>
      </c>
      <c r="B1076" s="6">
        <v>44287</v>
      </c>
      <c r="C1076" s="6">
        <v>44651</v>
      </c>
      <c r="D1076">
        <v>20210401</v>
      </c>
      <c r="E1076">
        <v>20220331</v>
      </c>
      <c r="F1076" t="s">
        <v>4515</v>
      </c>
      <c r="G1076" t="s">
        <v>4516</v>
      </c>
      <c r="H1076" t="s">
        <v>590</v>
      </c>
      <c r="I1076" t="s">
        <v>1462</v>
      </c>
      <c r="L1076">
        <v>20</v>
      </c>
      <c r="M1076">
        <v>400</v>
      </c>
      <c r="N1076">
        <v>-4</v>
      </c>
      <c r="O1076">
        <v>-80</v>
      </c>
      <c r="R1076">
        <v>-6</v>
      </c>
      <c r="S1076">
        <v>-120</v>
      </c>
      <c r="X1076">
        <v>10</v>
      </c>
      <c r="Y1076">
        <v>200</v>
      </c>
      <c r="Z1076" s="3">
        <f t="shared" si="16"/>
        <v>20</v>
      </c>
    </row>
    <row r="1077" spans="1:26" hidden="1">
      <c r="A1077" t="s">
        <v>707</v>
      </c>
      <c r="B1077" s="6">
        <v>44287</v>
      </c>
      <c r="C1077" s="6">
        <v>44651</v>
      </c>
      <c r="D1077">
        <v>20210401</v>
      </c>
      <c r="E1077">
        <v>20220331</v>
      </c>
      <c r="F1077" t="s">
        <v>4517</v>
      </c>
      <c r="G1077" t="s">
        <v>4518</v>
      </c>
      <c r="H1077" t="s">
        <v>590</v>
      </c>
      <c r="I1077" t="s">
        <v>805</v>
      </c>
      <c r="J1077">
        <v>735</v>
      </c>
      <c r="K1077">
        <v>19126.02</v>
      </c>
      <c r="L1077">
        <v>300</v>
      </c>
      <c r="M1077">
        <v>7800</v>
      </c>
      <c r="N1077">
        <v>-152</v>
      </c>
      <c r="O1077">
        <v>-3954.2</v>
      </c>
      <c r="R1077">
        <v>-453</v>
      </c>
      <c r="S1077">
        <v>-11785.31</v>
      </c>
      <c r="X1077">
        <v>430</v>
      </c>
      <c r="Y1077">
        <v>11186.51</v>
      </c>
      <c r="Z1077" s="3">
        <f t="shared" si="16"/>
        <v>26.014473684210525</v>
      </c>
    </row>
    <row r="1078" spans="1:26" hidden="1">
      <c r="A1078" t="s">
        <v>707</v>
      </c>
      <c r="B1078" s="6">
        <v>44287</v>
      </c>
      <c r="C1078" s="6">
        <v>44651</v>
      </c>
      <c r="D1078">
        <v>20210401</v>
      </c>
      <c r="E1078">
        <v>20220331</v>
      </c>
      <c r="F1078" t="s">
        <v>4519</v>
      </c>
      <c r="G1078" t="s">
        <v>4520</v>
      </c>
      <c r="H1078" t="s">
        <v>590</v>
      </c>
      <c r="I1078" t="s">
        <v>1462</v>
      </c>
      <c r="J1078">
        <v>20</v>
      </c>
      <c r="K1078">
        <v>1723.59</v>
      </c>
      <c r="L1078">
        <v>22</v>
      </c>
      <c r="M1078">
        <v>1760</v>
      </c>
      <c r="N1078">
        <v>-7</v>
      </c>
      <c r="O1078">
        <v>-589.41</v>
      </c>
      <c r="R1078">
        <v>-15</v>
      </c>
      <c r="S1078">
        <v>-1242.75</v>
      </c>
      <c r="X1078">
        <v>20</v>
      </c>
      <c r="Y1078">
        <v>1651.43</v>
      </c>
      <c r="Z1078" s="3">
        <f t="shared" si="16"/>
        <v>84.201428571428565</v>
      </c>
    </row>
    <row r="1079" spans="1:26" hidden="1">
      <c r="A1079" t="s">
        <v>707</v>
      </c>
      <c r="B1079" s="6">
        <v>44287</v>
      </c>
      <c r="C1079" s="6">
        <v>44651</v>
      </c>
      <c r="D1079">
        <v>20210401</v>
      </c>
      <c r="E1079">
        <v>20220331</v>
      </c>
      <c r="F1079" t="s">
        <v>4521</v>
      </c>
      <c r="G1079" t="s">
        <v>4522</v>
      </c>
      <c r="H1079" t="s">
        <v>590</v>
      </c>
      <c r="I1079" t="s">
        <v>1462</v>
      </c>
      <c r="L1079">
        <v>12</v>
      </c>
      <c r="M1079">
        <v>7812.03</v>
      </c>
      <c r="N1079">
        <v>-6</v>
      </c>
      <c r="O1079">
        <v>-3906.02</v>
      </c>
      <c r="P1079">
        <v>7</v>
      </c>
      <c r="Q1079">
        <v>4557.0200000000004</v>
      </c>
      <c r="R1079">
        <v>-12</v>
      </c>
      <c r="S1079">
        <v>-7812.03</v>
      </c>
      <c r="X1079">
        <v>1</v>
      </c>
      <c r="Y1079">
        <v>651</v>
      </c>
      <c r="Z1079" s="3">
        <f t="shared" si="16"/>
        <v>651.00000000000045</v>
      </c>
    </row>
    <row r="1080" spans="1:26" hidden="1">
      <c r="A1080" t="s">
        <v>707</v>
      </c>
      <c r="B1080" s="6">
        <v>44287</v>
      </c>
      <c r="C1080" s="6">
        <v>44651</v>
      </c>
      <c r="D1080">
        <v>20210401</v>
      </c>
      <c r="E1080">
        <v>20220331</v>
      </c>
      <c r="F1080" t="s">
        <v>4523</v>
      </c>
      <c r="G1080" t="s">
        <v>4524</v>
      </c>
      <c r="H1080" t="s">
        <v>590</v>
      </c>
      <c r="I1080" t="s">
        <v>1462</v>
      </c>
      <c r="J1080">
        <v>29</v>
      </c>
      <c r="K1080">
        <v>3190</v>
      </c>
      <c r="L1080">
        <v>10</v>
      </c>
      <c r="M1080">
        <v>1100</v>
      </c>
      <c r="N1080">
        <v>-4</v>
      </c>
      <c r="O1080">
        <v>-440</v>
      </c>
      <c r="R1080">
        <v>-14</v>
      </c>
      <c r="S1080">
        <v>-1540</v>
      </c>
      <c r="X1080">
        <v>21</v>
      </c>
      <c r="Y1080">
        <v>2310</v>
      </c>
      <c r="Z1080" s="3">
        <f t="shared" si="16"/>
        <v>110</v>
      </c>
    </row>
    <row r="1081" spans="1:26" hidden="1">
      <c r="A1081" t="s">
        <v>707</v>
      </c>
      <c r="B1081" s="6">
        <v>44287</v>
      </c>
      <c r="C1081" s="6">
        <v>44651</v>
      </c>
      <c r="D1081">
        <v>20210401</v>
      </c>
      <c r="E1081">
        <v>20220331</v>
      </c>
      <c r="F1081" t="s">
        <v>4525</v>
      </c>
      <c r="G1081" t="s">
        <v>4526</v>
      </c>
      <c r="H1081" t="s">
        <v>590</v>
      </c>
      <c r="I1081" t="s">
        <v>805</v>
      </c>
      <c r="J1081">
        <v>13</v>
      </c>
      <c r="K1081">
        <v>6641.3</v>
      </c>
      <c r="L1081">
        <v>17</v>
      </c>
      <c r="M1081">
        <v>9270</v>
      </c>
      <c r="N1081">
        <v>-8</v>
      </c>
      <c r="O1081">
        <v>-4170.2299999999996</v>
      </c>
      <c r="R1081">
        <v>-13</v>
      </c>
      <c r="S1081">
        <v>-6764.59</v>
      </c>
      <c r="X1081">
        <v>9</v>
      </c>
      <c r="Y1081">
        <v>4976.4799999999996</v>
      </c>
      <c r="Z1081" s="3">
        <f t="shared" si="16"/>
        <v>521.27874999999995</v>
      </c>
    </row>
    <row r="1082" spans="1:26" hidden="1">
      <c r="A1082" t="s">
        <v>707</v>
      </c>
      <c r="B1082" s="6">
        <v>44287</v>
      </c>
      <c r="C1082" s="6">
        <v>44651</v>
      </c>
      <c r="D1082">
        <v>20210401</v>
      </c>
      <c r="E1082">
        <v>20220331</v>
      </c>
      <c r="F1082" t="s">
        <v>4527</v>
      </c>
      <c r="G1082" t="s">
        <v>4528</v>
      </c>
      <c r="H1082" t="s">
        <v>590</v>
      </c>
      <c r="I1082" t="s">
        <v>1462</v>
      </c>
      <c r="J1082">
        <v>7</v>
      </c>
      <c r="K1082">
        <v>2624.97</v>
      </c>
      <c r="L1082">
        <v>12</v>
      </c>
      <c r="M1082">
        <v>6720</v>
      </c>
      <c r="N1082">
        <v>-1</v>
      </c>
      <c r="O1082">
        <v>-491.84</v>
      </c>
      <c r="R1082">
        <v>-7</v>
      </c>
      <c r="S1082">
        <v>-3442.88</v>
      </c>
      <c r="X1082">
        <v>11</v>
      </c>
      <c r="Y1082">
        <v>5410.25</v>
      </c>
      <c r="Z1082" s="3">
        <f t="shared" si="16"/>
        <v>491.84</v>
      </c>
    </row>
    <row r="1083" spans="1:26" hidden="1">
      <c r="A1083" t="s">
        <v>707</v>
      </c>
      <c r="B1083" s="6">
        <v>44287</v>
      </c>
      <c r="C1083" s="6">
        <v>44651</v>
      </c>
      <c r="D1083">
        <v>20210401</v>
      </c>
      <c r="E1083">
        <v>20220331</v>
      </c>
      <c r="F1083" t="s">
        <v>4529</v>
      </c>
      <c r="G1083" t="s">
        <v>4530</v>
      </c>
      <c r="H1083" t="s">
        <v>590</v>
      </c>
      <c r="I1083" t="s">
        <v>1462</v>
      </c>
      <c r="J1083">
        <v>9</v>
      </c>
      <c r="K1083">
        <v>1470.28</v>
      </c>
      <c r="L1083">
        <v>12</v>
      </c>
      <c r="M1083">
        <v>2160</v>
      </c>
      <c r="R1083">
        <v>-13</v>
      </c>
      <c r="S1083">
        <v>-2209.27</v>
      </c>
      <c r="X1083">
        <v>8</v>
      </c>
      <c r="Y1083">
        <v>1421.01</v>
      </c>
      <c r="Z1083" s="3">
        <f t="shared" si="16"/>
        <v>177.62625</v>
      </c>
    </row>
    <row r="1084" spans="1:26" hidden="1">
      <c r="A1084" t="s">
        <v>707</v>
      </c>
      <c r="B1084" s="6">
        <v>44287</v>
      </c>
      <c r="C1084" s="6">
        <v>44651</v>
      </c>
      <c r="D1084">
        <v>20210401</v>
      </c>
      <c r="E1084">
        <v>20220331</v>
      </c>
      <c r="F1084" t="s">
        <v>4533</v>
      </c>
      <c r="G1084" t="s">
        <v>4534</v>
      </c>
      <c r="H1084" t="s">
        <v>590</v>
      </c>
      <c r="I1084" t="s">
        <v>1462</v>
      </c>
      <c r="K1084">
        <v>0.03</v>
      </c>
      <c r="Y1084">
        <v>0.03</v>
      </c>
      <c r="Z1084" s="3" t="e">
        <f t="shared" si="16"/>
        <v>#DIV/0!</v>
      </c>
    </row>
    <row r="1085" spans="1:26" hidden="1">
      <c r="A1085" t="s">
        <v>707</v>
      </c>
      <c r="B1085" s="6">
        <v>44287</v>
      </c>
      <c r="C1085" s="6">
        <v>44651</v>
      </c>
      <c r="D1085">
        <v>20210401</v>
      </c>
      <c r="E1085">
        <v>20220331</v>
      </c>
      <c r="F1085" t="s">
        <v>4535</v>
      </c>
      <c r="G1085" t="s">
        <v>4536</v>
      </c>
      <c r="H1085" t="s">
        <v>590</v>
      </c>
      <c r="I1085" t="s">
        <v>1462</v>
      </c>
      <c r="J1085">
        <v>30</v>
      </c>
      <c r="K1085">
        <v>5756.06</v>
      </c>
      <c r="L1085">
        <v>10</v>
      </c>
      <c r="M1085">
        <v>1900</v>
      </c>
      <c r="N1085">
        <v>-7</v>
      </c>
      <c r="O1085">
        <v>-1339.24</v>
      </c>
      <c r="R1085">
        <v>-4</v>
      </c>
      <c r="S1085">
        <v>-766.66</v>
      </c>
      <c r="X1085">
        <v>29</v>
      </c>
      <c r="Y1085">
        <v>5550.16</v>
      </c>
      <c r="Z1085" s="3">
        <f t="shared" si="16"/>
        <v>191.32</v>
      </c>
    </row>
    <row r="1086" spans="1:26" hidden="1">
      <c r="A1086" t="s">
        <v>707</v>
      </c>
      <c r="B1086" s="6">
        <v>44287</v>
      </c>
      <c r="C1086" s="6">
        <v>44651</v>
      </c>
      <c r="D1086">
        <v>20210401</v>
      </c>
      <c r="E1086">
        <v>20220331</v>
      </c>
      <c r="F1086" t="s">
        <v>4537</v>
      </c>
      <c r="G1086" t="s">
        <v>4538</v>
      </c>
      <c r="H1086" t="s">
        <v>590</v>
      </c>
      <c r="I1086" t="s">
        <v>1462</v>
      </c>
      <c r="J1086">
        <v>5</v>
      </c>
      <c r="K1086">
        <v>1615.21</v>
      </c>
      <c r="N1086">
        <v>-2</v>
      </c>
      <c r="O1086">
        <v>-645.26</v>
      </c>
      <c r="X1086">
        <v>3</v>
      </c>
      <c r="Y1086">
        <v>969.95</v>
      </c>
      <c r="Z1086" s="3">
        <f t="shared" si="16"/>
        <v>322.63</v>
      </c>
    </row>
    <row r="1087" spans="1:26" hidden="1">
      <c r="A1087" t="s">
        <v>707</v>
      </c>
      <c r="B1087" s="6">
        <v>44287</v>
      </c>
      <c r="C1087" s="6">
        <v>44651</v>
      </c>
      <c r="D1087">
        <v>20210401</v>
      </c>
      <c r="E1087">
        <v>20220331</v>
      </c>
      <c r="F1087" t="s">
        <v>7067</v>
      </c>
      <c r="G1087" t="s">
        <v>7068</v>
      </c>
      <c r="H1087" t="s">
        <v>590</v>
      </c>
      <c r="I1087" t="s">
        <v>1462</v>
      </c>
      <c r="L1087">
        <v>6</v>
      </c>
      <c r="M1087">
        <v>1156.68</v>
      </c>
      <c r="X1087">
        <v>6</v>
      </c>
      <c r="Y1087">
        <v>1156.68</v>
      </c>
      <c r="Z1087" s="3">
        <f t="shared" si="16"/>
        <v>192.78</v>
      </c>
    </row>
    <row r="1088" spans="1:26" hidden="1">
      <c r="A1088" t="s">
        <v>707</v>
      </c>
      <c r="B1088" s="6">
        <v>44287</v>
      </c>
      <c r="C1088" s="6">
        <v>44651</v>
      </c>
      <c r="D1088">
        <v>20210401</v>
      </c>
      <c r="E1088">
        <v>20220331</v>
      </c>
      <c r="F1088" t="s">
        <v>4543</v>
      </c>
      <c r="G1088" t="s">
        <v>4544</v>
      </c>
      <c r="H1088" t="s">
        <v>590</v>
      </c>
      <c r="I1088" t="s">
        <v>1462</v>
      </c>
      <c r="J1088">
        <v>16</v>
      </c>
      <c r="K1088">
        <v>522.5</v>
      </c>
      <c r="L1088">
        <v>5</v>
      </c>
      <c r="M1088">
        <v>110</v>
      </c>
      <c r="N1088">
        <v>-3</v>
      </c>
      <c r="O1088">
        <v>-92.64</v>
      </c>
      <c r="R1088">
        <v>-12</v>
      </c>
      <c r="S1088">
        <v>-359.9</v>
      </c>
      <c r="X1088">
        <v>6</v>
      </c>
      <c r="Y1088">
        <v>179.96</v>
      </c>
      <c r="Z1088" s="3">
        <f t="shared" si="16"/>
        <v>30.88</v>
      </c>
    </row>
    <row r="1089" spans="1:26" hidden="1">
      <c r="A1089" t="s">
        <v>707</v>
      </c>
      <c r="B1089" s="6">
        <v>44287</v>
      </c>
      <c r="C1089" s="6">
        <v>44651</v>
      </c>
      <c r="D1089">
        <v>20210401</v>
      </c>
      <c r="E1089">
        <v>20220331</v>
      </c>
      <c r="F1089" t="s">
        <v>4545</v>
      </c>
      <c r="G1089" t="s">
        <v>4546</v>
      </c>
      <c r="H1089" t="s">
        <v>590</v>
      </c>
      <c r="I1089" t="s">
        <v>1462</v>
      </c>
      <c r="J1089">
        <v>109</v>
      </c>
      <c r="K1089">
        <v>10991.58</v>
      </c>
      <c r="L1089">
        <v>20</v>
      </c>
      <c r="M1089">
        <v>2200</v>
      </c>
      <c r="X1089">
        <v>129</v>
      </c>
      <c r="Y1089">
        <v>13191.58</v>
      </c>
      <c r="Z1089" s="3">
        <f t="shared" si="16"/>
        <v>102.26031007751938</v>
      </c>
    </row>
    <row r="1090" spans="1:26" hidden="1">
      <c r="A1090" t="s">
        <v>707</v>
      </c>
      <c r="B1090" s="6">
        <v>44287</v>
      </c>
      <c r="C1090" s="6">
        <v>44651</v>
      </c>
      <c r="D1090">
        <v>20210401</v>
      </c>
      <c r="E1090">
        <v>20220331</v>
      </c>
      <c r="F1090" t="s">
        <v>7069</v>
      </c>
      <c r="G1090" t="s">
        <v>7070</v>
      </c>
      <c r="H1090" t="s">
        <v>590</v>
      </c>
      <c r="I1090" t="s">
        <v>1462</v>
      </c>
      <c r="J1090">
        <v>29</v>
      </c>
      <c r="K1090">
        <v>988.27</v>
      </c>
      <c r="L1090">
        <v>20</v>
      </c>
      <c r="M1090">
        <v>600</v>
      </c>
      <c r="N1090">
        <v>-4</v>
      </c>
      <c r="O1090">
        <v>-129.65</v>
      </c>
      <c r="X1090">
        <v>45</v>
      </c>
      <c r="Y1090">
        <v>1458.62</v>
      </c>
      <c r="Z1090" s="3">
        <f t="shared" si="16"/>
        <v>32.412500000000001</v>
      </c>
    </row>
    <row r="1091" spans="1:26" hidden="1">
      <c r="A1091" t="s">
        <v>707</v>
      </c>
      <c r="B1091" s="6">
        <v>44287</v>
      </c>
      <c r="C1091" s="6">
        <v>44651</v>
      </c>
      <c r="D1091">
        <v>20210401</v>
      </c>
      <c r="E1091">
        <v>20220331</v>
      </c>
      <c r="F1091" t="s">
        <v>4547</v>
      </c>
      <c r="G1091" t="s">
        <v>4548</v>
      </c>
      <c r="H1091" t="s">
        <v>590</v>
      </c>
      <c r="I1091" t="s">
        <v>1462</v>
      </c>
      <c r="J1091">
        <v>34</v>
      </c>
      <c r="K1091">
        <v>963.4</v>
      </c>
      <c r="L1091">
        <v>20</v>
      </c>
      <c r="M1091">
        <v>560.4</v>
      </c>
      <c r="R1091">
        <v>-28</v>
      </c>
      <c r="S1091">
        <v>-778.76</v>
      </c>
      <c r="X1091">
        <v>26</v>
      </c>
      <c r="Y1091">
        <v>745.04</v>
      </c>
      <c r="Z1091" s="3">
        <f t="shared" ref="Z1091:Z1154" si="17">IFERROR((O1091+Q1091)/(N1091+P1091),Y1091/X1091)</f>
        <v>28.655384615384612</v>
      </c>
    </row>
    <row r="1092" spans="1:26" hidden="1">
      <c r="A1092" t="s">
        <v>707</v>
      </c>
      <c r="B1092" s="6">
        <v>44287</v>
      </c>
      <c r="C1092" s="6">
        <v>44651</v>
      </c>
      <c r="D1092">
        <v>20210401</v>
      </c>
      <c r="E1092">
        <v>20220331</v>
      </c>
      <c r="F1092" t="s">
        <v>7071</v>
      </c>
      <c r="G1092" t="s">
        <v>7072</v>
      </c>
      <c r="H1092" t="s">
        <v>590</v>
      </c>
      <c r="I1092" t="s">
        <v>1462</v>
      </c>
      <c r="J1092">
        <v>55</v>
      </c>
      <c r="K1092">
        <v>2641.22</v>
      </c>
      <c r="L1092">
        <v>20</v>
      </c>
      <c r="M1092">
        <v>600</v>
      </c>
      <c r="N1092">
        <v>-2</v>
      </c>
      <c r="O1092">
        <v>-86.43</v>
      </c>
      <c r="X1092">
        <v>73</v>
      </c>
      <c r="Y1092">
        <v>3154.79</v>
      </c>
      <c r="Z1092" s="3">
        <f t="shared" si="17"/>
        <v>43.215000000000003</v>
      </c>
    </row>
    <row r="1093" spans="1:26" hidden="1">
      <c r="A1093" t="s">
        <v>707</v>
      </c>
      <c r="B1093" s="6">
        <v>44287</v>
      </c>
      <c r="C1093" s="6">
        <v>44651</v>
      </c>
      <c r="D1093">
        <v>20210401</v>
      </c>
      <c r="E1093">
        <v>20220331</v>
      </c>
      <c r="F1093" t="s">
        <v>4563</v>
      </c>
      <c r="G1093" t="s">
        <v>4564</v>
      </c>
      <c r="H1093" t="s">
        <v>590</v>
      </c>
      <c r="I1093" t="s">
        <v>1462</v>
      </c>
      <c r="J1093">
        <v>4</v>
      </c>
      <c r="K1093">
        <v>780.15</v>
      </c>
      <c r="L1093">
        <v>12</v>
      </c>
      <c r="M1093">
        <v>2580</v>
      </c>
      <c r="X1093">
        <v>16</v>
      </c>
      <c r="Y1093">
        <v>3360.15</v>
      </c>
      <c r="Z1093" s="3">
        <f t="shared" si="17"/>
        <v>210.00937500000001</v>
      </c>
    </row>
    <row r="1094" spans="1:26" hidden="1">
      <c r="A1094" t="s">
        <v>707</v>
      </c>
      <c r="B1094" s="6">
        <v>44287</v>
      </c>
      <c r="C1094" s="6">
        <v>44651</v>
      </c>
      <c r="D1094">
        <v>20210401</v>
      </c>
      <c r="E1094">
        <v>20220331</v>
      </c>
      <c r="F1094" t="s">
        <v>7073</v>
      </c>
      <c r="G1094" t="s">
        <v>7074</v>
      </c>
      <c r="H1094" t="s">
        <v>590</v>
      </c>
      <c r="I1094" t="s">
        <v>1462</v>
      </c>
      <c r="J1094">
        <v>18</v>
      </c>
      <c r="K1094">
        <v>3629.56</v>
      </c>
      <c r="N1094">
        <v>-18</v>
      </c>
      <c r="O1094">
        <v>-3530.14</v>
      </c>
      <c r="Y1094">
        <v>99.42</v>
      </c>
      <c r="Z1094" s="3">
        <f t="shared" si="17"/>
        <v>196.11888888888888</v>
      </c>
    </row>
    <row r="1095" spans="1:26" hidden="1">
      <c r="A1095" t="s">
        <v>707</v>
      </c>
      <c r="B1095" s="6">
        <v>44287</v>
      </c>
      <c r="C1095" s="6">
        <v>44651</v>
      </c>
      <c r="D1095">
        <v>20210401</v>
      </c>
      <c r="E1095">
        <v>20220331</v>
      </c>
      <c r="F1095" t="s">
        <v>7075</v>
      </c>
      <c r="G1095" t="s">
        <v>7076</v>
      </c>
      <c r="H1095" t="s">
        <v>590</v>
      </c>
      <c r="I1095" t="s">
        <v>1462</v>
      </c>
      <c r="J1095">
        <v>18</v>
      </c>
      <c r="K1095">
        <v>1386</v>
      </c>
      <c r="N1095">
        <v>-1</v>
      </c>
      <c r="O1095">
        <v>-77</v>
      </c>
      <c r="X1095">
        <v>17</v>
      </c>
      <c r="Y1095">
        <v>1309</v>
      </c>
      <c r="Z1095" s="3">
        <f t="shared" si="17"/>
        <v>77</v>
      </c>
    </row>
    <row r="1096" spans="1:26" hidden="1">
      <c r="A1096" t="s">
        <v>707</v>
      </c>
      <c r="B1096" s="6">
        <v>44287</v>
      </c>
      <c r="C1096" s="6">
        <v>44651</v>
      </c>
      <c r="D1096">
        <v>20210401</v>
      </c>
      <c r="E1096">
        <v>20220331</v>
      </c>
      <c r="F1096" t="s">
        <v>7077</v>
      </c>
      <c r="G1096" t="s">
        <v>7078</v>
      </c>
      <c r="H1096" t="s">
        <v>590</v>
      </c>
      <c r="I1096" t="s">
        <v>1462</v>
      </c>
      <c r="N1096">
        <v>-1</v>
      </c>
      <c r="O1096">
        <v>-275</v>
      </c>
      <c r="X1096">
        <v>-1</v>
      </c>
      <c r="Y1096">
        <v>-275</v>
      </c>
      <c r="Z1096" s="3">
        <f t="shared" si="17"/>
        <v>275</v>
      </c>
    </row>
    <row r="1097" spans="1:26" hidden="1">
      <c r="A1097" t="s">
        <v>707</v>
      </c>
      <c r="B1097" s="6">
        <v>44287</v>
      </c>
      <c r="C1097" s="6">
        <v>44651</v>
      </c>
      <c r="D1097">
        <v>20210401</v>
      </c>
      <c r="E1097">
        <v>20220331</v>
      </c>
      <c r="F1097" t="s">
        <v>7079</v>
      </c>
      <c r="G1097" t="s">
        <v>7080</v>
      </c>
      <c r="H1097" t="s">
        <v>590</v>
      </c>
      <c r="I1097" t="s">
        <v>805</v>
      </c>
      <c r="J1097">
        <v>4</v>
      </c>
      <c r="K1097">
        <v>1133.83</v>
      </c>
      <c r="N1097">
        <v>-2</v>
      </c>
      <c r="O1097">
        <v>-566.9</v>
      </c>
      <c r="X1097">
        <v>2</v>
      </c>
      <c r="Y1097">
        <v>566.92999999999995</v>
      </c>
      <c r="Z1097" s="3">
        <f t="shared" si="17"/>
        <v>283.45</v>
      </c>
    </row>
    <row r="1098" spans="1:26" hidden="1">
      <c r="A1098" t="s">
        <v>707</v>
      </c>
      <c r="B1098" s="6">
        <v>44287</v>
      </c>
      <c r="C1098" s="6">
        <v>44651</v>
      </c>
      <c r="D1098">
        <v>20210401</v>
      </c>
      <c r="E1098">
        <v>20220331</v>
      </c>
      <c r="F1098" t="s">
        <v>7081</v>
      </c>
      <c r="G1098" t="s">
        <v>7082</v>
      </c>
      <c r="H1098" t="s">
        <v>590</v>
      </c>
      <c r="I1098" t="s">
        <v>1462</v>
      </c>
      <c r="L1098">
        <v>3</v>
      </c>
      <c r="M1098">
        <v>2841</v>
      </c>
      <c r="N1098">
        <v>-2</v>
      </c>
      <c r="O1098">
        <v>-1958.98</v>
      </c>
      <c r="X1098">
        <v>1</v>
      </c>
      <c r="Y1098">
        <v>882.02</v>
      </c>
      <c r="Z1098" s="3">
        <f t="shared" si="17"/>
        <v>979.49</v>
      </c>
    </row>
    <row r="1099" spans="1:26" hidden="1">
      <c r="A1099" t="s">
        <v>707</v>
      </c>
      <c r="B1099" s="6">
        <v>44287</v>
      </c>
      <c r="C1099" s="6">
        <v>44651</v>
      </c>
      <c r="D1099">
        <v>20210401</v>
      </c>
      <c r="E1099">
        <v>20220331</v>
      </c>
      <c r="F1099" t="s">
        <v>7083</v>
      </c>
      <c r="G1099" t="s">
        <v>7084</v>
      </c>
      <c r="H1099" t="s">
        <v>590</v>
      </c>
      <c r="I1099" t="s">
        <v>1462</v>
      </c>
      <c r="J1099">
        <v>5</v>
      </c>
      <c r="K1099">
        <v>457.87</v>
      </c>
      <c r="L1099">
        <v>12</v>
      </c>
      <c r="M1099">
        <v>1200</v>
      </c>
      <c r="N1099">
        <v>-2</v>
      </c>
      <c r="O1099">
        <v>-189.46</v>
      </c>
      <c r="X1099">
        <v>15</v>
      </c>
      <c r="Y1099">
        <v>1468.41</v>
      </c>
      <c r="Z1099" s="3">
        <f t="shared" si="17"/>
        <v>94.73</v>
      </c>
    </row>
    <row r="1100" spans="1:26" hidden="1">
      <c r="A1100" t="s">
        <v>707</v>
      </c>
      <c r="B1100" s="6">
        <v>44287</v>
      </c>
      <c r="C1100" s="6">
        <v>44651</v>
      </c>
      <c r="D1100">
        <v>20210401</v>
      </c>
      <c r="E1100">
        <v>20220331</v>
      </c>
      <c r="F1100" t="s">
        <v>7085</v>
      </c>
      <c r="G1100" t="s">
        <v>7086</v>
      </c>
      <c r="H1100" t="s">
        <v>590</v>
      </c>
      <c r="I1100" t="s">
        <v>1462</v>
      </c>
      <c r="L1100">
        <v>12</v>
      </c>
      <c r="M1100">
        <v>2400</v>
      </c>
      <c r="N1100">
        <v>-6</v>
      </c>
      <c r="O1100">
        <v>-1200</v>
      </c>
      <c r="X1100">
        <v>6</v>
      </c>
      <c r="Y1100">
        <v>1200</v>
      </c>
      <c r="Z1100" s="3">
        <f t="shared" si="17"/>
        <v>200</v>
      </c>
    </row>
    <row r="1101" spans="1:26" hidden="1">
      <c r="A1101" t="s">
        <v>707</v>
      </c>
      <c r="B1101" s="6">
        <v>44287</v>
      </c>
      <c r="C1101" s="6">
        <v>44651</v>
      </c>
      <c r="D1101">
        <v>20210401</v>
      </c>
      <c r="E1101">
        <v>20220331</v>
      </c>
      <c r="F1101" t="s">
        <v>7087</v>
      </c>
      <c r="G1101" t="s">
        <v>7088</v>
      </c>
      <c r="H1101" t="s">
        <v>590</v>
      </c>
      <c r="I1101" t="s">
        <v>1462</v>
      </c>
      <c r="J1101">
        <v>6</v>
      </c>
      <c r="K1101">
        <v>1248</v>
      </c>
      <c r="N1101">
        <v>-3</v>
      </c>
      <c r="O1101">
        <v>-624</v>
      </c>
      <c r="X1101">
        <v>3</v>
      </c>
      <c r="Y1101">
        <v>624</v>
      </c>
      <c r="Z1101" s="3">
        <f t="shared" si="17"/>
        <v>208</v>
      </c>
    </row>
    <row r="1102" spans="1:26" hidden="1">
      <c r="A1102" t="s">
        <v>707</v>
      </c>
      <c r="B1102" s="6">
        <v>44287</v>
      </c>
      <c r="C1102" s="6">
        <v>44651</v>
      </c>
      <c r="D1102">
        <v>20210401</v>
      </c>
      <c r="E1102">
        <v>20220331</v>
      </c>
      <c r="F1102" t="s">
        <v>7089</v>
      </c>
      <c r="G1102" t="s">
        <v>7090</v>
      </c>
      <c r="H1102" t="s">
        <v>590</v>
      </c>
      <c r="I1102" t="s">
        <v>1462</v>
      </c>
      <c r="J1102">
        <v>2</v>
      </c>
      <c r="K1102">
        <v>8702</v>
      </c>
      <c r="X1102">
        <v>2</v>
      </c>
      <c r="Y1102">
        <v>8702</v>
      </c>
      <c r="Z1102" s="3">
        <f t="shared" si="17"/>
        <v>4351</v>
      </c>
    </row>
    <row r="1103" spans="1:26" hidden="1">
      <c r="A1103" t="s">
        <v>707</v>
      </c>
      <c r="B1103" s="6">
        <v>44287</v>
      </c>
      <c r="C1103" s="6">
        <v>44651</v>
      </c>
      <c r="D1103">
        <v>20210401</v>
      </c>
      <c r="E1103">
        <v>20220331</v>
      </c>
      <c r="F1103" t="s">
        <v>7091</v>
      </c>
      <c r="G1103" t="s">
        <v>7092</v>
      </c>
      <c r="H1103" t="s">
        <v>590</v>
      </c>
      <c r="I1103" t="s">
        <v>1462</v>
      </c>
      <c r="J1103">
        <v>2</v>
      </c>
      <c r="K1103">
        <v>9444.9</v>
      </c>
      <c r="X1103">
        <v>2</v>
      </c>
      <c r="Y1103">
        <v>9444.9</v>
      </c>
      <c r="Z1103" s="3">
        <f t="shared" si="17"/>
        <v>4722.45</v>
      </c>
    </row>
    <row r="1104" spans="1:26" hidden="1">
      <c r="A1104" t="s">
        <v>707</v>
      </c>
      <c r="B1104" s="6">
        <v>44287</v>
      </c>
      <c r="C1104" s="6">
        <v>44651</v>
      </c>
      <c r="D1104">
        <v>20210401</v>
      </c>
      <c r="E1104">
        <v>20220331</v>
      </c>
      <c r="F1104" t="s">
        <v>7093</v>
      </c>
      <c r="G1104" t="s">
        <v>7094</v>
      </c>
      <c r="H1104" t="s">
        <v>590</v>
      </c>
      <c r="I1104" t="s">
        <v>1462</v>
      </c>
      <c r="J1104">
        <v>2</v>
      </c>
      <c r="K1104">
        <v>27746.7</v>
      </c>
      <c r="X1104">
        <v>2</v>
      </c>
      <c r="Y1104">
        <v>27746.7</v>
      </c>
      <c r="Z1104" s="3">
        <f t="shared" si="17"/>
        <v>13873.35</v>
      </c>
    </row>
    <row r="1105" spans="1:26" hidden="1">
      <c r="A1105" t="s">
        <v>707</v>
      </c>
      <c r="B1105" s="6">
        <v>44287</v>
      </c>
      <c r="C1105" s="6">
        <v>44651</v>
      </c>
      <c r="D1105">
        <v>20210401</v>
      </c>
      <c r="E1105">
        <v>20220331</v>
      </c>
      <c r="F1105" t="s">
        <v>4569</v>
      </c>
      <c r="G1105" t="s">
        <v>4570</v>
      </c>
      <c r="H1105" t="s">
        <v>590</v>
      </c>
      <c r="I1105" t="s">
        <v>1462</v>
      </c>
      <c r="L1105">
        <v>8</v>
      </c>
      <c r="M1105">
        <v>544</v>
      </c>
      <c r="N1105">
        <v>-8</v>
      </c>
      <c r="O1105">
        <v>-544</v>
      </c>
      <c r="Z1105" s="3">
        <f t="shared" si="17"/>
        <v>68</v>
      </c>
    </row>
    <row r="1106" spans="1:26" hidden="1">
      <c r="A1106" t="s">
        <v>707</v>
      </c>
      <c r="B1106" s="6">
        <v>44287</v>
      </c>
      <c r="C1106" s="6">
        <v>44651</v>
      </c>
      <c r="D1106">
        <v>20210401</v>
      </c>
      <c r="E1106">
        <v>20220331</v>
      </c>
      <c r="F1106" t="s">
        <v>7095</v>
      </c>
      <c r="G1106" t="s">
        <v>7096</v>
      </c>
      <c r="H1106" t="s">
        <v>590</v>
      </c>
      <c r="I1106" t="s">
        <v>1462</v>
      </c>
      <c r="J1106">
        <v>8</v>
      </c>
      <c r="K1106">
        <v>880</v>
      </c>
      <c r="X1106">
        <v>8</v>
      </c>
      <c r="Y1106">
        <v>880</v>
      </c>
      <c r="Z1106" s="3">
        <f t="shared" si="17"/>
        <v>110</v>
      </c>
    </row>
    <row r="1107" spans="1:26" hidden="1">
      <c r="A1107" t="s">
        <v>707</v>
      </c>
      <c r="B1107" s="6">
        <v>44287</v>
      </c>
      <c r="C1107" s="6">
        <v>44651</v>
      </c>
      <c r="D1107">
        <v>20210401</v>
      </c>
      <c r="E1107">
        <v>20220331</v>
      </c>
      <c r="F1107" t="s">
        <v>7097</v>
      </c>
      <c r="G1107" t="s">
        <v>7098</v>
      </c>
      <c r="H1107" t="s">
        <v>590</v>
      </c>
      <c r="I1107" t="s">
        <v>1462</v>
      </c>
      <c r="J1107">
        <v>3</v>
      </c>
      <c r="K1107">
        <v>255</v>
      </c>
      <c r="X1107">
        <v>3</v>
      </c>
      <c r="Y1107">
        <v>255</v>
      </c>
      <c r="Z1107" s="3">
        <f t="shared" si="17"/>
        <v>85</v>
      </c>
    </row>
    <row r="1108" spans="1:26" hidden="1">
      <c r="A1108" t="s">
        <v>707</v>
      </c>
      <c r="B1108" s="6">
        <v>44287</v>
      </c>
      <c r="C1108" s="6">
        <v>44651</v>
      </c>
      <c r="D1108">
        <v>20210401</v>
      </c>
      <c r="E1108">
        <v>20220331</v>
      </c>
      <c r="F1108" t="s">
        <v>7099</v>
      </c>
      <c r="G1108" t="s">
        <v>7100</v>
      </c>
      <c r="H1108" t="s">
        <v>590</v>
      </c>
      <c r="I1108" t="s">
        <v>805</v>
      </c>
      <c r="J1108">
        <v>478</v>
      </c>
      <c r="K1108">
        <v>28202</v>
      </c>
      <c r="N1108">
        <v>-119</v>
      </c>
      <c r="O1108">
        <v>-7021</v>
      </c>
      <c r="X1108">
        <v>359</v>
      </c>
      <c r="Y1108">
        <v>21181</v>
      </c>
      <c r="Z1108" s="3">
        <f t="shared" si="17"/>
        <v>59</v>
      </c>
    </row>
    <row r="1109" spans="1:26" hidden="1">
      <c r="A1109" t="s">
        <v>707</v>
      </c>
      <c r="B1109" s="6">
        <v>44287</v>
      </c>
      <c r="C1109" s="6">
        <v>44651</v>
      </c>
      <c r="D1109">
        <v>20210401</v>
      </c>
      <c r="E1109">
        <v>20220331</v>
      </c>
      <c r="F1109" t="s">
        <v>7101</v>
      </c>
      <c r="G1109" t="s">
        <v>7102</v>
      </c>
      <c r="H1109" t="s">
        <v>590</v>
      </c>
      <c r="I1109" t="s">
        <v>1462</v>
      </c>
      <c r="J1109">
        <v>3</v>
      </c>
      <c r="K1109">
        <v>8893.27</v>
      </c>
      <c r="L1109">
        <v>14</v>
      </c>
      <c r="M1109">
        <v>47402.7</v>
      </c>
      <c r="N1109">
        <v>-12</v>
      </c>
      <c r="O1109">
        <v>-38089.919999999998</v>
      </c>
      <c r="X1109">
        <v>5</v>
      </c>
      <c r="Y1109">
        <v>18206.05</v>
      </c>
      <c r="Z1109" s="3">
        <f t="shared" si="17"/>
        <v>3174.16</v>
      </c>
    </row>
    <row r="1110" spans="1:26" hidden="1">
      <c r="A1110" t="s">
        <v>707</v>
      </c>
      <c r="B1110" s="6">
        <v>44287</v>
      </c>
      <c r="C1110" s="6">
        <v>44651</v>
      </c>
      <c r="D1110">
        <v>20210401</v>
      </c>
      <c r="E1110">
        <v>20220331</v>
      </c>
      <c r="F1110" t="s">
        <v>7103</v>
      </c>
      <c r="G1110" t="s">
        <v>7104</v>
      </c>
      <c r="H1110" t="s">
        <v>590</v>
      </c>
      <c r="I1110" t="s">
        <v>805</v>
      </c>
      <c r="L1110">
        <v>20</v>
      </c>
      <c r="M1110">
        <v>19000</v>
      </c>
      <c r="N1110">
        <v>-10</v>
      </c>
      <c r="O1110">
        <v>-9500</v>
      </c>
      <c r="X1110">
        <v>10</v>
      </c>
      <c r="Y1110">
        <v>9500</v>
      </c>
      <c r="Z1110" s="3">
        <f t="shared" si="17"/>
        <v>950</v>
      </c>
    </row>
    <row r="1111" spans="1:26" hidden="1">
      <c r="A1111" t="s">
        <v>707</v>
      </c>
      <c r="B1111" s="6">
        <v>44287</v>
      </c>
      <c r="C1111" s="6">
        <v>44651</v>
      </c>
      <c r="D1111">
        <v>20210401</v>
      </c>
      <c r="E1111">
        <v>20220331</v>
      </c>
      <c r="F1111" t="s">
        <v>7105</v>
      </c>
      <c r="G1111" t="s">
        <v>7106</v>
      </c>
      <c r="H1111" t="s">
        <v>590</v>
      </c>
      <c r="I1111" t="s">
        <v>805</v>
      </c>
      <c r="J1111">
        <v>192</v>
      </c>
      <c r="K1111">
        <v>4704</v>
      </c>
      <c r="L1111">
        <v>1200</v>
      </c>
      <c r="M1111">
        <v>15000</v>
      </c>
      <c r="N1111">
        <v>-1392</v>
      </c>
      <c r="O1111">
        <v>-19704.04</v>
      </c>
      <c r="Y1111">
        <v>-0.04</v>
      </c>
      <c r="Z1111" s="3">
        <f t="shared" si="17"/>
        <v>14.155201149425288</v>
      </c>
    </row>
    <row r="1112" spans="1:26" hidden="1">
      <c r="A1112" t="s">
        <v>707</v>
      </c>
      <c r="B1112" s="6">
        <v>44287</v>
      </c>
      <c r="C1112" s="6">
        <v>44651</v>
      </c>
      <c r="D1112">
        <v>20210401</v>
      </c>
      <c r="E1112">
        <v>20220331</v>
      </c>
      <c r="F1112" t="s">
        <v>7107</v>
      </c>
      <c r="G1112" t="s">
        <v>7108</v>
      </c>
      <c r="H1112" t="s">
        <v>590</v>
      </c>
      <c r="I1112" t="s">
        <v>805</v>
      </c>
      <c r="L1112">
        <v>4</v>
      </c>
      <c r="M1112">
        <v>5320</v>
      </c>
      <c r="N1112">
        <v>-4</v>
      </c>
      <c r="O1112">
        <v>-5320</v>
      </c>
      <c r="Z1112" s="3">
        <f t="shared" si="17"/>
        <v>1330</v>
      </c>
    </row>
    <row r="1113" spans="1:26" hidden="1">
      <c r="A1113" t="s">
        <v>707</v>
      </c>
      <c r="B1113" s="6">
        <v>44287</v>
      </c>
      <c r="C1113" s="6">
        <v>44651</v>
      </c>
      <c r="D1113">
        <v>20210401</v>
      </c>
      <c r="E1113">
        <v>20220331</v>
      </c>
      <c r="F1113" t="s">
        <v>7109</v>
      </c>
      <c r="G1113" t="s">
        <v>7110</v>
      </c>
      <c r="H1113" t="s">
        <v>590</v>
      </c>
      <c r="I1113" t="s">
        <v>1462</v>
      </c>
      <c r="J1113">
        <v>37</v>
      </c>
      <c r="K1113">
        <v>7037.71</v>
      </c>
      <c r="N1113">
        <v>-21</v>
      </c>
      <c r="O1113">
        <v>-3994.38</v>
      </c>
      <c r="X1113">
        <v>16</v>
      </c>
      <c r="Y1113">
        <v>3043.33</v>
      </c>
      <c r="Z1113" s="3">
        <f t="shared" si="17"/>
        <v>190.20857142857145</v>
      </c>
    </row>
    <row r="1114" spans="1:26" hidden="1">
      <c r="A1114" t="s">
        <v>707</v>
      </c>
      <c r="B1114" s="6">
        <v>44287</v>
      </c>
      <c r="C1114" s="6">
        <v>44651</v>
      </c>
      <c r="D1114">
        <v>20210401</v>
      </c>
      <c r="E1114">
        <v>20220331</v>
      </c>
      <c r="F1114" t="s">
        <v>7111</v>
      </c>
      <c r="G1114" t="s">
        <v>7112</v>
      </c>
      <c r="H1114" t="s">
        <v>590</v>
      </c>
      <c r="I1114" t="s">
        <v>1462</v>
      </c>
      <c r="J1114">
        <v>16</v>
      </c>
      <c r="K1114">
        <v>1369.82</v>
      </c>
      <c r="N1114">
        <v>-16</v>
      </c>
      <c r="O1114">
        <v>-1369.81</v>
      </c>
      <c r="Y1114">
        <v>0.01</v>
      </c>
      <c r="Z1114" s="3">
        <f t="shared" si="17"/>
        <v>85.613124999999997</v>
      </c>
    </row>
    <row r="1115" spans="1:26" hidden="1">
      <c r="A1115" t="s">
        <v>707</v>
      </c>
      <c r="B1115" s="6">
        <v>44287</v>
      </c>
      <c r="C1115" s="6">
        <v>44651</v>
      </c>
      <c r="D1115">
        <v>20210401</v>
      </c>
      <c r="E1115">
        <v>20220331</v>
      </c>
      <c r="F1115" t="s">
        <v>4643</v>
      </c>
      <c r="G1115" t="s">
        <v>4644</v>
      </c>
      <c r="H1115" t="s">
        <v>590</v>
      </c>
      <c r="I1115" t="s">
        <v>1462</v>
      </c>
      <c r="L1115">
        <v>12</v>
      </c>
      <c r="M1115">
        <v>58695.34</v>
      </c>
      <c r="N1115">
        <v>-6</v>
      </c>
      <c r="O1115">
        <v>-27588.16</v>
      </c>
      <c r="X1115">
        <v>6</v>
      </c>
      <c r="Y1115">
        <v>31107.18</v>
      </c>
      <c r="Z1115" s="3">
        <f t="shared" si="17"/>
        <v>4598.0266666666666</v>
      </c>
    </row>
    <row r="1116" spans="1:26" hidden="1">
      <c r="A1116" t="s">
        <v>707</v>
      </c>
      <c r="B1116" s="6">
        <v>44287</v>
      </c>
      <c r="C1116" s="6">
        <v>44651</v>
      </c>
      <c r="D1116">
        <v>20210401</v>
      </c>
      <c r="E1116">
        <v>20220331</v>
      </c>
      <c r="F1116" t="s">
        <v>7113</v>
      </c>
      <c r="G1116" t="s">
        <v>7114</v>
      </c>
      <c r="H1116" t="s">
        <v>1973</v>
      </c>
      <c r="I1116" t="s">
        <v>1462</v>
      </c>
      <c r="J1116">
        <v>5</v>
      </c>
      <c r="K1116">
        <v>17100</v>
      </c>
      <c r="L1116">
        <v>5</v>
      </c>
      <c r="M1116">
        <v>20983.599999999999</v>
      </c>
      <c r="X1116">
        <v>10</v>
      </c>
      <c r="Y1116">
        <v>38083.599999999999</v>
      </c>
      <c r="Z1116" s="3">
        <f t="shared" si="17"/>
        <v>3808.3599999999997</v>
      </c>
    </row>
    <row r="1117" spans="1:26" hidden="1">
      <c r="A1117" t="s">
        <v>707</v>
      </c>
      <c r="B1117" s="6">
        <v>44287</v>
      </c>
      <c r="C1117" s="6">
        <v>44651</v>
      </c>
      <c r="D1117">
        <v>20210401</v>
      </c>
      <c r="E1117">
        <v>20220331</v>
      </c>
      <c r="F1117" t="s">
        <v>7115</v>
      </c>
      <c r="G1117" t="s">
        <v>7116</v>
      </c>
      <c r="H1117" t="s">
        <v>590</v>
      </c>
      <c r="I1117" t="s">
        <v>1462</v>
      </c>
      <c r="J1117">
        <v>4</v>
      </c>
      <c r="K1117">
        <v>8740.2199999999993</v>
      </c>
      <c r="L1117">
        <v>10</v>
      </c>
      <c r="M1117">
        <v>19000</v>
      </c>
      <c r="N1117">
        <v>-4</v>
      </c>
      <c r="O1117">
        <v>-8740.23</v>
      </c>
      <c r="X1117">
        <v>10</v>
      </c>
      <c r="Y1117">
        <v>18999.990000000002</v>
      </c>
      <c r="Z1117" s="3">
        <f t="shared" si="17"/>
        <v>2185.0574999999999</v>
      </c>
    </row>
    <row r="1118" spans="1:26" hidden="1">
      <c r="A1118" t="s">
        <v>707</v>
      </c>
      <c r="B1118" s="6">
        <v>44287</v>
      </c>
      <c r="C1118" s="6">
        <v>44651</v>
      </c>
      <c r="D1118">
        <v>20210401</v>
      </c>
      <c r="E1118">
        <v>20220331</v>
      </c>
      <c r="F1118" t="s">
        <v>7117</v>
      </c>
      <c r="G1118" t="s">
        <v>7118</v>
      </c>
      <c r="H1118" t="s">
        <v>590</v>
      </c>
      <c r="I1118" t="s">
        <v>805</v>
      </c>
      <c r="J1118">
        <v>5</v>
      </c>
      <c r="K1118">
        <v>59801</v>
      </c>
      <c r="X1118">
        <v>5</v>
      </c>
      <c r="Y1118">
        <v>59801</v>
      </c>
      <c r="Z1118" s="3">
        <f t="shared" si="17"/>
        <v>11960.2</v>
      </c>
    </row>
    <row r="1119" spans="1:26" hidden="1">
      <c r="A1119" t="s">
        <v>707</v>
      </c>
      <c r="B1119" s="6">
        <v>44287</v>
      </c>
      <c r="C1119" s="6">
        <v>44651</v>
      </c>
      <c r="D1119">
        <v>20210401</v>
      </c>
      <c r="E1119">
        <v>20220331</v>
      </c>
      <c r="F1119" t="s">
        <v>7119</v>
      </c>
      <c r="G1119" t="s">
        <v>7120</v>
      </c>
      <c r="H1119" t="s">
        <v>590</v>
      </c>
      <c r="I1119" t="s">
        <v>1462</v>
      </c>
      <c r="J1119">
        <v>1</v>
      </c>
      <c r="K1119">
        <v>916.31</v>
      </c>
      <c r="L1119">
        <v>6</v>
      </c>
      <c r="M1119">
        <v>5130</v>
      </c>
      <c r="N1119">
        <v>-3</v>
      </c>
      <c r="O1119">
        <v>-2748.95</v>
      </c>
      <c r="X1119">
        <v>4</v>
      </c>
      <c r="Y1119">
        <v>3297.36</v>
      </c>
      <c r="Z1119" s="3">
        <f t="shared" si="17"/>
        <v>916.31666666666661</v>
      </c>
    </row>
    <row r="1120" spans="1:26" hidden="1">
      <c r="A1120" t="s">
        <v>707</v>
      </c>
      <c r="B1120" s="6">
        <v>44287</v>
      </c>
      <c r="C1120" s="6">
        <v>44651</v>
      </c>
      <c r="D1120">
        <v>20210401</v>
      </c>
      <c r="E1120">
        <v>20220331</v>
      </c>
      <c r="F1120" t="s">
        <v>7121</v>
      </c>
      <c r="G1120" t="s">
        <v>7122</v>
      </c>
      <c r="H1120" t="s">
        <v>590</v>
      </c>
      <c r="I1120" t="s">
        <v>1462</v>
      </c>
      <c r="L1120">
        <v>11</v>
      </c>
      <c r="M1120">
        <v>3895</v>
      </c>
      <c r="N1120">
        <v>-11</v>
      </c>
      <c r="O1120">
        <v>-3895</v>
      </c>
      <c r="Z1120" s="3">
        <f t="shared" si="17"/>
        <v>354.09090909090907</v>
      </c>
    </row>
    <row r="1121" spans="1:26" hidden="1">
      <c r="A1121" t="s">
        <v>707</v>
      </c>
      <c r="B1121" s="6">
        <v>44287</v>
      </c>
      <c r="C1121" s="6">
        <v>44651</v>
      </c>
      <c r="D1121">
        <v>20210401</v>
      </c>
      <c r="E1121">
        <v>20220331</v>
      </c>
      <c r="F1121" t="s">
        <v>7123</v>
      </c>
      <c r="G1121" t="s">
        <v>7124</v>
      </c>
      <c r="H1121" t="s">
        <v>590</v>
      </c>
      <c r="I1121" t="s">
        <v>1462</v>
      </c>
      <c r="L1121">
        <v>5</v>
      </c>
      <c r="M1121">
        <v>20939.650000000001</v>
      </c>
      <c r="N1121">
        <v>-1</v>
      </c>
      <c r="O1121">
        <v>-4199.83</v>
      </c>
      <c r="X1121">
        <v>4</v>
      </c>
      <c r="Y1121">
        <v>16739.82</v>
      </c>
      <c r="Z1121" s="3">
        <f t="shared" si="17"/>
        <v>4199.83</v>
      </c>
    </row>
    <row r="1122" spans="1:26" hidden="1">
      <c r="A1122" t="s">
        <v>707</v>
      </c>
      <c r="B1122" s="6">
        <v>44287</v>
      </c>
      <c r="C1122" s="6">
        <v>44651</v>
      </c>
      <c r="D1122">
        <v>20210401</v>
      </c>
      <c r="E1122">
        <v>20220331</v>
      </c>
      <c r="F1122" t="s">
        <v>7125</v>
      </c>
      <c r="G1122" t="s">
        <v>7126</v>
      </c>
      <c r="H1122" t="s">
        <v>590</v>
      </c>
      <c r="I1122" t="s">
        <v>1462</v>
      </c>
      <c r="J1122">
        <v>1</v>
      </c>
      <c r="K1122">
        <v>4437.78</v>
      </c>
      <c r="L1122">
        <v>5</v>
      </c>
      <c r="M1122">
        <v>22420.400000000001</v>
      </c>
      <c r="N1122">
        <v>-6</v>
      </c>
      <c r="O1122">
        <v>-26858.17</v>
      </c>
      <c r="Y1122">
        <v>0.01</v>
      </c>
      <c r="Z1122" s="3">
        <f t="shared" si="17"/>
        <v>4476.3616666666667</v>
      </c>
    </row>
    <row r="1123" spans="1:26" hidden="1">
      <c r="A1123" t="s">
        <v>707</v>
      </c>
      <c r="B1123" s="6">
        <v>44287</v>
      </c>
      <c r="C1123" s="6">
        <v>44651</v>
      </c>
      <c r="D1123">
        <v>20210401</v>
      </c>
      <c r="E1123">
        <v>20220331</v>
      </c>
      <c r="F1123" t="s">
        <v>7127</v>
      </c>
      <c r="G1123" t="s">
        <v>7128</v>
      </c>
      <c r="H1123" t="s">
        <v>590</v>
      </c>
      <c r="I1123" t="s">
        <v>1462</v>
      </c>
      <c r="L1123">
        <v>4</v>
      </c>
      <c r="M1123">
        <v>6000</v>
      </c>
      <c r="N1123">
        <v>-2</v>
      </c>
      <c r="O1123">
        <v>-2600</v>
      </c>
      <c r="X1123">
        <v>2</v>
      </c>
      <c r="Y1123">
        <v>3400</v>
      </c>
      <c r="Z1123" s="3">
        <f t="shared" si="17"/>
        <v>1300</v>
      </c>
    </row>
    <row r="1124" spans="1:26" hidden="1">
      <c r="A1124" t="s">
        <v>707</v>
      </c>
      <c r="B1124" s="6">
        <v>44287</v>
      </c>
      <c r="C1124" s="6">
        <v>44651</v>
      </c>
      <c r="D1124">
        <v>20210401</v>
      </c>
      <c r="E1124">
        <v>20220331</v>
      </c>
      <c r="F1124" t="s">
        <v>7129</v>
      </c>
      <c r="G1124" t="s">
        <v>7130</v>
      </c>
      <c r="H1124" t="s">
        <v>590</v>
      </c>
      <c r="I1124" t="s">
        <v>805</v>
      </c>
      <c r="J1124">
        <v>2</v>
      </c>
      <c r="K1124">
        <v>8700</v>
      </c>
      <c r="L1124">
        <v>2</v>
      </c>
      <c r="M1124">
        <v>9900</v>
      </c>
      <c r="X1124">
        <v>4</v>
      </c>
      <c r="Y1124">
        <v>18600</v>
      </c>
      <c r="Z1124" s="3">
        <f t="shared" si="17"/>
        <v>4650</v>
      </c>
    </row>
    <row r="1125" spans="1:26" hidden="1">
      <c r="A1125" t="s">
        <v>707</v>
      </c>
      <c r="B1125" s="6">
        <v>44287</v>
      </c>
      <c r="C1125" s="6">
        <v>44651</v>
      </c>
      <c r="D1125">
        <v>20210401</v>
      </c>
      <c r="E1125">
        <v>20220331</v>
      </c>
      <c r="F1125" t="s">
        <v>7131</v>
      </c>
      <c r="G1125" t="s">
        <v>7132</v>
      </c>
      <c r="H1125" t="s">
        <v>590</v>
      </c>
      <c r="I1125" t="s">
        <v>805</v>
      </c>
      <c r="J1125">
        <v>2</v>
      </c>
      <c r="K1125">
        <v>5700</v>
      </c>
      <c r="L1125">
        <v>2</v>
      </c>
      <c r="M1125">
        <v>9400</v>
      </c>
      <c r="X1125">
        <v>4</v>
      </c>
      <c r="Y1125">
        <v>15100</v>
      </c>
      <c r="Z1125" s="3">
        <f t="shared" si="17"/>
        <v>3775</v>
      </c>
    </row>
    <row r="1126" spans="1:26" hidden="1">
      <c r="A1126" t="s">
        <v>707</v>
      </c>
      <c r="B1126" s="6">
        <v>44287</v>
      </c>
      <c r="C1126" s="6">
        <v>44651</v>
      </c>
      <c r="D1126">
        <v>20210401</v>
      </c>
      <c r="E1126">
        <v>20220331</v>
      </c>
      <c r="F1126" t="s">
        <v>7133</v>
      </c>
      <c r="G1126" t="s">
        <v>7134</v>
      </c>
      <c r="H1126" t="s">
        <v>590</v>
      </c>
      <c r="I1126" t="s">
        <v>1462</v>
      </c>
      <c r="J1126">
        <v>5</v>
      </c>
      <c r="K1126">
        <v>45606.44</v>
      </c>
      <c r="L1126">
        <v>8</v>
      </c>
      <c r="M1126">
        <v>84588.13</v>
      </c>
      <c r="N1126">
        <v>-13</v>
      </c>
      <c r="O1126">
        <v>-130194.59</v>
      </c>
      <c r="Y1126">
        <v>-0.02</v>
      </c>
      <c r="Z1126" s="3">
        <f t="shared" si="17"/>
        <v>10014.968461538461</v>
      </c>
    </row>
    <row r="1127" spans="1:26" hidden="1">
      <c r="A1127" t="s">
        <v>707</v>
      </c>
      <c r="B1127" s="6">
        <v>44287</v>
      </c>
      <c r="C1127" s="6">
        <v>44651</v>
      </c>
      <c r="D1127">
        <v>20210401</v>
      </c>
      <c r="E1127">
        <v>20220331</v>
      </c>
      <c r="F1127" t="s">
        <v>7135</v>
      </c>
      <c r="G1127" t="s">
        <v>7136</v>
      </c>
      <c r="H1127" t="s">
        <v>590</v>
      </c>
      <c r="I1127" t="s">
        <v>805</v>
      </c>
      <c r="J1127">
        <v>7</v>
      </c>
      <c r="K1127">
        <v>3850</v>
      </c>
      <c r="L1127">
        <v>6</v>
      </c>
      <c r="M1127">
        <v>3783</v>
      </c>
      <c r="X1127">
        <v>13</v>
      </c>
      <c r="Y1127">
        <v>7633</v>
      </c>
      <c r="Z1127" s="3">
        <f t="shared" si="17"/>
        <v>587.15384615384619</v>
      </c>
    </row>
    <row r="1128" spans="1:26" hidden="1">
      <c r="A1128" t="s">
        <v>707</v>
      </c>
      <c r="B1128" s="6">
        <v>44287</v>
      </c>
      <c r="C1128" s="6">
        <v>44651</v>
      </c>
      <c r="D1128">
        <v>20210401</v>
      </c>
      <c r="E1128">
        <v>20220331</v>
      </c>
      <c r="F1128" t="s">
        <v>7137</v>
      </c>
      <c r="G1128" t="s">
        <v>7138</v>
      </c>
      <c r="H1128" t="s">
        <v>590</v>
      </c>
      <c r="I1128" t="s">
        <v>1462</v>
      </c>
      <c r="L1128">
        <v>10</v>
      </c>
      <c r="M1128">
        <v>5200</v>
      </c>
      <c r="N1128">
        <v>-2</v>
      </c>
      <c r="O1128">
        <v>-1040</v>
      </c>
      <c r="X1128">
        <v>8</v>
      </c>
      <c r="Y1128">
        <v>4160</v>
      </c>
      <c r="Z1128" s="3">
        <f t="shared" si="17"/>
        <v>520</v>
      </c>
    </row>
    <row r="1129" spans="1:26" hidden="1">
      <c r="A1129" t="s">
        <v>707</v>
      </c>
      <c r="B1129" s="6">
        <v>44287</v>
      </c>
      <c r="C1129" s="6">
        <v>44651</v>
      </c>
      <c r="D1129">
        <v>20210401</v>
      </c>
      <c r="E1129">
        <v>20220331</v>
      </c>
      <c r="F1129" t="s">
        <v>7139</v>
      </c>
      <c r="G1129" t="s">
        <v>7140</v>
      </c>
      <c r="H1129" t="s">
        <v>590</v>
      </c>
      <c r="I1129" t="s">
        <v>1462</v>
      </c>
      <c r="J1129">
        <v>3</v>
      </c>
      <c r="K1129">
        <v>4333.74</v>
      </c>
      <c r="X1129">
        <v>3</v>
      </c>
      <c r="Y1129">
        <v>4333.74</v>
      </c>
      <c r="Z1129" s="3">
        <f t="shared" si="17"/>
        <v>1444.58</v>
      </c>
    </row>
    <row r="1130" spans="1:26" hidden="1">
      <c r="A1130" t="s">
        <v>707</v>
      </c>
      <c r="B1130" s="6">
        <v>44287</v>
      </c>
      <c r="C1130" s="6">
        <v>44651</v>
      </c>
      <c r="D1130">
        <v>20210401</v>
      </c>
      <c r="E1130">
        <v>20220331</v>
      </c>
      <c r="F1130" t="s">
        <v>7141</v>
      </c>
      <c r="G1130" t="s">
        <v>7142</v>
      </c>
      <c r="H1130" t="s">
        <v>590</v>
      </c>
      <c r="I1130" t="s">
        <v>1462</v>
      </c>
      <c r="J1130">
        <v>1</v>
      </c>
      <c r="K1130">
        <v>1741.52</v>
      </c>
      <c r="X1130">
        <v>1</v>
      </c>
      <c r="Y1130">
        <v>1741.52</v>
      </c>
      <c r="Z1130" s="3">
        <f t="shared" si="17"/>
        <v>1741.52</v>
      </c>
    </row>
    <row r="1131" spans="1:26" hidden="1">
      <c r="A1131" t="s">
        <v>707</v>
      </c>
      <c r="B1131" s="6">
        <v>44287</v>
      </c>
      <c r="C1131" s="6">
        <v>44651</v>
      </c>
      <c r="D1131">
        <v>20210401</v>
      </c>
      <c r="E1131">
        <v>20220331</v>
      </c>
      <c r="F1131" t="s">
        <v>7143</v>
      </c>
      <c r="G1131" t="s">
        <v>7144</v>
      </c>
      <c r="H1131" t="s">
        <v>590</v>
      </c>
      <c r="I1131" t="s">
        <v>805</v>
      </c>
      <c r="J1131">
        <v>22</v>
      </c>
      <c r="K1131">
        <v>7700</v>
      </c>
      <c r="X1131">
        <v>22</v>
      </c>
      <c r="Y1131">
        <v>7700</v>
      </c>
      <c r="Z1131" s="3">
        <f t="shared" si="17"/>
        <v>350</v>
      </c>
    </row>
    <row r="1132" spans="1:26" hidden="1">
      <c r="A1132" t="s">
        <v>707</v>
      </c>
      <c r="B1132" s="6">
        <v>44287</v>
      </c>
      <c r="C1132" s="6">
        <v>44651</v>
      </c>
      <c r="D1132">
        <v>20210401</v>
      </c>
      <c r="E1132">
        <v>20220331</v>
      </c>
      <c r="F1132" t="s">
        <v>7145</v>
      </c>
      <c r="G1132" t="s">
        <v>7146</v>
      </c>
      <c r="H1132" t="s">
        <v>2834</v>
      </c>
      <c r="I1132" t="s">
        <v>1462</v>
      </c>
      <c r="J1132">
        <v>80</v>
      </c>
      <c r="K1132">
        <v>26880.58</v>
      </c>
      <c r="X1132">
        <v>80</v>
      </c>
      <c r="Y1132">
        <v>26880.58</v>
      </c>
      <c r="Z1132" s="3">
        <f t="shared" si="17"/>
        <v>336.00725</v>
      </c>
    </row>
    <row r="1133" spans="1:26" hidden="1">
      <c r="A1133" t="s">
        <v>707</v>
      </c>
      <c r="B1133" s="6">
        <v>44287</v>
      </c>
      <c r="C1133" s="6">
        <v>44651</v>
      </c>
      <c r="D1133">
        <v>20210401</v>
      </c>
      <c r="E1133">
        <v>20220331</v>
      </c>
      <c r="F1133" t="s">
        <v>7147</v>
      </c>
      <c r="G1133" t="s">
        <v>7148</v>
      </c>
      <c r="I1133" t="s">
        <v>1462</v>
      </c>
      <c r="J1133">
        <v>2</v>
      </c>
      <c r="K1133">
        <v>14365</v>
      </c>
      <c r="X1133">
        <v>2</v>
      </c>
      <c r="Y1133">
        <v>14365</v>
      </c>
      <c r="Z1133" s="3">
        <f t="shared" si="17"/>
        <v>7182.5</v>
      </c>
    </row>
    <row r="1134" spans="1:26" hidden="1">
      <c r="A1134" t="s">
        <v>707</v>
      </c>
      <c r="B1134" s="6">
        <v>44287</v>
      </c>
      <c r="C1134" s="6">
        <v>44651</v>
      </c>
      <c r="D1134">
        <v>20210401</v>
      </c>
      <c r="E1134">
        <v>20220331</v>
      </c>
      <c r="F1134" t="s">
        <v>7149</v>
      </c>
      <c r="G1134" t="s">
        <v>7150</v>
      </c>
      <c r="H1134" t="s">
        <v>590</v>
      </c>
      <c r="I1134" t="s">
        <v>1462</v>
      </c>
      <c r="J1134">
        <v>1</v>
      </c>
      <c r="K1134">
        <v>11500</v>
      </c>
      <c r="X1134">
        <v>1</v>
      </c>
      <c r="Y1134">
        <v>11500</v>
      </c>
      <c r="Z1134" s="3">
        <f t="shared" si="17"/>
        <v>11500</v>
      </c>
    </row>
    <row r="1135" spans="1:26" hidden="1">
      <c r="A1135" t="s">
        <v>707</v>
      </c>
      <c r="B1135" s="6">
        <v>44287</v>
      </c>
      <c r="C1135" s="6">
        <v>44651</v>
      </c>
      <c r="D1135">
        <v>20210401</v>
      </c>
      <c r="E1135">
        <v>20220331</v>
      </c>
      <c r="F1135" t="s">
        <v>7151</v>
      </c>
      <c r="G1135" t="s">
        <v>7152</v>
      </c>
      <c r="H1135" t="s">
        <v>590</v>
      </c>
      <c r="I1135" t="s">
        <v>1462</v>
      </c>
      <c r="J1135">
        <v>1</v>
      </c>
      <c r="K1135">
        <v>240</v>
      </c>
      <c r="L1135">
        <v>6</v>
      </c>
      <c r="M1135">
        <v>3900</v>
      </c>
      <c r="N1135">
        <v>-2</v>
      </c>
      <c r="O1135">
        <v>-1182.8599999999999</v>
      </c>
      <c r="X1135">
        <v>5</v>
      </c>
      <c r="Y1135">
        <v>2957.14</v>
      </c>
      <c r="Z1135" s="3">
        <f t="shared" si="17"/>
        <v>591.42999999999995</v>
      </c>
    </row>
    <row r="1136" spans="1:26" hidden="1">
      <c r="A1136" t="s">
        <v>707</v>
      </c>
      <c r="B1136" s="6">
        <v>44287</v>
      </c>
      <c r="C1136" s="6">
        <v>44651</v>
      </c>
      <c r="D1136">
        <v>20210401</v>
      </c>
      <c r="E1136">
        <v>20220331</v>
      </c>
      <c r="F1136" t="s">
        <v>4667</v>
      </c>
      <c r="G1136" t="s">
        <v>4668</v>
      </c>
      <c r="H1136" t="s">
        <v>2073</v>
      </c>
      <c r="I1136" t="s">
        <v>1462</v>
      </c>
      <c r="J1136">
        <v>60</v>
      </c>
      <c r="K1136">
        <v>10500</v>
      </c>
      <c r="L1136">
        <v>50</v>
      </c>
      <c r="M1136">
        <v>8750</v>
      </c>
      <c r="N1136">
        <v>-110</v>
      </c>
      <c r="O1136">
        <v>-19250</v>
      </c>
      <c r="Z1136" s="3">
        <f t="shared" si="17"/>
        <v>175</v>
      </c>
    </row>
    <row r="1137" spans="1:26" hidden="1">
      <c r="A1137" t="s">
        <v>707</v>
      </c>
      <c r="B1137" s="6">
        <v>44287</v>
      </c>
      <c r="C1137" s="6">
        <v>44651</v>
      </c>
      <c r="D1137">
        <v>20210401</v>
      </c>
      <c r="E1137">
        <v>20220331</v>
      </c>
      <c r="F1137" t="s">
        <v>7153</v>
      </c>
      <c r="G1137" t="s">
        <v>7154</v>
      </c>
      <c r="H1137" t="s">
        <v>590</v>
      </c>
      <c r="I1137" t="s">
        <v>1462</v>
      </c>
      <c r="J1137">
        <v>11</v>
      </c>
      <c r="K1137">
        <v>46712.86</v>
      </c>
      <c r="L1137">
        <v>11</v>
      </c>
      <c r="M1137">
        <v>46080.33</v>
      </c>
      <c r="N1137">
        <v>-15</v>
      </c>
      <c r="O1137">
        <v>-62704.800000000003</v>
      </c>
      <c r="X1137">
        <v>7</v>
      </c>
      <c r="Y1137">
        <v>30088.39</v>
      </c>
      <c r="Z1137" s="3">
        <f t="shared" si="17"/>
        <v>4180.3200000000006</v>
      </c>
    </row>
    <row r="1138" spans="1:26" hidden="1">
      <c r="A1138" t="s">
        <v>707</v>
      </c>
      <c r="B1138" s="6">
        <v>44287</v>
      </c>
      <c r="C1138" s="6">
        <v>44651</v>
      </c>
      <c r="D1138">
        <v>20210401</v>
      </c>
      <c r="E1138">
        <v>20220331</v>
      </c>
      <c r="F1138" t="s">
        <v>7155</v>
      </c>
      <c r="G1138" t="s">
        <v>7156</v>
      </c>
      <c r="H1138" t="s">
        <v>613</v>
      </c>
      <c r="I1138" t="s">
        <v>1462</v>
      </c>
      <c r="L1138">
        <v>2</v>
      </c>
      <c r="M1138">
        <v>12400</v>
      </c>
      <c r="N1138">
        <v>-1</v>
      </c>
      <c r="O1138">
        <v>-6200</v>
      </c>
      <c r="X1138">
        <v>1</v>
      </c>
      <c r="Y1138">
        <v>6200</v>
      </c>
      <c r="Z1138" s="3">
        <f t="shared" si="17"/>
        <v>6200</v>
      </c>
    </row>
    <row r="1139" spans="1:26" hidden="1">
      <c r="A1139" t="s">
        <v>707</v>
      </c>
      <c r="B1139" s="6">
        <v>44287</v>
      </c>
      <c r="C1139" s="6">
        <v>44651</v>
      </c>
      <c r="D1139">
        <v>20210401</v>
      </c>
      <c r="E1139">
        <v>20220331</v>
      </c>
      <c r="F1139" t="s">
        <v>7157</v>
      </c>
      <c r="G1139" t="s">
        <v>4688</v>
      </c>
      <c r="H1139" t="s">
        <v>2073</v>
      </c>
      <c r="I1139" t="s">
        <v>1462</v>
      </c>
      <c r="L1139">
        <v>100</v>
      </c>
      <c r="M1139">
        <v>2200</v>
      </c>
      <c r="N1139">
        <v>-100</v>
      </c>
      <c r="O1139">
        <v>-2200</v>
      </c>
      <c r="Z1139" s="3">
        <f t="shared" si="17"/>
        <v>22</v>
      </c>
    </row>
    <row r="1140" spans="1:26" hidden="1">
      <c r="A1140" t="s">
        <v>707</v>
      </c>
      <c r="B1140" s="6">
        <v>44287</v>
      </c>
      <c r="C1140" s="6">
        <v>44651</v>
      </c>
      <c r="D1140">
        <v>20210401</v>
      </c>
      <c r="E1140">
        <v>20220331</v>
      </c>
      <c r="F1140" t="s">
        <v>7158</v>
      </c>
      <c r="G1140" t="s">
        <v>7159</v>
      </c>
      <c r="I1140" t="s">
        <v>1462</v>
      </c>
      <c r="J1140">
        <v>1</v>
      </c>
      <c r="K1140">
        <v>4522.24</v>
      </c>
      <c r="N1140">
        <v>-1</v>
      </c>
      <c r="O1140">
        <v>-4522.24</v>
      </c>
      <c r="Z1140" s="3">
        <f t="shared" si="17"/>
        <v>4522.24</v>
      </c>
    </row>
    <row r="1141" spans="1:26" hidden="1">
      <c r="A1141" t="s">
        <v>707</v>
      </c>
      <c r="B1141" s="6">
        <v>44287</v>
      </c>
      <c r="C1141" s="6">
        <v>44651</v>
      </c>
      <c r="D1141">
        <v>20210401</v>
      </c>
      <c r="E1141">
        <v>20220331</v>
      </c>
      <c r="F1141" t="s">
        <v>7160</v>
      </c>
      <c r="G1141" t="s">
        <v>7161</v>
      </c>
      <c r="H1141" t="s">
        <v>590</v>
      </c>
      <c r="I1141" t="s">
        <v>1462</v>
      </c>
      <c r="L1141">
        <v>6</v>
      </c>
      <c r="M1141">
        <v>2450.5</v>
      </c>
      <c r="N1141">
        <v>-2</v>
      </c>
      <c r="O1141">
        <v>-700</v>
      </c>
      <c r="X1141">
        <v>4</v>
      </c>
      <c r="Y1141">
        <v>1750.5</v>
      </c>
      <c r="Z1141" s="3">
        <f t="shared" si="17"/>
        <v>350</v>
      </c>
    </row>
    <row r="1142" spans="1:26" hidden="1">
      <c r="A1142" t="s">
        <v>707</v>
      </c>
      <c r="B1142" s="6">
        <v>44287</v>
      </c>
      <c r="C1142" s="6">
        <v>44651</v>
      </c>
      <c r="D1142">
        <v>20210401</v>
      </c>
      <c r="E1142">
        <v>20220331</v>
      </c>
      <c r="F1142" t="s">
        <v>4685</v>
      </c>
      <c r="G1142" t="s">
        <v>4686</v>
      </c>
      <c r="H1142" t="s">
        <v>590</v>
      </c>
      <c r="I1142" t="s">
        <v>805</v>
      </c>
      <c r="J1142">
        <v>2401</v>
      </c>
      <c r="K1142">
        <v>86652.47</v>
      </c>
      <c r="L1142">
        <v>5150</v>
      </c>
      <c r="M1142">
        <v>185400</v>
      </c>
      <c r="N1142">
        <v>-6701</v>
      </c>
      <c r="O1142">
        <v>-241236</v>
      </c>
      <c r="X1142">
        <v>850</v>
      </c>
      <c r="Y1142">
        <v>30816.47</v>
      </c>
      <c r="Z1142" s="3">
        <f t="shared" si="17"/>
        <v>36</v>
      </c>
    </row>
    <row r="1143" spans="1:26" hidden="1">
      <c r="A1143" t="s">
        <v>707</v>
      </c>
      <c r="B1143" s="6">
        <v>44287</v>
      </c>
      <c r="C1143" s="6">
        <v>44651</v>
      </c>
      <c r="D1143">
        <v>20210401</v>
      </c>
      <c r="E1143">
        <v>20220331</v>
      </c>
      <c r="F1143" t="s">
        <v>7162</v>
      </c>
      <c r="G1143" t="s">
        <v>7163</v>
      </c>
      <c r="H1143" t="s">
        <v>590</v>
      </c>
      <c r="I1143" t="s">
        <v>805</v>
      </c>
      <c r="J1143">
        <v>31</v>
      </c>
      <c r="K1143">
        <v>9314.08</v>
      </c>
      <c r="N1143">
        <v>-6</v>
      </c>
      <c r="O1143">
        <v>-1802.7</v>
      </c>
      <c r="X1143">
        <v>25</v>
      </c>
      <c r="Y1143">
        <v>7511.38</v>
      </c>
      <c r="Z1143" s="3">
        <f t="shared" si="17"/>
        <v>300.45</v>
      </c>
    </row>
    <row r="1144" spans="1:26" hidden="1">
      <c r="A1144" t="s">
        <v>707</v>
      </c>
      <c r="B1144" s="6">
        <v>44287</v>
      </c>
      <c r="C1144" s="6">
        <v>44651</v>
      </c>
      <c r="D1144">
        <v>20210401</v>
      </c>
      <c r="E1144">
        <v>20220331</v>
      </c>
      <c r="F1144" t="s">
        <v>7164</v>
      </c>
      <c r="G1144" t="s">
        <v>7165</v>
      </c>
      <c r="H1144" t="s">
        <v>590</v>
      </c>
      <c r="I1144" t="s">
        <v>805</v>
      </c>
      <c r="J1144">
        <v>50</v>
      </c>
      <c r="K1144">
        <v>500</v>
      </c>
      <c r="N1144">
        <v>-24</v>
      </c>
      <c r="O1144">
        <v>-240</v>
      </c>
      <c r="X1144">
        <v>26</v>
      </c>
      <c r="Y1144">
        <v>260</v>
      </c>
      <c r="Z1144" s="3">
        <f t="shared" si="17"/>
        <v>10</v>
      </c>
    </row>
    <row r="1145" spans="1:26" hidden="1">
      <c r="A1145" t="s">
        <v>707</v>
      </c>
      <c r="B1145" s="6">
        <v>44287</v>
      </c>
      <c r="C1145" s="6">
        <v>44651</v>
      </c>
      <c r="D1145">
        <v>20210401</v>
      </c>
      <c r="E1145">
        <v>20220331</v>
      </c>
      <c r="F1145" t="s">
        <v>7166</v>
      </c>
      <c r="G1145" t="s">
        <v>7167</v>
      </c>
      <c r="H1145" t="s">
        <v>590</v>
      </c>
      <c r="I1145" t="s">
        <v>1462</v>
      </c>
      <c r="J1145">
        <v>1</v>
      </c>
      <c r="K1145">
        <v>380.16</v>
      </c>
      <c r="L1145">
        <v>6</v>
      </c>
      <c r="M1145">
        <v>2600.5</v>
      </c>
      <c r="N1145">
        <v>-3</v>
      </c>
      <c r="O1145">
        <v>-1363.83</v>
      </c>
      <c r="X1145">
        <v>4</v>
      </c>
      <c r="Y1145">
        <v>1616.83</v>
      </c>
      <c r="Z1145" s="3">
        <f t="shared" si="17"/>
        <v>454.60999999999996</v>
      </c>
    </row>
    <row r="1146" spans="1:26" hidden="1">
      <c r="A1146" t="s">
        <v>707</v>
      </c>
      <c r="B1146" s="6">
        <v>44287</v>
      </c>
      <c r="C1146" s="6">
        <v>44651</v>
      </c>
      <c r="D1146">
        <v>20210401</v>
      </c>
      <c r="E1146">
        <v>20220331</v>
      </c>
      <c r="F1146" t="s">
        <v>7168</v>
      </c>
      <c r="G1146" t="s">
        <v>7169</v>
      </c>
      <c r="H1146" t="s">
        <v>590</v>
      </c>
      <c r="I1146" t="s">
        <v>1462</v>
      </c>
      <c r="J1146">
        <v>24</v>
      </c>
      <c r="K1146">
        <v>8400</v>
      </c>
      <c r="N1146">
        <v>-6</v>
      </c>
      <c r="O1146">
        <v>-2100</v>
      </c>
      <c r="X1146">
        <v>18</v>
      </c>
      <c r="Y1146">
        <v>6300</v>
      </c>
      <c r="Z1146" s="3">
        <f t="shared" si="17"/>
        <v>350</v>
      </c>
    </row>
    <row r="1147" spans="1:26" hidden="1">
      <c r="A1147" t="s">
        <v>707</v>
      </c>
      <c r="B1147" s="6">
        <v>44287</v>
      </c>
      <c r="C1147" s="6">
        <v>44651</v>
      </c>
      <c r="D1147">
        <v>20210401</v>
      </c>
      <c r="E1147">
        <v>20220331</v>
      </c>
      <c r="F1147" t="s">
        <v>7170</v>
      </c>
      <c r="G1147" t="s">
        <v>7171</v>
      </c>
      <c r="H1147" t="s">
        <v>590</v>
      </c>
      <c r="I1147" t="s">
        <v>1462</v>
      </c>
      <c r="J1147">
        <v>5</v>
      </c>
      <c r="K1147">
        <v>15072.5</v>
      </c>
      <c r="N1147">
        <v>-1</v>
      </c>
      <c r="O1147">
        <v>-3014.5</v>
      </c>
      <c r="X1147">
        <v>4</v>
      </c>
      <c r="Y1147">
        <v>12058</v>
      </c>
      <c r="Z1147" s="3">
        <f t="shared" si="17"/>
        <v>3014.5</v>
      </c>
    </row>
    <row r="1148" spans="1:26" hidden="1">
      <c r="A1148" t="s">
        <v>707</v>
      </c>
      <c r="B1148" s="6">
        <v>44287</v>
      </c>
      <c r="C1148" s="6">
        <v>44651</v>
      </c>
      <c r="D1148">
        <v>20210401</v>
      </c>
      <c r="E1148">
        <v>20220331</v>
      </c>
      <c r="F1148" t="s">
        <v>7172</v>
      </c>
      <c r="G1148" t="s">
        <v>7173</v>
      </c>
      <c r="H1148" t="s">
        <v>590</v>
      </c>
      <c r="I1148" t="s">
        <v>1462</v>
      </c>
      <c r="L1148">
        <v>20</v>
      </c>
      <c r="M1148">
        <v>11400</v>
      </c>
      <c r="N1148">
        <v>-1</v>
      </c>
      <c r="O1148">
        <v>-570</v>
      </c>
      <c r="X1148">
        <v>19</v>
      </c>
      <c r="Y1148">
        <v>10830</v>
      </c>
      <c r="Z1148" s="3">
        <f t="shared" si="17"/>
        <v>570</v>
      </c>
    </row>
    <row r="1149" spans="1:26" hidden="1">
      <c r="A1149" t="s">
        <v>707</v>
      </c>
      <c r="B1149" s="6">
        <v>44287</v>
      </c>
      <c r="C1149" s="6">
        <v>44651</v>
      </c>
      <c r="D1149">
        <v>20210401</v>
      </c>
      <c r="E1149">
        <v>20220331</v>
      </c>
      <c r="F1149" t="s">
        <v>7174</v>
      </c>
      <c r="G1149" t="s">
        <v>7175</v>
      </c>
      <c r="H1149" t="s">
        <v>590</v>
      </c>
      <c r="I1149" t="s">
        <v>1462</v>
      </c>
      <c r="L1149">
        <v>4</v>
      </c>
      <c r="M1149">
        <v>1520</v>
      </c>
      <c r="N1149">
        <v>-1</v>
      </c>
      <c r="O1149">
        <v>-380</v>
      </c>
      <c r="X1149">
        <v>3</v>
      </c>
      <c r="Y1149">
        <v>1140</v>
      </c>
      <c r="Z1149" s="3">
        <f t="shared" si="17"/>
        <v>380</v>
      </c>
    </row>
    <row r="1150" spans="1:26" hidden="1">
      <c r="A1150" t="s">
        <v>707</v>
      </c>
      <c r="B1150" s="6">
        <v>44287</v>
      </c>
      <c r="C1150" s="6">
        <v>44651</v>
      </c>
      <c r="D1150">
        <v>20210401</v>
      </c>
      <c r="E1150">
        <v>20220331</v>
      </c>
      <c r="F1150" t="s">
        <v>4705</v>
      </c>
      <c r="G1150" t="s">
        <v>4706</v>
      </c>
      <c r="H1150" t="s">
        <v>1973</v>
      </c>
      <c r="I1150" t="s">
        <v>805</v>
      </c>
      <c r="J1150">
        <v>6</v>
      </c>
      <c r="K1150">
        <v>9744</v>
      </c>
      <c r="L1150">
        <v>12</v>
      </c>
      <c r="M1150">
        <v>20544</v>
      </c>
      <c r="N1150">
        <v>-3</v>
      </c>
      <c r="O1150">
        <v>-5048</v>
      </c>
      <c r="R1150">
        <v>-6</v>
      </c>
      <c r="S1150">
        <v>-9832</v>
      </c>
      <c r="X1150">
        <v>9</v>
      </c>
      <c r="Y1150">
        <v>15408</v>
      </c>
      <c r="Z1150" s="3">
        <f t="shared" si="17"/>
        <v>1682.6666666666667</v>
      </c>
    </row>
    <row r="1151" spans="1:26" hidden="1">
      <c r="A1151" t="s">
        <v>707</v>
      </c>
      <c r="B1151" s="6">
        <v>44287</v>
      </c>
      <c r="C1151" s="6">
        <v>44651</v>
      </c>
      <c r="D1151">
        <v>20210401</v>
      </c>
      <c r="E1151">
        <v>20220331</v>
      </c>
      <c r="F1151" t="s">
        <v>4707</v>
      </c>
      <c r="G1151" t="s">
        <v>4708</v>
      </c>
      <c r="H1151" t="s">
        <v>590</v>
      </c>
      <c r="I1151" t="s">
        <v>1462</v>
      </c>
      <c r="J1151">
        <v>8</v>
      </c>
      <c r="K1151">
        <v>19649.88</v>
      </c>
      <c r="L1151">
        <v>6</v>
      </c>
      <c r="M1151">
        <v>9450</v>
      </c>
      <c r="N1151">
        <v>-5</v>
      </c>
      <c r="O1151">
        <v>-6178.61</v>
      </c>
      <c r="R1151">
        <v>-5</v>
      </c>
      <c r="S1151">
        <v>-6289.21</v>
      </c>
      <c r="X1151">
        <v>4</v>
      </c>
      <c r="Y1151">
        <v>16632.060000000001</v>
      </c>
      <c r="Z1151" s="3">
        <f t="shared" si="17"/>
        <v>1235.722</v>
      </c>
    </row>
    <row r="1152" spans="1:26" hidden="1">
      <c r="A1152" t="s">
        <v>707</v>
      </c>
      <c r="B1152" s="6">
        <v>44287</v>
      </c>
      <c r="C1152" s="6">
        <v>44651</v>
      </c>
      <c r="D1152">
        <v>20210401</v>
      </c>
      <c r="E1152">
        <v>20220331</v>
      </c>
      <c r="F1152" t="s">
        <v>7176</v>
      </c>
      <c r="G1152" t="s">
        <v>7177</v>
      </c>
      <c r="H1152" t="s">
        <v>590</v>
      </c>
      <c r="I1152" t="s">
        <v>1462</v>
      </c>
      <c r="J1152">
        <v>28</v>
      </c>
      <c r="K1152">
        <v>4833.1499999999996</v>
      </c>
      <c r="N1152">
        <v>-3</v>
      </c>
      <c r="O1152">
        <v>-153.54</v>
      </c>
      <c r="R1152">
        <v>-6</v>
      </c>
      <c r="S1152">
        <v>-307.08999999999997</v>
      </c>
      <c r="X1152">
        <v>19</v>
      </c>
      <c r="Y1152">
        <v>4372.5200000000004</v>
      </c>
      <c r="Z1152" s="3">
        <f t="shared" si="17"/>
        <v>51.18</v>
      </c>
    </row>
    <row r="1153" spans="1:26" hidden="1">
      <c r="A1153" t="s">
        <v>707</v>
      </c>
      <c r="B1153" s="6">
        <v>44287</v>
      </c>
      <c r="C1153" s="6">
        <v>44651</v>
      </c>
      <c r="D1153">
        <v>20210401</v>
      </c>
      <c r="E1153">
        <v>20220331</v>
      </c>
      <c r="F1153" t="s">
        <v>7178</v>
      </c>
      <c r="G1153" t="s">
        <v>7179</v>
      </c>
      <c r="H1153" t="s">
        <v>590</v>
      </c>
      <c r="I1153" t="s">
        <v>1462</v>
      </c>
      <c r="J1153">
        <v>4</v>
      </c>
      <c r="K1153">
        <v>4200</v>
      </c>
      <c r="X1153">
        <v>4</v>
      </c>
      <c r="Y1153">
        <v>4200</v>
      </c>
      <c r="Z1153" s="3">
        <f t="shared" si="17"/>
        <v>1050</v>
      </c>
    </row>
    <row r="1154" spans="1:26" hidden="1">
      <c r="A1154" t="s">
        <v>707</v>
      </c>
      <c r="B1154" s="6">
        <v>44287</v>
      </c>
      <c r="C1154" s="6">
        <v>44651</v>
      </c>
      <c r="D1154">
        <v>20210401</v>
      </c>
      <c r="E1154">
        <v>20220331</v>
      </c>
      <c r="F1154" t="s">
        <v>7180</v>
      </c>
      <c r="G1154" t="s">
        <v>7181</v>
      </c>
      <c r="H1154" t="s">
        <v>590</v>
      </c>
      <c r="I1154" t="s">
        <v>1462</v>
      </c>
      <c r="J1154">
        <v>5</v>
      </c>
      <c r="K1154">
        <v>33750</v>
      </c>
      <c r="X1154">
        <v>5</v>
      </c>
      <c r="Y1154">
        <v>33750</v>
      </c>
      <c r="Z1154" s="3">
        <f t="shared" si="17"/>
        <v>6750</v>
      </c>
    </row>
    <row r="1155" spans="1:26" hidden="1">
      <c r="A1155" t="s">
        <v>707</v>
      </c>
      <c r="B1155" s="6">
        <v>44287</v>
      </c>
      <c r="C1155" s="6">
        <v>44651</v>
      </c>
      <c r="D1155">
        <v>20210401</v>
      </c>
      <c r="E1155">
        <v>20220331</v>
      </c>
      <c r="F1155" t="s">
        <v>7182</v>
      </c>
      <c r="G1155" t="s">
        <v>7183</v>
      </c>
      <c r="H1155" t="s">
        <v>590</v>
      </c>
      <c r="I1155" t="s">
        <v>1462</v>
      </c>
      <c r="J1155">
        <v>8</v>
      </c>
      <c r="K1155">
        <v>680</v>
      </c>
      <c r="N1155">
        <v>-3</v>
      </c>
      <c r="O1155">
        <v>-255</v>
      </c>
      <c r="R1155">
        <v>-1</v>
      </c>
      <c r="S1155">
        <v>-85</v>
      </c>
      <c r="X1155">
        <v>4</v>
      </c>
      <c r="Y1155">
        <v>340</v>
      </c>
      <c r="Z1155" s="3">
        <f t="shared" ref="Z1155:Z1218" si="18">IFERROR((O1155+Q1155)/(N1155+P1155),Y1155/X1155)</f>
        <v>85</v>
      </c>
    </row>
    <row r="1156" spans="1:26" hidden="1">
      <c r="A1156" t="s">
        <v>707</v>
      </c>
      <c r="B1156" s="6">
        <v>44287</v>
      </c>
      <c r="C1156" s="6">
        <v>44651</v>
      </c>
      <c r="D1156">
        <v>20210401</v>
      </c>
      <c r="E1156">
        <v>20220331</v>
      </c>
      <c r="F1156" t="s">
        <v>4709</v>
      </c>
      <c r="G1156" t="s">
        <v>4710</v>
      </c>
      <c r="H1156" t="s">
        <v>590</v>
      </c>
      <c r="I1156" t="s">
        <v>1462</v>
      </c>
      <c r="J1156">
        <v>9</v>
      </c>
      <c r="K1156">
        <v>39130.39</v>
      </c>
      <c r="N1156">
        <v>-1</v>
      </c>
      <c r="O1156">
        <v>-5537.39</v>
      </c>
      <c r="R1156">
        <v>-2</v>
      </c>
      <c r="S1156">
        <v>-11074.77</v>
      </c>
      <c r="X1156">
        <v>6</v>
      </c>
      <c r="Y1156">
        <v>22518.23</v>
      </c>
      <c r="Z1156" s="3">
        <f t="shared" si="18"/>
        <v>5537.39</v>
      </c>
    </row>
    <row r="1157" spans="1:26" hidden="1">
      <c r="A1157" t="s">
        <v>707</v>
      </c>
      <c r="B1157" s="6">
        <v>44287</v>
      </c>
      <c r="C1157" s="6">
        <v>44651</v>
      </c>
      <c r="D1157">
        <v>20210401</v>
      </c>
      <c r="E1157">
        <v>20220331</v>
      </c>
      <c r="F1157" t="s">
        <v>4711</v>
      </c>
      <c r="G1157" t="s">
        <v>4712</v>
      </c>
      <c r="H1157" t="s">
        <v>590</v>
      </c>
      <c r="I1157" t="s">
        <v>1462</v>
      </c>
      <c r="J1157">
        <v>3</v>
      </c>
      <c r="K1157">
        <v>30435</v>
      </c>
      <c r="R1157">
        <v>-1</v>
      </c>
      <c r="S1157">
        <v>-2429</v>
      </c>
      <c r="X1157">
        <v>2</v>
      </c>
      <c r="Y1157">
        <v>28006</v>
      </c>
      <c r="Z1157" s="3">
        <f t="shared" si="18"/>
        <v>14003</v>
      </c>
    </row>
    <row r="1158" spans="1:26" hidden="1">
      <c r="A1158" t="s">
        <v>707</v>
      </c>
      <c r="B1158" s="6">
        <v>44287</v>
      </c>
      <c r="C1158" s="6">
        <v>44651</v>
      </c>
      <c r="D1158">
        <v>20210401</v>
      </c>
      <c r="E1158">
        <v>20220331</v>
      </c>
      <c r="F1158" t="s">
        <v>4713</v>
      </c>
      <c r="G1158" t="s">
        <v>4714</v>
      </c>
      <c r="H1158" t="s">
        <v>590</v>
      </c>
      <c r="I1158" t="s">
        <v>1462</v>
      </c>
      <c r="J1158">
        <v>8</v>
      </c>
      <c r="K1158">
        <v>5025.1400000000003</v>
      </c>
      <c r="R1158">
        <v>-3</v>
      </c>
      <c r="S1158">
        <v>-1416</v>
      </c>
      <c r="X1158">
        <v>5</v>
      </c>
      <c r="Y1158">
        <v>3609.14</v>
      </c>
      <c r="Z1158" s="3">
        <f t="shared" si="18"/>
        <v>721.82799999999997</v>
      </c>
    </row>
    <row r="1159" spans="1:26" hidden="1">
      <c r="A1159" t="s">
        <v>707</v>
      </c>
      <c r="B1159" s="6">
        <v>44287</v>
      </c>
      <c r="C1159" s="6">
        <v>44651</v>
      </c>
      <c r="D1159">
        <v>20210401</v>
      </c>
      <c r="E1159">
        <v>20220331</v>
      </c>
      <c r="F1159" t="s">
        <v>7184</v>
      </c>
      <c r="G1159" t="s">
        <v>7185</v>
      </c>
      <c r="H1159" t="s">
        <v>590</v>
      </c>
      <c r="I1159" t="s">
        <v>1462</v>
      </c>
      <c r="J1159">
        <v>2</v>
      </c>
      <c r="K1159">
        <v>7904.53</v>
      </c>
      <c r="L1159">
        <v>2</v>
      </c>
      <c r="M1159">
        <v>3400</v>
      </c>
      <c r="R1159">
        <v>-3</v>
      </c>
      <c r="S1159">
        <v>-4062.14</v>
      </c>
      <c r="X1159">
        <v>1</v>
      </c>
      <c r="Y1159">
        <v>7242.39</v>
      </c>
      <c r="Z1159" s="3">
        <f t="shared" si="18"/>
        <v>7242.39</v>
      </c>
    </row>
    <row r="1160" spans="1:26" hidden="1">
      <c r="A1160" t="s">
        <v>707</v>
      </c>
      <c r="B1160" s="6">
        <v>44287</v>
      </c>
      <c r="C1160" s="6">
        <v>44651</v>
      </c>
      <c r="D1160">
        <v>20210401</v>
      </c>
      <c r="E1160">
        <v>20220331</v>
      </c>
      <c r="F1160" t="s">
        <v>7186</v>
      </c>
      <c r="G1160" t="s">
        <v>7187</v>
      </c>
      <c r="H1160" t="s">
        <v>590</v>
      </c>
      <c r="I1160" t="s">
        <v>1462</v>
      </c>
      <c r="J1160">
        <v>4</v>
      </c>
      <c r="K1160">
        <v>980</v>
      </c>
      <c r="X1160">
        <v>4</v>
      </c>
      <c r="Y1160">
        <v>980</v>
      </c>
      <c r="Z1160" s="3">
        <f t="shared" si="18"/>
        <v>245</v>
      </c>
    </row>
    <row r="1161" spans="1:26" hidden="1">
      <c r="A1161" t="s">
        <v>707</v>
      </c>
      <c r="B1161" s="6">
        <v>44287</v>
      </c>
      <c r="C1161" s="6">
        <v>44651</v>
      </c>
      <c r="D1161">
        <v>20210401</v>
      </c>
      <c r="E1161">
        <v>20220331</v>
      </c>
      <c r="F1161" t="s">
        <v>4717</v>
      </c>
      <c r="G1161" t="s">
        <v>4718</v>
      </c>
      <c r="H1161" t="s">
        <v>590</v>
      </c>
      <c r="I1161" t="s">
        <v>1462</v>
      </c>
      <c r="J1161">
        <v>19</v>
      </c>
      <c r="K1161">
        <v>9123.66</v>
      </c>
      <c r="R1161">
        <v>-4</v>
      </c>
      <c r="S1161">
        <v>-11646.5</v>
      </c>
      <c r="X1161">
        <v>15</v>
      </c>
      <c r="Y1161">
        <v>-2522.84</v>
      </c>
      <c r="Z1161" s="3">
        <f t="shared" si="18"/>
        <v>-168.18933333333334</v>
      </c>
    </row>
    <row r="1162" spans="1:26" hidden="1">
      <c r="A1162" t="s">
        <v>707</v>
      </c>
      <c r="B1162" s="6">
        <v>44287</v>
      </c>
      <c r="C1162" s="6">
        <v>44651</v>
      </c>
      <c r="D1162">
        <v>20210401</v>
      </c>
      <c r="E1162">
        <v>20220331</v>
      </c>
      <c r="F1162" t="s">
        <v>4723</v>
      </c>
      <c r="G1162" t="s">
        <v>4724</v>
      </c>
      <c r="H1162" t="s">
        <v>590</v>
      </c>
      <c r="I1162" t="s">
        <v>1462</v>
      </c>
      <c r="J1162">
        <v>1</v>
      </c>
      <c r="K1162">
        <v>3456</v>
      </c>
      <c r="X1162">
        <v>1</v>
      </c>
      <c r="Y1162">
        <v>3456</v>
      </c>
      <c r="Z1162" s="3">
        <f t="shared" si="18"/>
        <v>3456</v>
      </c>
    </row>
    <row r="1163" spans="1:26" hidden="1">
      <c r="A1163" t="s">
        <v>707</v>
      </c>
      <c r="B1163" s="6">
        <v>44287</v>
      </c>
      <c r="C1163" s="6">
        <v>44651</v>
      </c>
      <c r="D1163">
        <v>20210401</v>
      </c>
      <c r="E1163">
        <v>20220331</v>
      </c>
      <c r="F1163" t="s">
        <v>4725</v>
      </c>
      <c r="G1163" t="s">
        <v>4726</v>
      </c>
      <c r="H1163" t="s">
        <v>590</v>
      </c>
      <c r="I1163" t="s">
        <v>1462</v>
      </c>
      <c r="J1163">
        <v>2</v>
      </c>
      <c r="K1163">
        <v>3050.24</v>
      </c>
      <c r="L1163">
        <v>4</v>
      </c>
      <c r="M1163">
        <v>6800</v>
      </c>
      <c r="R1163">
        <v>-3</v>
      </c>
      <c r="S1163">
        <v>-4855.1899999999996</v>
      </c>
      <c r="X1163">
        <v>3</v>
      </c>
      <c r="Y1163">
        <v>4995.05</v>
      </c>
      <c r="Z1163" s="3">
        <f t="shared" si="18"/>
        <v>1665.0166666666667</v>
      </c>
    </row>
    <row r="1164" spans="1:26" hidden="1">
      <c r="A1164" t="s">
        <v>707</v>
      </c>
      <c r="B1164" s="6">
        <v>44287</v>
      </c>
      <c r="C1164" s="6">
        <v>44651</v>
      </c>
      <c r="D1164">
        <v>20210401</v>
      </c>
      <c r="E1164">
        <v>20220331</v>
      </c>
      <c r="F1164" t="s">
        <v>4727</v>
      </c>
      <c r="G1164" t="s">
        <v>4728</v>
      </c>
      <c r="H1164" t="s">
        <v>590</v>
      </c>
      <c r="I1164" t="s">
        <v>1462</v>
      </c>
      <c r="J1164">
        <v>8</v>
      </c>
      <c r="K1164">
        <v>3283.28</v>
      </c>
      <c r="R1164">
        <v>-3</v>
      </c>
      <c r="S1164">
        <v>-1437.63</v>
      </c>
      <c r="X1164">
        <v>5</v>
      </c>
      <c r="Y1164">
        <v>1845.65</v>
      </c>
      <c r="Z1164" s="3">
        <f t="shared" si="18"/>
        <v>369.13</v>
      </c>
    </row>
    <row r="1165" spans="1:26" hidden="1">
      <c r="A1165" t="s">
        <v>707</v>
      </c>
      <c r="B1165" s="6">
        <v>44287</v>
      </c>
      <c r="C1165" s="6">
        <v>44651</v>
      </c>
      <c r="D1165">
        <v>20210401</v>
      </c>
      <c r="E1165">
        <v>20220331</v>
      </c>
      <c r="F1165" t="s">
        <v>7188</v>
      </c>
      <c r="G1165" t="s">
        <v>7189</v>
      </c>
      <c r="H1165" t="s">
        <v>590</v>
      </c>
      <c r="I1165" t="s">
        <v>1462</v>
      </c>
      <c r="L1165">
        <v>1</v>
      </c>
      <c r="M1165">
        <v>20250</v>
      </c>
      <c r="X1165">
        <v>1</v>
      </c>
      <c r="Y1165">
        <v>20250</v>
      </c>
      <c r="Z1165" s="3">
        <f t="shared" si="18"/>
        <v>20250</v>
      </c>
    </row>
    <row r="1166" spans="1:26" hidden="1">
      <c r="A1166" t="s">
        <v>707</v>
      </c>
      <c r="B1166" s="6">
        <v>44287</v>
      </c>
      <c r="C1166" s="6">
        <v>44651</v>
      </c>
      <c r="D1166">
        <v>20210401</v>
      </c>
      <c r="E1166">
        <v>20220331</v>
      </c>
      <c r="F1166" t="s">
        <v>7190</v>
      </c>
      <c r="G1166" t="s">
        <v>7191</v>
      </c>
      <c r="H1166" t="s">
        <v>590</v>
      </c>
      <c r="I1166" t="s">
        <v>1462</v>
      </c>
      <c r="J1166">
        <v>1</v>
      </c>
      <c r="K1166">
        <v>5474.8</v>
      </c>
      <c r="X1166">
        <v>1</v>
      </c>
      <c r="Y1166">
        <v>5474.8</v>
      </c>
      <c r="Z1166" s="3">
        <f t="shared" si="18"/>
        <v>5474.8</v>
      </c>
    </row>
    <row r="1167" spans="1:26" hidden="1">
      <c r="A1167" t="s">
        <v>707</v>
      </c>
      <c r="B1167" s="6">
        <v>44287</v>
      </c>
      <c r="C1167" s="6">
        <v>44651</v>
      </c>
      <c r="D1167">
        <v>20210401</v>
      </c>
      <c r="E1167">
        <v>20220331</v>
      </c>
      <c r="F1167" t="s">
        <v>7192</v>
      </c>
      <c r="G1167" t="s">
        <v>7193</v>
      </c>
      <c r="H1167" t="s">
        <v>590</v>
      </c>
      <c r="I1167" t="s">
        <v>1462</v>
      </c>
      <c r="J1167">
        <v>7</v>
      </c>
      <c r="K1167">
        <v>51893.14</v>
      </c>
      <c r="R1167">
        <v>-2</v>
      </c>
      <c r="S1167">
        <v>-8725.66</v>
      </c>
      <c r="X1167">
        <v>5</v>
      </c>
      <c r="Y1167">
        <v>43167.48</v>
      </c>
      <c r="Z1167" s="3">
        <f t="shared" si="18"/>
        <v>8633.496000000001</v>
      </c>
    </row>
    <row r="1168" spans="1:26" hidden="1">
      <c r="A1168" t="s">
        <v>707</v>
      </c>
      <c r="B1168" s="6">
        <v>44287</v>
      </c>
      <c r="C1168" s="6">
        <v>44651</v>
      </c>
      <c r="D1168">
        <v>20210401</v>
      </c>
      <c r="E1168">
        <v>20220331</v>
      </c>
      <c r="F1168" t="s">
        <v>4729</v>
      </c>
      <c r="G1168" t="s">
        <v>4730</v>
      </c>
      <c r="H1168" t="s">
        <v>1973</v>
      </c>
      <c r="I1168" t="s">
        <v>805</v>
      </c>
      <c r="J1168">
        <v>10</v>
      </c>
      <c r="K1168">
        <v>7862.58</v>
      </c>
      <c r="L1168">
        <v>12</v>
      </c>
      <c r="M1168">
        <v>5279.6</v>
      </c>
      <c r="N1168">
        <v>-7</v>
      </c>
      <c r="O1168">
        <v>-3257.99</v>
      </c>
      <c r="R1168">
        <v>-6</v>
      </c>
      <c r="S1168">
        <v>-2695.72</v>
      </c>
      <c r="X1168">
        <v>9</v>
      </c>
      <c r="Y1168">
        <v>7188.47</v>
      </c>
      <c r="Z1168" s="3">
        <f t="shared" si="18"/>
        <v>465.42714285714283</v>
      </c>
    </row>
    <row r="1169" spans="1:26" hidden="1">
      <c r="A1169" t="s">
        <v>707</v>
      </c>
      <c r="B1169" s="6">
        <v>44287</v>
      </c>
      <c r="C1169" s="6">
        <v>44651</v>
      </c>
      <c r="D1169">
        <v>20210401</v>
      </c>
      <c r="E1169">
        <v>20220331</v>
      </c>
      <c r="F1169" t="s">
        <v>4731</v>
      </c>
      <c r="G1169" t="s">
        <v>4732</v>
      </c>
      <c r="H1169" t="s">
        <v>590</v>
      </c>
      <c r="I1169" t="s">
        <v>1462</v>
      </c>
      <c r="J1169">
        <v>10</v>
      </c>
      <c r="K1169">
        <v>17590.47</v>
      </c>
      <c r="L1169">
        <v>6</v>
      </c>
      <c r="M1169">
        <v>6000</v>
      </c>
      <c r="N1169">
        <v>-5</v>
      </c>
      <c r="O1169">
        <v>-3601.97</v>
      </c>
      <c r="R1169">
        <v>-3</v>
      </c>
      <c r="S1169">
        <v>-1702.14</v>
      </c>
      <c r="X1169">
        <v>8</v>
      </c>
      <c r="Y1169">
        <v>18286.36</v>
      </c>
      <c r="Z1169" s="3">
        <f t="shared" si="18"/>
        <v>720.39400000000001</v>
      </c>
    </row>
    <row r="1170" spans="1:26" hidden="1">
      <c r="A1170" t="s">
        <v>707</v>
      </c>
      <c r="B1170" s="6">
        <v>44287</v>
      </c>
      <c r="C1170" s="6">
        <v>44651</v>
      </c>
      <c r="D1170">
        <v>20210401</v>
      </c>
      <c r="E1170">
        <v>20220331</v>
      </c>
      <c r="F1170" t="s">
        <v>4733</v>
      </c>
      <c r="G1170" t="s">
        <v>4734</v>
      </c>
      <c r="H1170" t="s">
        <v>590</v>
      </c>
      <c r="I1170" t="s">
        <v>1462</v>
      </c>
      <c r="J1170">
        <v>7</v>
      </c>
      <c r="K1170">
        <v>18550</v>
      </c>
      <c r="N1170">
        <v>-2</v>
      </c>
      <c r="O1170">
        <v>-5300</v>
      </c>
      <c r="X1170">
        <v>5</v>
      </c>
      <c r="Y1170">
        <v>13250</v>
      </c>
      <c r="Z1170" s="3">
        <f t="shared" si="18"/>
        <v>2650</v>
      </c>
    </row>
    <row r="1171" spans="1:26" hidden="1">
      <c r="A1171" t="s">
        <v>707</v>
      </c>
      <c r="B1171" s="6">
        <v>44287</v>
      </c>
      <c r="C1171" s="6">
        <v>44651</v>
      </c>
      <c r="D1171">
        <v>20210401</v>
      </c>
      <c r="E1171">
        <v>20220331</v>
      </c>
      <c r="F1171" t="s">
        <v>4735</v>
      </c>
      <c r="G1171" t="s">
        <v>4736</v>
      </c>
      <c r="H1171" t="s">
        <v>590</v>
      </c>
      <c r="I1171" t="s">
        <v>1462</v>
      </c>
      <c r="J1171">
        <v>3</v>
      </c>
      <c r="K1171">
        <v>3824.98</v>
      </c>
      <c r="L1171">
        <v>12</v>
      </c>
      <c r="M1171">
        <v>16950.04</v>
      </c>
      <c r="N1171">
        <v>-2</v>
      </c>
      <c r="O1171">
        <v>-2700</v>
      </c>
      <c r="R1171">
        <v>-8</v>
      </c>
      <c r="S1171">
        <v>-10789.32</v>
      </c>
      <c r="X1171">
        <v>5</v>
      </c>
      <c r="Y1171">
        <v>7285.7</v>
      </c>
      <c r="Z1171" s="3">
        <f t="shared" si="18"/>
        <v>1350</v>
      </c>
    </row>
    <row r="1172" spans="1:26" hidden="1">
      <c r="A1172" t="s">
        <v>707</v>
      </c>
      <c r="B1172" s="6">
        <v>44287</v>
      </c>
      <c r="C1172" s="6">
        <v>44651</v>
      </c>
      <c r="D1172">
        <v>20210401</v>
      </c>
      <c r="E1172">
        <v>20220331</v>
      </c>
      <c r="F1172" t="s">
        <v>4737</v>
      </c>
      <c r="G1172" t="s">
        <v>4738</v>
      </c>
      <c r="H1172" t="s">
        <v>590</v>
      </c>
      <c r="I1172" t="s">
        <v>1462</v>
      </c>
      <c r="J1172">
        <v>3</v>
      </c>
      <c r="K1172">
        <v>3225</v>
      </c>
      <c r="N1172">
        <v>-1</v>
      </c>
      <c r="O1172">
        <v>-1075</v>
      </c>
      <c r="X1172">
        <v>2</v>
      </c>
      <c r="Y1172">
        <v>2150</v>
      </c>
      <c r="Z1172" s="3">
        <f t="shared" si="18"/>
        <v>1075</v>
      </c>
    </row>
    <row r="1173" spans="1:26" hidden="1">
      <c r="A1173" t="s">
        <v>707</v>
      </c>
      <c r="B1173" s="6">
        <v>44287</v>
      </c>
      <c r="C1173" s="6">
        <v>44651</v>
      </c>
      <c r="D1173">
        <v>20210401</v>
      </c>
      <c r="E1173">
        <v>20220331</v>
      </c>
      <c r="F1173" t="s">
        <v>4739</v>
      </c>
      <c r="G1173" t="s">
        <v>4740</v>
      </c>
      <c r="H1173" t="s">
        <v>590</v>
      </c>
      <c r="I1173" t="s">
        <v>1462</v>
      </c>
      <c r="J1173">
        <v>2</v>
      </c>
      <c r="K1173">
        <v>5350</v>
      </c>
      <c r="X1173">
        <v>2</v>
      </c>
      <c r="Y1173">
        <v>5350</v>
      </c>
      <c r="Z1173" s="3">
        <f t="shared" si="18"/>
        <v>2675</v>
      </c>
    </row>
    <row r="1174" spans="1:26" hidden="1">
      <c r="A1174" t="s">
        <v>707</v>
      </c>
      <c r="B1174" s="6">
        <v>44287</v>
      </c>
      <c r="C1174" s="6">
        <v>44651</v>
      </c>
      <c r="D1174">
        <v>20210401</v>
      </c>
      <c r="E1174">
        <v>20220331</v>
      </c>
      <c r="F1174" t="s">
        <v>4741</v>
      </c>
      <c r="G1174" t="s">
        <v>4742</v>
      </c>
      <c r="H1174" t="s">
        <v>590</v>
      </c>
      <c r="I1174" t="s">
        <v>1462</v>
      </c>
      <c r="J1174">
        <v>2</v>
      </c>
      <c r="K1174">
        <v>7700</v>
      </c>
      <c r="X1174">
        <v>2</v>
      </c>
      <c r="Y1174">
        <v>7700</v>
      </c>
      <c r="Z1174" s="3">
        <f t="shared" si="18"/>
        <v>3850</v>
      </c>
    </row>
    <row r="1175" spans="1:26" hidden="1">
      <c r="A1175" t="s">
        <v>707</v>
      </c>
      <c r="B1175" s="6">
        <v>44287</v>
      </c>
      <c r="C1175" s="6">
        <v>44651</v>
      </c>
      <c r="D1175">
        <v>20210401</v>
      </c>
      <c r="E1175">
        <v>20220331</v>
      </c>
      <c r="F1175" t="s">
        <v>7194</v>
      </c>
      <c r="G1175" t="s">
        <v>7195</v>
      </c>
      <c r="H1175" t="s">
        <v>590</v>
      </c>
      <c r="I1175" t="s">
        <v>1462</v>
      </c>
      <c r="J1175">
        <v>1</v>
      </c>
      <c r="K1175">
        <v>12149.9</v>
      </c>
      <c r="N1175">
        <v>-1</v>
      </c>
      <c r="O1175">
        <v>-12149.9</v>
      </c>
      <c r="Z1175" s="3">
        <f t="shared" si="18"/>
        <v>12149.9</v>
      </c>
    </row>
    <row r="1176" spans="1:26" hidden="1">
      <c r="A1176" t="s">
        <v>707</v>
      </c>
      <c r="B1176" s="6">
        <v>44287</v>
      </c>
      <c r="C1176" s="6">
        <v>44651</v>
      </c>
      <c r="D1176">
        <v>20210401</v>
      </c>
      <c r="E1176">
        <v>20220331</v>
      </c>
      <c r="F1176" t="s">
        <v>7196</v>
      </c>
      <c r="G1176" t="s">
        <v>7197</v>
      </c>
      <c r="H1176" t="s">
        <v>590</v>
      </c>
      <c r="I1176" t="s">
        <v>1462</v>
      </c>
      <c r="J1176">
        <v>1</v>
      </c>
      <c r="K1176">
        <v>1179.22</v>
      </c>
      <c r="X1176">
        <v>1</v>
      </c>
      <c r="Y1176">
        <v>1179.22</v>
      </c>
      <c r="Z1176" s="3">
        <f t="shared" si="18"/>
        <v>1179.22</v>
      </c>
    </row>
    <row r="1177" spans="1:26" hidden="1">
      <c r="A1177" t="s">
        <v>707</v>
      </c>
      <c r="B1177" s="6">
        <v>44287</v>
      </c>
      <c r="C1177" s="6">
        <v>44651</v>
      </c>
      <c r="D1177">
        <v>20210401</v>
      </c>
      <c r="E1177">
        <v>20220331</v>
      </c>
      <c r="F1177" t="s">
        <v>7198</v>
      </c>
      <c r="G1177" t="s">
        <v>7199</v>
      </c>
      <c r="H1177" t="s">
        <v>590</v>
      </c>
      <c r="I1177" t="s">
        <v>1462</v>
      </c>
      <c r="J1177">
        <v>5</v>
      </c>
      <c r="K1177">
        <v>6000</v>
      </c>
      <c r="N1177">
        <v>-2</v>
      </c>
      <c r="O1177">
        <v>-2400</v>
      </c>
      <c r="X1177">
        <v>3</v>
      </c>
      <c r="Y1177">
        <v>3600</v>
      </c>
      <c r="Z1177" s="3">
        <f t="shared" si="18"/>
        <v>1200</v>
      </c>
    </row>
    <row r="1178" spans="1:26" hidden="1">
      <c r="A1178" t="s">
        <v>707</v>
      </c>
      <c r="B1178" s="6">
        <v>44287</v>
      </c>
      <c r="C1178" s="6">
        <v>44651</v>
      </c>
      <c r="D1178">
        <v>20210401</v>
      </c>
      <c r="E1178">
        <v>20220331</v>
      </c>
      <c r="F1178" t="s">
        <v>7200</v>
      </c>
      <c r="G1178" t="s">
        <v>7201</v>
      </c>
      <c r="H1178" t="s">
        <v>590</v>
      </c>
      <c r="I1178" t="s">
        <v>1462</v>
      </c>
      <c r="J1178">
        <v>100</v>
      </c>
      <c r="K1178">
        <v>3500</v>
      </c>
      <c r="N1178">
        <v>-8</v>
      </c>
      <c r="O1178">
        <v>-280</v>
      </c>
      <c r="X1178">
        <v>92</v>
      </c>
      <c r="Y1178">
        <v>3220</v>
      </c>
      <c r="Z1178" s="3">
        <f t="shared" si="18"/>
        <v>35</v>
      </c>
    </row>
    <row r="1179" spans="1:26" hidden="1">
      <c r="A1179" t="s">
        <v>707</v>
      </c>
      <c r="B1179" s="6">
        <v>44287</v>
      </c>
      <c r="C1179" s="6">
        <v>44651</v>
      </c>
      <c r="D1179">
        <v>20210401</v>
      </c>
      <c r="E1179">
        <v>20220331</v>
      </c>
      <c r="F1179" t="s">
        <v>7202</v>
      </c>
      <c r="G1179" t="s">
        <v>7203</v>
      </c>
      <c r="H1179" t="s">
        <v>590</v>
      </c>
      <c r="I1179" t="s">
        <v>1462</v>
      </c>
      <c r="J1179">
        <v>23</v>
      </c>
      <c r="K1179">
        <v>8616.81</v>
      </c>
      <c r="N1179">
        <v>-2</v>
      </c>
      <c r="O1179">
        <v>-749.28</v>
      </c>
      <c r="X1179">
        <v>21</v>
      </c>
      <c r="Y1179">
        <v>7867.53</v>
      </c>
      <c r="Z1179" s="3">
        <f t="shared" si="18"/>
        <v>374.64</v>
      </c>
    </row>
    <row r="1180" spans="1:26" hidden="1">
      <c r="A1180" t="s">
        <v>707</v>
      </c>
      <c r="B1180" s="6">
        <v>44287</v>
      </c>
      <c r="C1180" s="6">
        <v>44651</v>
      </c>
      <c r="D1180">
        <v>20210401</v>
      </c>
      <c r="E1180">
        <v>20220331</v>
      </c>
      <c r="F1180" t="s">
        <v>7204</v>
      </c>
      <c r="G1180" t="s">
        <v>7205</v>
      </c>
      <c r="H1180" t="s">
        <v>590</v>
      </c>
      <c r="I1180" t="s">
        <v>1462</v>
      </c>
      <c r="L1180">
        <v>10</v>
      </c>
      <c r="M1180">
        <v>5000</v>
      </c>
      <c r="X1180">
        <v>10</v>
      </c>
      <c r="Y1180">
        <v>5000</v>
      </c>
      <c r="Z1180" s="3">
        <f t="shared" si="18"/>
        <v>500</v>
      </c>
    </row>
    <row r="1181" spans="1:26" hidden="1">
      <c r="A1181" t="s">
        <v>707</v>
      </c>
      <c r="B1181" s="6">
        <v>44287</v>
      </c>
      <c r="C1181" s="6">
        <v>44651</v>
      </c>
      <c r="D1181">
        <v>20210401</v>
      </c>
      <c r="E1181">
        <v>20220331</v>
      </c>
      <c r="F1181" t="s">
        <v>7206</v>
      </c>
      <c r="G1181" t="s">
        <v>7207</v>
      </c>
      <c r="H1181" t="s">
        <v>3319</v>
      </c>
      <c r="I1181" t="s">
        <v>1462</v>
      </c>
      <c r="L1181">
        <v>20</v>
      </c>
      <c r="M1181">
        <v>3320</v>
      </c>
      <c r="X1181">
        <v>20</v>
      </c>
      <c r="Y1181">
        <v>3320</v>
      </c>
      <c r="Z1181" s="3">
        <f t="shared" si="18"/>
        <v>166</v>
      </c>
    </row>
    <row r="1182" spans="1:26" hidden="1">
      <c r="A1182" t="s">
        <v>707</v>
      </c>
      <c r="B1182" s="6">
        <v>44287</v>
      </c>
      <c r="C1182" s="6">
        <v>44651</v>
      </c>
      <c r="D1182">
        <v>20210401</v>
      </c>
      <c r="E1182">
        <v>20220331</v>
      </c>
      <c r="F1182" t="s">
        <v>4783</v>
      </c>
      <c r="G1182" t="s">
        <v>4784</v>
      </c>
      <c r="H1182" t="s">
        <v>590</v>
      </c>
      <c r="I1182" t="s">
        <v>1462</v>
      </c>
      <c r="J1182">
        <v>2</v>
      </c>
      <c r="K1182">
        <v>136.74</v>
      </c>
      <c r="N1182">
        <v>-1</v>
      </c>
      <c r="O1182">
        <v>-68.37</v>
      </c>
      <c r="X1182">
        <v>1</v>
      </c>
      <c r="Y1182">
        <v>68.37</v>
      </c>
      <c r="Z1182" s="3">
        <f t="shared" si="18"/>
        <v>68.37</v>
      </c>
    </row>
    <row r="1183" spans="1:26" hidden="1">
      <c r="A1183" t="s">
        <v>707</v>
      </c>
      <c r="B1183" s="6">
        <v>44287</v>
      </c>
      <c r="C1183" s="6">
        <v>44651</v>
      </c>
      <c r="D1183">
        <v>20210401</v>
      </c>
      <c r="E1183">
        <v>20220331</v>
      </c>
      <c r="F1183" t="s">
        <v>7208</v>
      </c>
      <c r="G1183" t="s">
        <v>7209</v>
      </c>
      <c r="H1183" t="s">
        <v>590</v>
      </c>
      <c r="I1183" t="s">
        <v>805</v>
      </c>
      <c r="J1183">
        <v>1</v>
      </c>
      <c r="K1183">
        <v>38500</v>
      </c>
      <c r="X1183">
        <v>1</v>
      </c>
      <c r="Y1183">
        <v>38500</v>
      </c>
      <c r="Z1183" s="3">
        <f t="shared" si="18"/>
        <v>38500</v>
      </c>
    </row>
    <row r="1184" spans="1:26" hidden="1">
      <c r="A1184" t="s">
        <v>707</v>
      </c>
      <c r="B1184" s="6">
        <v>44287</v>
      </c>
      <c r="C1184" s="6">
        <v>44651</v>
      </c>
      <c r="D1184">
        <v>20210401</v>
      </c>
      <c r="E1184">
        <v>20220331</v>
      </c>
      <c r="F1184" t="s">
        <v>4789</v>
      </c>
      <c r="G1184" t="s">
        <v>4790</v>
      </c>
      <c r="H1184" t="s">
        <v>613</v>
      </c>
      <c r="I1184" t="s">
        <v>1462</v>
      </c>
      <c r="L1184">
        <v>6.9</v>
      </c>
      <c r="M1184">
        <v>3243</v>
      </c>
      <c r="X1184">
        <v>6.9</v>
      </c>
      <c r="Y1184">
        <v>3243</v>
      </c>
      <c r="Z1184" s="3">
        <f t="shared" si="18"/>
        <v>470</v>
      </c>
    </row>
    <row r="1185" spans="1:26" hidden="1">
      <c r="A1185" t="s">
        <v>707</v>
      </c>
      <c r="B1185" s="6">
        <v>44287</v>
      </c>
      <c r="C1185" s="6">
        <v>44651</v>
      </c>
      <c r="D1185">
        <v>20210401</v>
      </c>
      <c r="E1185">
        <v>20220331</v>
      </c>
      <c r="F1185" t="s">
        <v>7210</v>
      </c>
      <c r="G1185" t="s">
        <v>7211</v>
      </c>
      <c r="H1185" t="s">
        <v>590</v>
      </c>
      <c r="I1185" t="s">
        <v>1462</v>
      </c>
      <c r="J1185">
        <v>1</v>
      </c>
      <c r="K1185">
        <v>1275</v>
      </c>
      <c r="X1185">
        <v>1</v>
      </c>
      <c r="Y1185">
        <v>1275</v>
      </c>
      <c r="Z1185" s="3">
        <f t="shared" si="18"/>
        <v>1275</v>
      </c>
    </row>
    <row r="1186" spans="1:26" hidden="1">
      <c r="A1186" t="s">
        <v>707</v>
      </c>
      <c r="B1186" s="6">
        <v>44287</v>
      </c>
      <c r="C1186" s="6">
        <v>44651</v>
      </c>
      <c r="D1186">
        <v>20210401</v>
      </c>
      <c r="E1186">
        <v>20220331</v>
      </c>
      <c r="F1186" t="s">
        <v>7212</v>
      </c>
      <c r="G1186" t="s">
        <v>7213</v>
      </c>
      <c r="H1186" t="s">
        <v>590</v>
      </c>
      <c r="I1186" t="s">
        <v>1462</v>
      </c>
      <c r="J1186">
        <v>1</v>
      </c>
      <c r="K1186">
        <v>1275</v>
      </c>
      <c r="X1186">
        <v>1</v>
      </c>
      <c r="Y1186">
        <v>1275</v>
      </c>
      <c r="Z1186" s="3">
        <f t="shared" si="18"/>
        <v>1275</v>
      </c>
    </row>
    <row r="1187" spans="1:26" hidden="1">
      <c r="A1187" t="s">
        <v>707</v>
      </c>
      <c r="B1187" s="6">
        <v>44287</v>
      </c>
      <c r="C1187" s="6">
        <v>44651</v>
      </c>
      <c r="D1187">
        <v>20210401</v>
      </c>
      <c r="E1187">
        <v>20220331</v>
      </c>
      <c r="F1187" t="s">
        <v>7214</v>
      </c>
      <c r="G1187" t="s">
        <v>7215</v>
      </c>
      <c r="H1187" t="s">
        <v>590</v>
      </c>
      <c r="I1187" t="s">
        <v>1462</v>
      </c>
      <c r="J1187">
        <v>1</v>
      </c>
      <c r="K1187">
        <v>525</v>
      </c>
      <c r="X1187">
        <v>1</v>
      </c>
      <c r="Y1187">
        <v>525</v>
      </c>
      <c r="Z1187" s="3">
        <f t="shared" si="18"/>
        <v>525</v>
      </c>
    </row>
    <row r="1188" spans="1:26" hidden="1">
      <c r="A1188" t="s">
        <v>707</v>
      </c>
      <c r="B1188" s="6">
        <v>44287</v>
      </c>
      <c r="C1188" s="6">
        <v>44651</v>
      </c>
      <c r="D1188">
        <v>20210401</v>
      </c>
      <c r="E1188">
        <v>20220331</v>
      </c>
      <c r="F1188" t="s">
        <v>7216</v>
      </c>
      <c r="G1188" t="s">
        <v>7217</v>
      </c>
      <c r="H1188" t="s">
        <v>590</v>
      </c>
      <c r="I1188" t="s">
        <v>1462</v>
      </c>
      <c r="J1188">
        <v>1</v>
      </c>
      <c r="K1188">
        <v>525</v>
      </c>
      <c r="N1188">
        <v>-1</v>
      </c>
      <c r="O1188">
        <v>-525</v>
      </c>
      <c r="Z1188" s="3">
        <f t="shared" si="18"/>
        <v>525</v>
      </c>
    </row>
    <row r="1189" spans="1:26" hidden="1">
      <c r="A1189" t="s">
        <v>707</v>
      </c>
      <c r="B1189" s="6">
        <v>44287</v>
      </c>
      <c r="C1189" s="6">
        <v>44651</v>
      </c>
      <c r="D1189">
        <v>20210401</v>
      </c>
      <c r="E1189">
        <v>20220331</v>
      </c>
      <c r="F1189" t="s">
        <v>7218</v>
      </c>
      <c r="G1189" t="s">
        <v>7219</v>
      </c>
      <c r="H1189" t="s">
        <v>590</v>
      </c>
      <c r="I1189" t="s">
        <v>1462</v>
      </c>
      <c r="L1189">
        <v>2</v>
      </c>
      <c r="M1189">
        <v>2700</v>
      </c>
      <c r="X1189">
        <v>2</v>
      </c>
      <c r="Y1189">
        <v>2700</v>
      </c>
      <c r="Z1189" s="3">
        <f t="shared" si="18"/>
        <v>1350</v>
      </c>
    </row>
    <row r="1190" spans="1:26" hidden="1">
      <c r="A1190" t="s">
        <v>707</v>
      </c>
      <c r="B1190" s="6">
        <v>44287</v>
      </c>
      <c r="C1190" s="6">
        <v>44651</v>
      </c>
      <c r="D1190">
        <v>20210401</v>
      </c>
      <c r="E1190">
        <v>20220331</v>
      </c>
      <c r="F1190" t="s">
        <v>7220</v>
      </c>
      <c r="G1190" t="s">
        <v>7221</v>
      </c>
      <c r="H1190" t="s">
        <v>590</v>
      </c>
      <c r="I1190" t="s">
        <v>1462</v>
      </c>
      <c r="L1190">
        <v>2</v>
      </c>
      <c r="M1190">
        <v>11900</v>
      </c>
      <c r="X1190">
        <v>2</v>
      </c>
      <c r="Y1190">
        <v>11900</v>
      </c>
      <c r="Z1190" s="3">
        <f t="shared" si="18"/>
        <v>5950</v>
      </c>
    </row>
    <row r="1191" spans="1:26" hidden="1">
      <c r="A1191" t="s">
        <v>707</v>
      </c>
      <c r="B1191" s="6">
        <v>44287</v>
      </c>
      <c r="C1191" s="6">
        <v>44651</v>
      </c>
      <c r="D1191">
        <v>20210401</v>
      </c>
      <c r="E1191">
        <v>20220331</v>
      </c>
      <c r="F1191" t="s">
        <v>4835</v>
      </c>
      <c r="G1191" t="s">
        <v>4836</v>
      </c>
      <c r="H1191" t="s">
        <v>1585</v>
      </c>
      <c r="I1191" t="s">
        <v>805</v>
      </c>
      <c r="J1191">
        <v>119</v>
      </c>
      <c r="K1191">
        <v>1557.14</v>
      </c>
      <c r="N1191">
        <v>-75</v>
      </c>
      <c r="O1191">
        <v>-981.39</v>
      </c>
      <c r="X1191">
        <v>44</v>
      </c>
      <c r="Y1191">
        <v>575.75</v>
      </c>
      <c r="Z1191" s="3">
        <f t="shared" si="18"/>
        <v>13.0852</v>
      </c>
    </row>
    <row r="1192" spans="1:26" hidden="1">
      <c r="A1192" t="s">
        <v>707</v>
      </c>
      <c r="B1192" s="6">
        <v>44287</v>
      </c>
      <c r="C1192" s="6">
        <v>44651</v>
      </c>
      <c r="D1192">
        <v>20210401</v>
      </c>
      <c r="E1192">
        <v>20220331</v>
      </c>
      <c r="F1192" t="s">
        <v>7222</v>
      </c>
      <c r="G1192" t="s">
        <v>7223</v>
      </c>
      <c r="H1192" t="s">
        <v>590</v>
      </c>
      <c r="I1192" t="s">
        <v>1462</v>
      </c>
      <c r="J1192">
        <v>17</v>
      </c>
      <c r="K1192">
        <v>7650</v>
      </c>
      <c r="N1192">
        <v>-8</v>
      </c>
      <c r="O1192">
        <v>-3600</v>
      </c>
      <c r="X1192">
        <v>9</v>
      </c>
      <c r="Y1192">
        <v>4050</v>
      </c>
      <c r="Z1192" s="3">
        <f t="shared" si="18"/>
        <v>450</v>
      </c>
    </row>
    <row r="1193" spans="1:26" hidden="1">
      <c r="A1193" t="s">
        <v>707</v>
      </c>
      <c r="B1193" s="6">
        <v>44287</v>
      </c>
      <c r="C1193" s="6">
        <v>44651</v>
      </c>
      <c r="D1193">
        <v>20210401</v>
      </c>
      <c r="E1193">
        <v>20220331</v>
      </c>
      <c r="F1193" t="s">
        <v>7224</v>
      </c>
      <c r="G1193" t="s">
        <v>7225</v>
      </c>
      <c r="H1193" t="s">
        <v>590</v>
      </c>
      <c r="I1193" t="s">
        <v>1462</v>
      </c>
      <c r="J1193">
        <v>4</v>
      </c>
      <c r="K1193">
        <v>6953.4</v>
      </c>
      <c r="X1193">
        <v>4</v>
      </c>
      <c r="Y1193">
        <v>6953.4</v>
      </c>
      <c r="Z1193" s="3">
        <f t="shared" si="18"/>
        <v>1738.35</v>
      </c>
    </row>
    <row r="1194" spans="1:26" hidden="1">
      <c r="A1194" t="s">
        <v>707</v>
      </c>
      <c r="B1194" s="6">
        <v>44287</v>
      </c>
      <c r="C1194" s="6">
        <v>44651</v>
      </c>
      <c r="D1194">
        <v>20210401</v>
      </c>
      <c r="E1194">
        <v>20220331</v>
      </c>
      <c r="F1194" t="s">
        <v>7226</v>
      </c>
      <c r="G1194" t="s">
        <v>7227</v>
      </c>
      <c r="H1194" t="s">
        <v>590</v>
      </c>
      <c r="I1194" t="s">
        <v>805</v>
      </c>
      <c r="J1194">
        <v>2</v>
      </c>
      <c r="K1194">
        <v>622</v>
      </c>
      <c r="X1194">
        <v>2</v>
      </c>
      <c r="Y1194">
        <v>622</v>
      </c>
      <c r="Z1194" s="3">
        <f t="shared" si="18"/>
        <v>311</v>
      </c>
    </row>
    <row r="1195" spans="1:26" hidden="1">
      <c r="A1195" t="s">
        <v>707</v>
      </c>
      <c r="B1195" s="6">
        <v>44287</v>
      </c>
      <c r="C1195" s="6">
        <v>44651</v>
      </c>
      <c r="D1195">
        <v>20210401</v>
      </c>
      <c r="E1195">
        <v>20220331</v>
      </c>
      <c r="F1195" t="s">
        <v>7228</v>
      </c>
      <c r="G1195" t="s">
        <v>7229</v>
      </c>
      <c r="H1195" t="s">
        <v>590</v>
      </c>
      <c r="I1195" t="s">
        <v>805</v>
      </c>
      <c r="J1195">
        <v>9</v>
      </c>
      <c r="K1195">
        <v>2970</v>
      </c>
      <c r="X1195">
        <v>9</v>
      </c>
      <c r="Y1195">
        <v>2970</v>
      </c>
      <c r="Z1195" s="3">
        <f t="shared" si="18"/>
        <v>330</v>
      </c>
    </row>
    <row r="1196" spans="1:26" hidden="1">
      <c r="A1196" t="s">
        <v>707</v>
      </c>
      <c r="B1196" s="6">
        <v>44287</v>
      </c>
      <c r="C1196" s="6">
        <v>44651</v>
      </c>
      <c r="D1196">
        <v>20210401</v>
      </c>
      <c r="E1196">
        <v>20220331</v>
      </c>
      <c r="F1196" t="s">
        <v>7230</v>
      </c>
      <c r="G1196" t="s">
        <v>7231</v>
      </c>
      <c r="H1196" t="s">
        <v>590</v>
      </c>
      <c r="I1196" t="s">
        <v>1462</v>
      </c>
      <c r="L1196">
        <v>3</v>
      </c>
      <c r="M1196">
        <v>1144.08</v>
      </c>
      <c r="N1196">
        <v>-3</v>
      </c>
      <c r="O1196">
        <v>-1144.08</v>
      </c>
      <c r="Z1196" s="3">
        <f t="shared" si="18"/>
        <v>381.35999999999996</v>
      </c>
    </row>
    <row r="1197" spans="1:26" hidden="1">
      <c r="A1197" t="s">
        <v>707</v>
      </c>
      <c r="B1197" s="6">
        <v>44287</v>
      </c>
      <c r="C1197" s="6">
        <v>44651</v>
      </c>
      <c r="D1197">
        <v>20210401</v>
      </c>
      <c r="E1197">
        <v>20220331</v>
      </c>
      <c r="F1197" t="s">
        <v>7232</v>
      </c>
      <c r="G1197" t="s">
        <v>7233</v>
      </c>
      <c r="H1197" t="s">
        <v>590</v>
      </c>
      <c r="I1197" t="s">
        <v>1462</v>
      </c>
      <c r="L1197">
        <v>1</v>
      </c>
      <c r="M1197">
        <v>1945.02</v>
      </c>
      <c r="X1197">
        <v>1</v>
      </c>
      <c r="Y1197">
        <v>1945.02</v>
      </c>
      <c r="Z1197" s="3">
        <f t="shared" si="18"/>
        <v>1945.02</v>
      </c>
    </row>
    <row r="1198" spans="1:26" hidden="1">
      <c r="A1198" t="s">
        <v>707</v>
      </c>
      <c r="B1198" s="6">
        <v>44287</v>
      </c>
      <c r="C1198" s="6">
        <v>44651</v>
      </c>
      <c r="D1198">
        <v>20210401</v>
      </c>
      <c r="E1198">
        <v>20220331</v>
      </c>
      <c r="F1198" t="s">
        <v>7234</v>
      </c>
      <c r="G1198" t="s">
        <v>7235</v>
      </c>
      <c r="H1198" t="s">
        <v>590</v>
      </c>
      <c r="I1198" t="s">
        <v>1462</v>
      </c>
      <c r="J1198">
        <v>2</v>
      </c>
      <c r="K1198">
        <v>6760.3</v>
      </c>
      <c r="N1198">
        <v>-2</v>
      </c>
      <c r="O1198">
        <v>-6759.4</v>
      </c>
      <c r="Y1198">
        <v>0.9</v>
      </c>
      <c r="Z1198" s="3">
        <f t="shared" si="18"/>
        <v>3379.7</v>
      </c>
    </row>
    <row r="1199" spans="1:26" hidden="1">
      <c r="A1199" t="s">
        <v>707</v>
      </c>
      <c r="B1199" s="6">
        <v>44287</v>
      </c>
      <c r="C1199" s="6">
        <v>44651</v>
      </c>
      <c r="D1199">
        <v>20210401</v>
      </c>
      <c r="E1199">
        <v>20220331</v>
      </c>
      <c r="F1199" t="s">
        <v>7236</v>
      </c>
      <c r="G1199" t="s">
        <v>7237</v>
      </c>
      <c r="H1199" t="s">
        <v>590</v>
      </c>
      <c r="I1199" t="s">
        <v>1462</v>
      </c>
      <c r="J1199">
        <v>3</v>
      </c>
      <c r="K1199">
        <v>21600</v>
      </c>
      <c r="N1199">
        <v>-3</v>
      </c>
      <c r="O1199">
        <v>-21600</v>
      </c>
      <c r="Z1199" s="3">
        <f t="shared" si="18"/>
        <v>7200</v>
      </c>
    </row>
    <row r="1200" spans="1:26" hidden="1">
      <c r="A1200" t="s">
        <v>707</v>
      </c>
      <c r="B1200" s="6">
        <v>44287</v>
      </c>
      <c r="C1200" s="6">
        <v>44651</v>
      </c>
      <c r="D1200">
        <v>20210401</v>
      </c>
      <c r="E1200">
        <v>20220331</v>
      </c>
      <c r="F1200" t="s">
        <v>7238</v>
      </c>
      <c r="G1200" t="s">
        <v>7239</v>
      </c>
      <c r="H1200" t="s">
        <v>590</v>
      </c>
      <c r="I1200" t="s">
        <v>1462</v>
      </c>
      <c r="L1200">
        <v>1</v>
      </c>
      <c r="M1200">
        <v>13493.26</v>
      </c>
      <c r="N1200">
        <v>-1</v>
      </c>
      <c r="O1200">
        <v>-13493.26</v>
      </c>
      <c r="Z1200" s="3">
        <f t="shared" si="18"/>
        <v>13493.26</v>
      </c>
    </row>
    <row r="1201" spans="1:26" hidden="1">
      <c r="A1201" t="s">
        <v>707</v>
      </c>
      <c r="B1201" s="6">
        <v>44287</v>
      </c>
      <c r="C1201" s="6">
        <v>44651</v>
      </c>
      <c r="D1201">
        <v>20210401</v>
      </c>
      <c r="E1201">
        <v>20220331</v>
      </c>
      <c r="F1201" t="s">
        <v>7240</v>
      </c>
      <c r="G1201" t="s">
        <v>7241</v>
      </c>
      <c r="H1201" t="s">
        <v>590</v>
      </c>
      <c r="I1201" t="s">
        <v>1462</v>
      </c>
      <c r="J1201">
        <v>3</v>
      </c>
      <c r="K1201">
        <v>1545.53</v>
      </c>
      <c r="L1201">
        <v>3</v>
      </c>
      <c r="M1201">
        <v>3450</v>
      </c>
      <c r="N1201">
        <v>-3</v>
      </c>
      <c r="O1201">
        <v>-1568.76</v>
      </c>
      <c r="X1201">
        <v>3</v>
      </c>
      <c r="Y1201">
        <v>3426.77</v>
      </c>
      <c r="Z1201" s="3">
        <f t="shared" si="18"/>
        <v>522.91999999999996</v>
      </c>
    </row>
    <row r="1202" spans="1:26" hidden="1">
      <c r="A1202" t="s">
        <v>707</v>
      </c>
      <c r="B1202" s="6">
        <v>44287</v>
      </c>
      <c r="C1202" s="6">
        <v>44651</v>
      </c>
      <c r="D1202">
        <v>20210401</v>
      </c>
      <c r="E1202">
        <v>20220331</v>
      </c>
      <c r="F1202" t="s">
        <v>7242</v>
      </c>
      <c r="G1202" t="s">
        <v>7243</v>
      </c>
      <c r="H1202" t="s">
        <v>590</v>
      </c>
      <c r="I1202" t="s">
        <v>1462</v>
      </c>
      <c r="J1202">
        <v>25</v>
      </c>
      <c r="K1202">
        <v>31310.58</v>
      </c>
      <c r="L1202">
        <v>36</v>
      </c>
      <c r="M1202">
        <v>44980</v>
      </c>
      <c r="N1202">
        <v>-44</v>
      </c>
      <c r="O1202">
        <v>-52734.54</v>
      </c>
      <c r="X1202">
        <v>17</v>
      </c>
      <c r="Y1202">
        <v>23556.04</v>
      </c>
      <c r="Z1202" s="3">
        <f t="shared" si="18"/>
        <v>1198.5122727272728</v>
      </c>
    </row>
    <row r="1203" spans="1:26" hidden="1">
      <c r="A1203" t="s">
        <v>707</v>
      </c>
      <c r="B1203" s="6">
        <v>44287</v>
      </c>
      <c r="C1203" s="6">
        <v>44651</v>
      </c>
      <c r="D1203">
        <v>20210401</v>
      </c>
      <c r="E1203">
        <v>20220331</v>
      </c>
      <c r="F1203" t="s">
        <v>7244</v>
      </c>
      <c r="G1203" t="s">
        <v>7245</v>
      </c>
      <c r="H1203" t="s">
        <v>590</v>
      </c>
      <c r="I1203" t="s">
        <v>1462</v>
      </c>
      <c r="J1203">
        <v>4</v>
      </c>
      <c r="K1203">
        <v>406.77</v>
      </c>
      <c r="L1203">
        <v>6</v>
      </c>
      <c r="M1203">
        <v>610.14</v>
      </c>
      <c r="N1203">
        <v>-8</v>
      </c>
      <c r="O1203">
        <v>-813.52</v>
      </c>
      <c r="X1203">
        <v>2</v>
      </c>
      <c r="Y1203">
        <v>203.39</v>
      </c>
      <c r="Z1203" s="3">
        <f t="shared" si="18"/>
        <v>101.69</v>
      </c>
    </row>
    <row r="1204" spans="1:26" hidden="1">
      <c r="A1204" t="s">
        <v>707</v>
      </c>
      <c r="B1204" s="6">
        <v>44287</v>
      </c>
      <c r="C1204" s="6">
        <v>44651</v>
      </c>
      <c r="D1204">
        <v>20210401</v>
      </c>
      <c r="E1204">
        <v>20220331</v>
      </c>
      <c r="F1204" t="s">
        <v>7246</v>
      </c>
      <c r="G1204" t="s">
        <v>7247</v>
      </c>
      <c r="H1204" t="s">
        <v>590</v>
      </c>
      <c r="I1204" t="s">
        <v>805</v>
      </c>
      <c r="L1204">
        <v>18</v>
      </c>
      <c r="M1204">
        <v>245.7</v>
      </c>
      <c r="X1204">
        <v>18</v>
      </c>
      <c r="Y1204">
        <v>245.7</v>
      </c>
      <c r="Z1204" s="3">
        <f t="shared" si="18"/>
        <v>13.649999999999999</v>
      </c>
    </row>
    <row r="1205" spans="1:26" hidden="1">
      <c r="A1205" t="s">
        <v>707</v>
      </c>
      <c r="B1205" s="6">
        <v>44287</v>
      </c>
      <c r="C1205" s="6">
        <v>44651</v>
      </c>
      <c r="D1205">
        <v>20210401</v>
      </c>
      <c r="E1205">
        <v>20220331</v>
      </c>
      <c r="F1205" t="s">
        <v>7248</v>
      </c>
      <c r="G1205" t="s">
        <v>7249</v>
      </c>
      <c r="H1205" t="s">
        <v>590</v>
      </c>
      <c r="I1205" t="s">
        <v>1462</v>
      </c>
      <c r="N1205">
        <v>-2</v>
      </c>
      <c r="O1205">
        <v>-11790.35</v>
      </c>
      <c r="X1205">
        <v>-2</v>
      </c>
      <c r="Y1205">
        <v>-11790.35</v>
      </c>
      <c r="Z1205" s="3">
        <f t="shared" si="18"/>
        <v>5895.1750000000002</v>
      </c>
    </row>
    <row r="1206" spans="1:26" hidden="1">
      <c r="A1206" t="s">
        <v>707</v>
      </c>
      <c r="B1206" s="6">
        <v>44287</v>
      </c>
      <c r="C1206" s="6">
        <v>44651</v>
      </c>
      <c r="D1206">
        <v>20210401</v>
      </c>
      <c r="E1206">
        <v>20220331</v>
      </c>
      <c r="F1206" t="s">
        <v>7250</v>
      </c>
      <c r="G1206" t="s">
        <v>7251</v>
      </c>
      <c r="H1206" t="s">
        <v>590</v>
      </c>
      <c r="I1206" t="s">
        <v>1462</v>
      </c>
      <c r="L1206">
        <v>24</v>
      </c>
      <c r="M1206">
        <v>33360</v>
      </c>
      <c r="N1206">
        <v>-14</v>
      </c>
      <c r="O1206">
        <v>-19460</v>
      </c>
      <c r="X1206">
        <v>10</v>
      </c>
      <c r="Y1206">
        <v>13900</v>
      </c>
      <c r="Z1206" s="3">
        <f t="shared" si="18"/>
        <v>1390</v>
      </c>
    </row>
    <row r="1207" spans="1:26" hidden="1">
      <c r="A1207" t="s">
        <v>707</v>
      </c>
      <c r="B1207" s="6">
        <v>44287</v>
      </c>
      <c r="C1207" s="6">
        <v>44651</v>
      </c>
      <c r="D1207">
        <v>20210401</v>
      </c>
      <c r="E1207">
        <v>20220331</v>
      </c>
      <c r="F1207" t="s">
        <v>4869</v>
      </c>
      <c r="G1207" t="s">
        <v>4870</v>
      </c>
      <c r="H1207" t="s">
        <v>590</v>
      </c>
      <c r="I1207" t="s">
        <v>1462</v>
      </c>
      <c r="L1207">
        <v>2</v>
      </c>
      <c r="M1207">
        <v>10214.44</v>
      </c>
      <c r="X1207">
        <v>2</v>
      </c>
      <c r="Y1207">
        <v>10214.44</v>
      </c>
      <c r="Z1207" s="3">
        <f t="shared" si="18"/>
        <v>5107.22</v>
      </c>
    </row>
    <row r="1208" spans="1:26" hidden="1">
      <c r="A1208" t="s">
        <v>707</v>
      </c>
      <c r="B1208" s="6">
        <v>44287</v>
      </c>
      <c r="C1208" s="6">
        <v>44651</v>
      </c>
      <c r="D1208">
        <v>20210401</v>
      </c>
      <c r="E1208">
        <v>20220331</v>
      </c>
      <c r="F1208" t="s">
        <v>7252</v>
      </c>
      <c r="G1208" t="s">
        <v>7253</v>
      </c>
      <c r="H1208" t="s">
        <v>590</v>
      </c>
      <c r="I1208" t="s">
        <v>1462</v>
      </c>
      <c r="J1208">
        <v>1</v>
      </c>
      <c r="K1208">
        <v>29304.18</v>
      </c>
      <c r="L1208">
        <v>1</v>
      </c>
      <c r="M1208">
        <v>32360.46</v>
      </c>
      <c r="N1208">
        <v>-2</v>
      </c>
      <c r="O1208">
        <v>-61664.639999999999</v>
      </c>
      <c r="Z1208" s="3">
        <f t="shared" si="18"/>
        <v>30832.32</v>
      </c>
    </row>
    <row r="1209" spans="1:26" hidden="1">
      <c r="A1209" t="s">
        <v>707</v>
      </c>
      <c r="B1209" s="6">
        <v>44287</v>
      </c>
      <c r="C1209" s="6">
        <v>44651</v>
      </c>
      <c r="D1209">
        <v>20210401</v>
      </c>
      <c r="E1209">
        <v>20220331</v>
      </c>
      <c r="F1209" t="s">
        <v>7254</v>
      </c>
      <c r="G1209" t="s">
        <v>7255</v>
      </c>
      <c r="H1209" t="s">
        <v>1973</v>
      </c>
      <c r="I1209" t="s">
        <v>1462</v>
      </c>
      <c r="J1209">
        <v>3</v>
      </c>
      <c r="K1209">
        <v>4170.3</v>
      </c>
      <c r="L1209">
        <v>2</v>
      </c>
      <c r="M1209">
        <v>9536.3700000000008</v>
      </c>
      <c r="N1209">
        <v>-2</v>
      </c>
      <c r="O1209">
        <v>-5427.72</v>
      </c>
      <c r="X1209">
        <v>3</v>
      </c>
      <c r="Y1209">
        <v>8278.9500000000007</v>
      </c>
      <c r="Z1209" s="3">
        <f t="shared" si="18"/>
        <v>2713.86</v>
      </c>
    </row>
    <row r="1210" spans="1:26" hidden="1">
      <c r="A1210" t="s">
        <v>707</v>
      </c>
      <c r="B1210" s="6">
        <v>44287</v>
      </c>
      <c r="C1210" s="6">
        <v>44651</v>
      </c>
      <c r="D1210">
        <v>20210401</v>
      </c>
      <c r="E1210">
        <v>20220331</v>
      </c>
      <c r="F1210" t="s">
        <v>7256</v>
      </c>
      <c r="G1210" t="s">
        <v>7257</v>
      </c>
      <c r="H1210" t="s">
        <v>590</v>
      </c>
      <c r="I1210" t="s">
        <v>1462</v>
      </c>
      <c r="J1210">
        <v>70</v>
      </c>
      <c r="K1210">
        <v>1409.98</v>
      </c>
      <c r="L1210">
        <v>144</v>
      </c>
      <c r="M1210">
        <v>3820</v>
      </c>
      <c r="N1210">
        <v>-46</v>
      </c>
      <c r="O1210">
        <v>-1100.02</v>
      </c>
      <c r="X1210">
        <v>168</v>
      </c>
      <c r="Y1210">
        <v>4129.96</v>
      </c>
      <c r="Z1210" s="3">
        <f t="shared" si="18"/>
        <v>23.913478260869564</v>
      </c>
    </row>
    <row r="1211" spans="1:26" hidden="1">
      <c r="A1211" t="s">
        <v>707</v>
      </c>
      <c r="B1211" s="6">
        <v>44287</v>
      </c>
      <c r="C1211" s="6">
        <v>44651</v>
      </c>
      <c r="D1211">
        <v>20210401</v>
      </c>
      <c r="E1211">
        <v>20220331</v>
      </c>
      <c r="F1211" t="s">
        <v>7258</v>
      </c>
      <c r="G1211" t="s">
        <v>7259</v>
      </c>
      <c r="H1211" t="s">
        <v>6766</v>
      </c>
      <c r="I1211" t="s">
        <v>805</v>
      </c>
      <c r="L1211">
        <v>2</v>
      </c>
      <c r="M1211">
        <v>43737.82</v>
      </c>
      <c r="N1211">
        <v>-2</v>
      </c>
      <c r="O1211">
        <v>-43737.82</v>
      </c>
      <c r="Z1211" s="3">
        <f t="shared" si="18"/>
        <v>21868.91</v>
      </c>
    </row>
    <row r="1212" spans="1:26" hidden="1">
      <c r="A1212" t="s">
        <v>707</v>
      </c>
      <c r="B1212" s="6">
        <v>44287</v>
      </c>
      <c r="C1212" s="6">
        <v>44651</v>
      </c>
      <c r="D1212">
        <v>20210401</v>
      </c>
      <c r="E1212">
        <v>20220331</v>
      </c>
      <c r="F1212" t="s">
        <v>4919</v>
      </c>
      <c r="G1212" t="s">
        <v>4920</v>
      </c>
      <c r="H1212" t="s">
        <v>590</v>
      </c>
      <c r="I1212" t="s">
        <v>1462</v>
      </c>
      <c r="J1212">
        <v>1</v>
      </c>
      <c r="K1212">
        <v>7100</v>
      </c>
      <c r="L1212">
        <v>1</v>
      </c>
      <c r="M1212">
        <v>9551.64</v>
      </c>
      <c r="N1212">
        <v>-2</v>
      </c>
      <c r="O1212">
        <v>-16651.64</v>
      </c>
      <c r="Z1212" s="3">
        <f t="shared" si="18"/>
        <v>8325.82</v>
      </c>
    </row>
    <row r="1213" spans="1:26" hidden="1">
      <c r="A1213" t="s">
        <v>707</v>
      </c>
      <c r="B1213" s="6">
        <v>44287</v>
      </c>
      <c r="C1213" s="6">
        <v>44651</v>
      </c>
      <c r="D1213">
        <v>20210401</v>
      </c>
      <c r="E1213">
        <v>20220331</v>
      </c>
      <c r="F1213" t="s">
        <v>7260</v>
      </c>
      <c r="G1213" t="s">
        <v>7261</v>
      </c>
      <c r="H1213" t="s">
        <v>590</v>
      </c>
      <c r="I1213" t="s">
        <v>1462</v>
      </c>
      <c r="L1213">
        <v>3</v>
      </c>
      <c r="M1213">
        <v>10331.25</v>
      </c>
      <c r="N1213">
        <v>-3</v>
      </c>
      <c r="O1213">
        <v>-10331.25</v>
      </c>
      <c r="Z1213" s="3">
        <f t="shared" si="18"/>
        <v>3443.75</v>
      </c>
    </row>
    <row r="1214" spans="1:26" hidden="1">
      <c r="A1214" t="s">
        <v>707</v>
      </c>
      <c r="B1214" s="6">
        <v>44287</v>
      </c>
      <c r="C1214" s="6">
        <v>44651</v>
      </c>
      <c r="D1214">
        <v>20210401</v>
      </c>
      <c r="E1214">
        <v>20220331</v>
      </c>
      <c r="F1214" t="s">
        <v>7262</v>
      </c>
      <c r="G1214" t="s">
        <v>7263</v>
      </c>
      <c r="H1214" t="s">
        <v>590</v>
      </c>
      <c r="I1214" t="s">
        <v>1462</v>
      </c>
      <c r="L1214">
        <v>4</v>
      </c>
      <c r="M1214">
        <v>305.08</v>
      </c>
      <c r="X1214">
        <v>4</v>
      </c>
      <c r="Y1214">
        <v>305.08</v>
      </c>
      <c r="Z1214" s="3">
        <f t="shared" si="18"/>
        <v>76.27</v>
      </c>
    </row>
    <row r="1215" spans="1:26" hidden="1">
      <c r="A1215" t="s">
        <v>707</v>
      </c>
      <c r="B1215" s="6">
        <v>44287</v>
      </c>
      <c r="C1215" s="6">
        <v>44651</v>
      </c>
      <c r="D1215">
        <v>20210401</v>
      </c>
      <c r="E1215">
        <v>20220331</v>
      </c>
      <c r="F1215" t="s">
        <v>7264</v>
      </c>
      <c r="G1215" t="s">
        <v>7265</v>
      </c>
      <c r="H1215" t="s">
        <v>590</v>
      </c>
      <c r="I1215" t="s">
        <v>1462</v>
      </c>
      <c r="L1215">
        <v>6</v>
      </c>
      <c r="M1215">
        <v>6032.27</v>
      </c>
      <c r="N1215">
        <v>-6</v>
      </c>
      <c r="O1215">
        <v>-6032.28</v>
      </c>
      <c r="Y1215">
        <v>-0.01</v>
      </c>
      <c r="Z1215" s="3">
        <f t="shared" si="18"/>
        <v>1005.38</v>
      </c>
    </row>
    <row r="1216" spans="1:26" hidden="1">
      <c r="A1216" t="s">
        <v>707</v>
      </c>
      <c r="B1216" s="6">
        <v>44287</v>
      </c>
      <c r="C1216" s="6">
        <v>44651</v>
      </c>
      <c r="D1216">
        <v>20210401</v>
      </c>
      <c r="E1216">
        <v>20220331</v>
      </c>
      <c r="F1216" t="s">
        <v>7266</v>
      </c>
      <c r="G1216" t="s">
        <v>7267</v>
      </c>
      <c r="H1216" t="s">
        <v>6766</v>
      </c>
      <c r="I1216" t="s">
        <v>805</v>
      </c>
      <c r="L1216">
        <v>2</v>
      </c>
      <c r="M1216">
        <v>34920.400000000001</v>
      </c>
      <c r="N1216">
        <v>-1</v>
      </c>
      <c r="O1216">
        <v>-17460.2</v>
      </c>
      <c r="X1216">
        <v>1</v>
      </c>
      <c r="Y1216">
        <v>17460.2</v>
      </c>
      <c r="Z1216" s="3">
        <f t="shared" si="18"/>
        <v>17460.2</v>
      </c>
    </row>
    <row r="1217" spans="1:26" hidden="1">
      <c r="A1217" t="s">
        <v>707</v>
      </c>
      <c r="B1217" s="6">
        <v>44287</v>
      </c>
      <c r="C1217" s="6">
        <v>44651</v>
      </c>
      <c r="D1217">
        <v>20210401</v>
      </c>
      <c r="E1217">
        <v>20220331</v>
      </c>
      <c r="F1217" t="s">
        <v>7268</v>
      </c>
      <c r="G1217" t="s">
        <v>7269</v>
      </c>
      <c r="H1217" t="s">
        <v>590</v>
      </c>
      <c r="I1217" t="s">
        <v>1462</v>
      </c>
      <c r="J1217">
        <v>2</v>
      </c>
      <c r="K1217">
        <v>3500.2</v>
      </c>
      <c r="X1217">
        <v>2</v>
      </c>
      <c r="Y1217">
        <v>3500.2</v>
      </c>
      <c r="Z1217" s="3">
        <f t="shared" si="18"/>
        <v>1750.1</v>
      </c>
    </row>
    <row r="1218" spans="1:26" hidden="1">
      <c r="A1218" t="s">
        <v>707</v>
      </c>
      <c r="B1218" s="6">
        <v>44287</v>
      </c>
      <c r="C1218" s="6">
        <v>44651</v>
      </c>
      <c r="D1218">
        <v>20210401</v>
      </c>
      <c r="E1218">
        <v>20220331</v>
      </c>
      <c r="F1218" t="s">
        <v>7270</v>
      </c>
      <c r="G1218" t="s">
        <v>7271</v>
      </c>
      <c r="H1218" t="s">
        <v>590</v>
      </c>
      <c r="I1218" t="s">
        <v>1462</v>
      </c>
      <c r="J1218">
        <v>4</v>
      </c>
      <c r="K1218">
        <v>460</v>
      </c>
      <c r="X1218">
        <v>4</v>
      </c>
      <c r="Y1218">
        <v>460</v>
      </c>
      <c r="Z1218" s="3">
        <f t="shared" si="18"/>
        <v>115</v>
      </c>
    </row>
    <row r="1219" spans="1:26" hidden="1">
      <c r="A1219" t="s">
        <v>707</v>
      </c>
      <c r="B1219" s="6">
        <v>44287</v>
      </c>
      <c r="C1219" s="6">
        <v>44651</v>
      </c>
      <c r="D1219">
        <v>20210401</v>
      </c>
      <c r="E1219">
        <v>20220331</v>
      </c>
      <c r="F1219" t="s">
        <v>4963</v>
      </c>
      <c r="G1219" t="s">
        <v>4940</v>
      </c>
      <c r="H1219" t="s">
        <v>590</v>
      </c>
      <c r="I1219" t="s">
        <v>1462</v>
      </c>
      <c r="L1219">
        <v>4</v>
      </c>
      <c r="M1219">
        <v>4800</v>
      </c>
      <c r="X1219">
        <v>4</v>
      </c>
      <c r="Y1219">
        <v>4800</v>
      </c>
      <c r="Z1219" s="3">
        <f t="shared" ref="Z1219:Z1282" si="19">IFERROR((O1219+Q1219)/(N1219+P1219),Y1219/X1219)</f>
        <v>1200</v>
      </c>
    </row>
    <row r="1220" spans="1:26" hidden="1">
      <c r="A1220" t="s">
        <v>707</v>
      </c>
      <c r="B1220" s="6">
        <v>44287</v>
      </c>
      <c r="C1220" s="6">
        <v>44651</v>
      </c>
      <c r="D1220">
        <v>20210401</v>
      </c>
      <c r="E1220">
        <v>20220331</v>
      </c>
      <c r="F1220" t="s">
        <v>7272</v>
      </c>
      <c r="G1220" t="s">
        <v>7273</v>
      </c>
      <c r="H1220" t="s">
        <v>3847</v>
      </c>
      <c r="I1220" t="s">
        <v>1462</v>
      </c>
      <c r="N1220">
        <v>-5</v>
      </c>
      <c r="O1220">
        <v>-1500</v>
      </c>
      <c r="X1220">
        <v>-5</v>
      </c>
      <c r="Y1220">
        <v>-1500</v>
      </c>
      <c r="Z1220" s="3">
        <f t="shared" si="19"/>
        <v>300</v>
      </c>
    </row>
    <row r="1221" spans="1:26" hidden="1">
      <c r="A1221" t="s">
        <v>707</v>
      </c>
      <c r="B1221" s="6">
        <v>44287</v>
      </c>
      <c r="C1221" s="6">
        <v>44651</v>
      </c>
      <c r="D1221">
        <v>20210401</v>
      </c>
      <c r="E1221">
        <v>20220331</v>
      </c>
      <c r="F1221" t="s">
        <v>7274</v>
      </c>
      <c r="G1221" t="s">
        <v>7275</v>
      </c>
      <c r="H1221" t="s">
        <v>1973</v>
      </c>
      <c r="I1221" t="s">
        <v>1462</v>
      </c>
      <c r="J1221">
        <v>9</v>
      </c>
      <c r="K1221">
        <v>25343.06</v>
      </c>
      <c r="N1221">
        <v>-2</v>
      </c>
      <c r="O1221">
        <v>-5393.86</v>
      </c>
      <c r="X1221">
        <v>7</v>
      </c>
      <c r="Y1221">
        <v>19949.2</v>
      </c>
      <c r="Z1221" s="3">
        <f t="shared" si="19"/>
        <v>2696.93</v>
      </c>
    </row>
    <row r="1222" spans="1:26" hidden="1">
      <c r="A1222" t="s">
        <v>707</v>
      </c>
      <c r="B1222" s="6">
        <v>44287</v>
      </c>
      <c r="C1222" s="6">
        <v>44651</v>
      </c>
      <c r="D1222">
        <v>20210401</v>
      </c>
      <c r="E1222">
        <v>20220331</v>
      </c>
      <c r="F1222" t="s">
        <v>7276</v>
      </c>
      <c r="G1222" t="s">
        <v>7277</v>
      </c>
      <c r="H1222" t="s">
        <v>590</v>
      </c>
      <c r="I1222" t="s">
        <v>1462</v>
      </c>
      <c r="L1222">
        <v>12</v>
      </c>
      <c r="M1222">
        <v>3000</v>
      </c>
      <c r="X1222">
        <v>12</v>
      </c>
      <c r="Y1222">
        <v>3000</v>
      </c>
      <c r="Z1222" s="3">
        <f t="shared" si="19"/>
        <v>250</v>
      </c>
    </row>
    <row r="1223" spans="1:26" hidden="1">
      <c r="A1223" t="s">
        <v>707</v>
      </c>
      <c r="B1223" s="6">
        <v>44287</v>
      </c>
      <c r="C1223" s="6">
        <v>44651</v>
      </c>
      <c r="D1223">
        <v>20210401</v>
      </c>
      <c r="E1223">
        <v>20220331</v>
      </c>
      <c r="F1223" t="s">
        <v>7278</v>
      </c>
      <c r="G1223" t="s">
        <v>7279</v>
      </c>
      <c r="H1223" t="s">
        <v>590</v>
      </c>
      <c r="I1223" t="s">
        <v>1462</v>
      </c>
      <c r="L1223">
        <v>1</v>
      </c>
      <c r="M1223">
        <v>632</v>
      </c>
      <c r="N1223">
        <v>-1</v>
      </c>
      <c r="O1223">
        <v>-632</v>
      </c>
      <c r="Z1223" s="3">
        <f t="shared" si="19"/>
        <v>632</v>
      </c>
    </row>
    <row r="1224" spans="1:26" hidden="1">
      <c r="A1224" t="s">
        <v>707</v>
      </c>
      <c r="B1224" s="6">
        <v>44287</v>
      </c>
      <c r="C1224" s="6">
        <v>44651</v>
      </c>
      <c r="D1224">
        <v>20210401</v>
      </c>
      <c r="E1224">
        <v>20220331</v>
      </c>
      <c r="F1224" t="s">
        <v>7280</v>
      </c>
      <c r="G1224" t="s">
        <v>7281</v>
      </c>
      <c r="H1224" t="s">
        <v>590</v>
      </c>
      <c r="I1224" t="s">
        <v>1462</v>
      </c>
      <c r="J1224">
        <v>1</v>
      </c>
      <c r="K1224">
        <v>1850</v>
      </c>
      <c r="X1224">
        <v>1</v>
      </c>
      <c r="Y1224">
        <v>1850</v>
      </c>
      <c r="Z1224" s="3">
        <f t="shared" si="19"/>
        <v>1850</v>
      </c>
    </row>
    <row r="1225" spans="1:26" hidden="1">
      <c r="A1225" t="s">
        <v>707</v>
      </c>
      <c r="B1225" s="6">
        <v>44287</v>
      </c>
      <c r="C1225" s="6">
        <v>44651</v>
      </c>
      <c r="D1225">
        <v>20210401</v>
      </c>
      <c r="E1225">
        <v>20220331</v>
      </c>
      <c r="F1225" t="s">
        <v>7282</v>
      </c>
      <c r="G1225" t="s">
        <v>7283</v>
      </c>
      <c r="H1225" t="s">
        <v>590</v>
      </c>
      <c r="I1225" t="s">
        <v>1462</v>
      </c>
      <c r="J1225">
        <v>5</v>
      </c>
      <c r="K1225">
        <v>1499.45</v>
      </c>
      <c r="L1225">
        <v>48</v>
      </c>
      <c r="M1225">
        <v>13200</v>
      </c>
      <c r="N1225">
        <v>-7</v>
      </c>
      <c r="O1225">
        <v>-2074.2199999999998</v>
      </c>
      <c r="X1225">
        <v>46</v>
      </c>
      <c r="Y1225">
        <v>12625.23</v>
      </c>
      <c r="Z1225" s="3">
        <f t="shared" si="19"/>
        <v>296.31714285714281</v>
      </c>
    </row>
    <row r="1226" spans="1:26" hidden="1">
      <c r="A1226" t="s">
        <v>707</v>
      </c>
      <c r="B1226" s="6">
        <v>44287</v>
      </c>
      <c r="C1226" s="6">
        <v>44651</v>
      </c>
      <c r="D1226">
        <v>20210401</v>
      </c>
      <c r="E1226">
        <v>20220331</v>
      </c>
      <c r="F1226" t="s">
        <v>7284</v>
      </c>
      <c r="G1226" t="s">
        <v>7285</v>
      </c>
      <c r="H1226" t="s">
        <v>590</v>
      </c>
      <c r="I1226" t="s">
        <v>1462</v>
      </c>
      <c r="J1226">
        <v>6</v>
      </c>
      <c r="K1226">
        <v>10779.17</v>
      </c>
      <c r="N1226">
        <v>-2</v>
      </c>
      <c r="O1226">
        <v>-3593.04</v>
      </c>
      <c r="X1226">
        <v>4</v>
      </c>
      <c r="Y1226">
        <v>7186.13</v>
      </c>
      <c r="Z1226" s="3">
        <f t="shared" si="19"/>
        <v>1796.52</v>
      </c>
    </row>
    <row r="1227" spans="1:26" hidden="1">
      <c r="A1227" t="s">
        <v>707</v>
      </c>
      <c r="B1227" s="6">
        <v>44287</v>
      </c>
      <c r="C1227" s="6">
        <v>44651</v>
      </c>
      <c r="D1227">
        <v>20210401</v>
      </c>
      <c r="E1227">
        <v>20220331</v>
      </c>
      <c r="F1227" t="s">
        <v>7286</v>
      </c>
      <c r="G1227" t="s">
        <v>7287</v>
      </c>
      <c r="H1227" t="s">
        <v>1973</v>
      </c>
      <c r="I1227" t="s">
        <v>1462</v>
      </c>
      <c r="J1227">
        <v>6</v>
      </c>
      <c r="K1227">
        <v>59490</v>
      </c>
      <c r="X1227">
        <v>6</v>
      </c>
      <c r="Y1227">
        <v>59490</v>
      </c>
      <c r="Z1227" s="3">
        <f t="shared" si="19"/>
        <v>9915</v>
      </c>
    </row>
    <row r="1228" spans="1:26" hidden="1">
      <c r="A1228" t="s">
        <v>707</v>
      </c>
      <c r="B1228" s="6">
        <v>44287</v>
      </c>
      <c r="C1228" s="6">
        <v>44651</v>
      </c>
      <c r="D1228">
        <v>20210401</v>
      </c>
      <c r="E1228">
        <v>20220331</v>
      </c>
      <c r="F1228" t="s">
        <v>7288</v>
      </c>
      <c r="G1228" t="s">
        <v>7289</v>
      </c>
      <c r="H1228" t="s">
        <v>590</v>
      </c>
      <c r="I1228" t="s">
        <v>1462</v>
      </c>
      <c r="J1228">
        <v>1</v>
      </c>
      <c r="K1228">
        <v>2100</v>
      </c>
      <c r="N1228">
        <v>-1</v>
      </c>
      <c r="O1228">
        <v>-2100</v>
      </c>
      <c r="Z1228" s="3">
        <f t="shared" si="19"/>
        <v>2100</v>
      </c>
    </row>
    <row r="1229" spans="1:26" hidden="1">
      <c r="A1229" t="s">
        <v>707</v>
      </c>
      <c r="B1229" s="6">
        <v>44287</v>
      </c>
      <c r="C1229" s="6">
        <v>44651</v>
      </c>
      <c r="D1229">
        <v>20210401</v>
      </c>
      <c r="E1229">
        <v>20220331</v>
      </c>
      <c r="F1229" t="s">
        <v>7290</v>
      </c>
      <c r="G1229" t="s">
        <v>7291</v>
      </c>
      <c r="H1229" t="s">
        <v>590</v>
      </c>
      <c r="I1229" t="s">
        <v>1462</v>
      </c>
      <c r="L1229">
        <v>2</v>
      </c>
      <c r="M1229">
        <v>2100</v>
      </c>
      <c r="X1229">
        <v>2</v>
      </c>
      <c r="Y1229">
        <v>2100</v>
      </c>
      <c r="Z1229" s="3">
        <f t="shared" si="19"/>
        <v>1050</v>
      </c>
    </row>
    <row r="1230" spans="1:26" hidden="1">
      <c r="A1230" t="s">
        <v>707</v>
      </c>
      <c r="B1230" s="6">
        <v>44287</v>
      </c>
      <c r="C1230" s="6">
        <v>44651</v>
      </c>
      <c r="D1230">
        <v>20210401</v>
      </c>
      <c r="E1230">
        <v>20220331</v>
      </c>
      <c r="F1230" t="s">
        <v>7292</v>
      </c>
      <c r="G1230" t="s">
        <v>5009</v>
      </c>
      <c r="H1230" t="s">
        <v>1973</v>
      </c>
      <c r="I1230" t="s">
        <v>1462</v>
      </c>
      <c r="J1230">
        <v>9</v>
      </c>
      <c r="K1230">
        <v>41402.480000000003</v>
      </c>
      <c r="N1230">
        <v>-3</v>
      </c>
      <c r="O1230">
        <v>-13800.81</v>
      </c>
      <c r="X1230">
        <v>6</v>
      </c>
      <c r="Y1230">
        <v>27601.67</v>
      </c>
      <c r="Z1230" s="3">
        <f t="shared" si="19"/>
        <v>4600.2699999999995</v>
      </c>
    </row>
    <row r="1231" spans="1:26" hidden="1">
      <c r="A1231" t="s">
        <v>707</v>
      </c>
      <c r="B1231" s="6">
        <v>44287</v>
      </c>
      <c r="C1231" s="6">
        <v>44651</v>
      </c>
      <c r="D1231">
        <v>20210401</v>
      </c>
      <c r="E1231">
        <v>20220331</v>
      </c>
      <c r="F1231" t="s">
        <v>7293</v>
      </c>
      <c r="G1231" t="s">
        <v>5003</v>
      </c>
      <c r="H1231" t="s">
        <v>1973</v>
      </c>
      <c r="I1231" t="s">
        <v>1462</v>
      </c>
      <c r="J1231">
        <v>3</v>
      </c>
      <c r="K1231">
        <v>8700</v>
      </c>
      <c r="N1231">
        <v>-1</v>
      </c>
      <c r="O1231">
        <v>-2900</v>
      </c>
      <c r="X1231">
        <v>2</v>
      </c>
      <c r="Y1231">
        <v>5800</v>
      </c>
      <c r="Z1231" s="3">
        <f t="shared" si="19"/>
        <v>2900</v>
      </c>
    </row>
    <row r="1232" spans="1:26" hidden="1">
      <c r="A1232" t="s">
        <v>707</v>
      </c>
      <c r="B1232" s="6">
        <v>44287</v>
      </c>
      <c r="C1232" s="6">
        <v>44651</v>
      </c>
      <c r="D1232">
        <v>20210401</v>
      </c>
      <c r="E1232">
        <v>20220331</v>
      </c>
      <c r="F1232" t="s">
        <v>5040</v>
      </c>
      <c r="G1232" t="s">
        <v>5041</v>
      </c>
      <c r="H1232" t="s">
        <v>590</v>
      </c>
      <c r="I1232" t="s">
        <v>1462</v>
      </c>
      <c r="L1232">
        <v>2</v>
      </c>
      <c r="M1232">
        <v>11627.96</v>
      </c>
      <c r="N1232">
        <v>-2</v>
      </c>
      <c r="O1232">
        <v>-11627.96</v>
      </c>
      <c r="Z1232" s="3">
        <f t="shared" si="19"/>
        <v>5813.98</v>
      </c>
    </row>
    <row r="1233" spans="1:26" hidden="1">
      <c r="A1233" t="s">
        <v>707</v>
      </c>
      <c r="B1233" s="6">
        <v>44287</v>
      </c>
      <c r="C1233" s="6">
        <v>44651</v>
      </c>
      <c r="D1233">
        <v>20210401</v>
      </c>
      <c r="E1233">
        <v>20220331</v>
      </c>
      <c r="F1233" t="s">
        <v>5042</v>
      </c>
      <c r="G1233" t="s">
        <v>5043</v>
      </c>
      <c r="H1233" t="s">
        <v>590</v>
      </c>
      <c r="I1233" t="s">
        <v>1462</v>
      </c>
      <c r="J1233">
        <v>1</v>
      </c>
      <c r="K1233">
        <v>5232.6000000000004</v>
      </c>
      <c r="L1233">
        <v>2</v>
      </c>
      <c r="M1233">
        <v>11628</v>
      </c>
      <c r="N1233">
        <v>-1</v>
      </c>
      <c r="O1233">
        <v>-5620.2</v>
      </c>
      <c r="X1233">
        <v>2</v>
      </c>
      <c r="Y1233">
        <v>11240.4</v>
      </c>
      <c r="Z1233" s="3">
        <f t="shared" si="19"/>
        <v>5620.2</v>
      </c>
    </row>
    <row r="1234" spans="1:26" hidden="1">
      <c r="A1234" t="s">
        <v>707</v>
      </c>
      <c r="B1234" s="6">
        <v>44287</v>
      </c>
      <c r="C1234" s="6">
        <v>44651</v>
      </c>
      <c r="D1234">
        <v>20210401</v>
      </c>
      <c r="E1234">
        <v>20220331</v>
      </c>
      <c r="F1234" t="s">
        <v>7294</v>
      </c>
      <c r="G1234" t="s">
        <v>7295</v>
      </c>
      <c r="I1234" t="s">
        <v>1462</v>
      </c>
      <c r="J1234">
        <v>2</v>
      </c>
      <c r="K1234">
        <v>75866.67</v>
      </c>
      <c r="X1234">
        <v>2</v>
      </c>
      <c r="Y1234">
        <v>75866.67</v>
      </c>
      <c r="Z1234" s="3">
        <f t="shared" si="19"/>
        <v>37933.334999999999</v>
      </c>
    </row>
    <row r="1235" spans="1:26" hidden="1">
      <c r="A1235" t="s">
        <v>707</v>
      </c>
      <c r="B1235" s="6">
        <v>44287</v>
      </c>
      <c r="C1235" s="6">
        <v>44651</v>
      </c>
      <c r="D1235">
        <v>20210401</v>
      </c>
      <c r="E1235">
        <v>20220331</v>
      </c>
      <c r="F1235" t="s">
        <v>5044</v>
      </c>
      <c r="G1235" t="s">
        <v>5045</v>
      </c>
      <c r="H1235" t="s">
        <v>590</v>
      </c>
      <c r="I1235" t="s">
        <v>805</v>
      </c>
      <c r="J1235">
        <v>17</v>
      </c>
      <c r="K1235">
        <v>7273.93</v>
      </c>
      <c r="N1235">
        <v>-1</v>
      </c>
      <c r="O1235">
        <v>-427.88</v>
      </c>
      <c r="X1235">
        <v>16</v>
      </c>
      <c r="Y1235">
        <v>6846.05</v>
      </c>
      <c r="Z1235" s="3">
        <f t="shared" si="19"/>
        <v>427.88</v>
      </c>
    </row>
    <row r="1236" spans="1:26" hidden="1">
      <c r="A1236" t="s">
        <v>707</v>
      </c>
      <c r="B1236" s="6">
        <v>44287</v>
      </c>
      <c r="C1236" s="6">
        <v>44651</v>
      </c>
      <c r="D1236">
        <v>20210401</v>
      </c>
      <c r="E1236">
        <v>20220331</v>
      </c>
      <c r="F1236" t="s">
        <v>7296</v>
      </c>
      <c r="G1236" t="s">
        <v>7297</v>
      </c>
      <c r="H1236" t="s">
        <v>1973</v>
      </c>
      <c r="I1236" t="s">
        <v>1462</v>
      </c>
      <c r="L1236">
        <v>2</v>
      </c>
      <c r="M1236">
        <v>3500</v>
      </c>
      <c r="N1236">
        <v>-2</v>
      </c>
      <c r="O1236">
        <v>-3500</v>
      </c>
      <c r="Z1236" s="3">
        <f t="shared" si="19"/>
        <v>1750</v>
      </c>
    </row>
    <row r="1237" spans="1:26" hidden="1">
      <c r="A1237" t="s">
        <v>707</v>
      </c>
      <c r="B1237" s="6">
        <v>44287</v>
      </c>
      <c r="C1237" s="6">
        <v>44651</v>
      </c>
      <c r="D1237">
        <v>20210401</v>
      </c>
      <c r="E1237">
        <v>20220331</v>
      </c>
      <c r="F1237" t="s">
        <v>7298</v>
      </c>
      <c r="G1237" t="s">
        <v>7299</v>
      </c>
      <c r="H1237" t="s">
        <v>590</v>
      </c>
      <c r="I1237" t="s">
        <v>1462</v>
      </c>
      <c r="L1237">
        <v>4</v>
      </c>
      <c r="M1237">
        <v>5384</v>
      </c>
      <c r="N1237">
        <v>-4</v>
      </c>
      <c r="O1237">
        <v>-5384</v>
      </c>
      <c r="Z1237" s="3">
        <f t="shared" si="19"/>
        <v>1346</v>
      </c>
    </row>
    <row r="1238" spans="1:26" hidden="1">
      <c r="A1238" t="s">
        <v>707</v>
      </c>
      <c r="B1238" s="6">
        <v>44287</v>
      </c>
      <c r="C1238" s="6">
        <v>44651</v>
      </c>
      <c r="D1238">
        <v>20210401</v>
      </c>
      <c r="E1238">
        <v>20220331</v>
      </c>
      <c r="F1238" t="s">
        <v>7300</v>
      </c>
      <c r="G1238" t="s">
        <v>7301</v>
      </c>
      <c r="H1238" t="s">
        <v>590</v>
      </c>
      <c r="I1238" t="s">
        <v>1462</v>
      </c>
      <c r="L1238">
        <v>4</v>
      </c>
      <c r="M1238">
        <v>4324</v>
      </c>
      <c r="N1238">
        <v>-4</v>
      </c>
      <c r="O1238">
        <v>-4324</v>
      </c>
      <c r="Z1238" s="3">
        <f t="shared" si="19"/>
        <v>1081</v>
      </c>
    </row>
    <row r="1239" spans="1:26" hidden="1">
      <c r="A1239" t="s">
        <v>707</v>
      </c>
      <c r="B1239" s="6">
        <v>44287</v>
      </c>
      <c r="C1239" s="6">
        <v>44651</v>
      </c>
      <c r="D1239">
        <v>20210401</v>
      </c>
      <c r="E1239">
        <v>20220331</v>
      </c>
      <c r="F1239" t="s">
        <v>7302</v>
      </c>
      <c r="G1239" t="s">
        <v>7303</v>
      </c>
      <c r="H1239" t="s">
        <v>590</v>
      </c>
      <c r="I1239" t="s">
        <v>1462</v>
      </c>
      <c r="L1239">
        <v>8</v>
      </c>
      <c r="M1239">
        <v>10800</v>
      </c>
      <c r="N1239">
        <v>-8</v>
      </c>
      <c r="O1239">
        <v>-10800</v>
      </c>
      <c r="Z1239" s="3">
        <f t="shared" si="19"/>
        <v>1350</v>
      </c>
    </row>
    <row r="1240" spans="1:26" hidden="1">
      <c r="A1240" t="s">
        <v>707</v>
      </c>
      <c r="B1240" s="6">
        <v>44287</v>
      </c>
      <c r="C1240" s="6">
        <v>44651</v>
      </c>
      <c r="D1240">
        <v>20210401</v>
      </c>
      <c r="E1240">
        <v>20220331</v>
      </c>
      <c r="F1240" t="s">
        <v>7304</v>
      </c>
      <c r="G1240" t="s">
        <v>7305</v>
      </c>
      <c r="H1240" t="s">
        <v>590</v>
      </c>
      <c r="I1240" t="s">
        <v>1462</v>
      </c>
      <c r="L1240">
        <v>8</v>
      </c>
      <c r="M1240">
        <v>192</v>
      </c>
      <c r="N1240">
        <v>-8</v>
      </c>
      <c r="O1240">
        <v>-192</v>
      </c>
      <c r="Z1240" s="3">
        <f t="shared" si="19"/>
        <v>24</v>
      </c>
    </row>
    <row r="1241" spans="1:26" hidden="1">
      <c r="A1241" t="s">
        <v>707</v>
      </c>
      <c r="B1241" s="6">
        <v>44287</v>
      </c>
      <c r="C1241" s="6">
        <v>44651</v>
      </c>
      <c r="D1241">
        <v>20210401</v>
      </c>
      <c r="E1241">
        <v>20220331</v>
      </c>
      <c r="F1241" t="s">
        <v>7306</v>
      </c>
      <c r="G1241" t="s">
        <v>7307</v>
      </c>
      <c r="H1241" t="s">
        <v>590</v>
      </c>
      <c r="I1241" t="s">
        <v>1462</v>
      </c>
      <c r="J1241">
        <v>5</v>
      </c>
      <c r="K1241">
        <v>1525.55</v>
      </c>
      <c r="X1241">
        <v>5</v>
      </c>
      <c r="Y1241">
        <v>1525.55</v>
      </c>
      <c r="Z1241" s="3">
        <f t="shared" si="19"/>
        <v>305.11</v>
      </c>
    </row>
    <row r="1242" spans="1:26" hidden="1">
      <c r="A1242" t="s">
        <v>707</v>
      </c>
      <c r="B1242" s="6">
        <v>44287</v>
      </c>
      <c r="C1242" s="6">
        <v>44651</v>
      </c>
      <c r="D1242">
        <v>20210401</v>
      </c>
      <c r="E1242">
        <v>20220331</v>
      </c>
      <c r="F1242" t="s">
        <v>7308</v>
      </c>
      <c r="G1242" t="s">
        <v>7309</v>
      </c>
      <c r="H1242" t="s">
        <v>590</v>
      </c>
      <c r="I1242" t="s">
        <v>1462</v>
      </c>
      <c r="J1242">
        <v>1</v>
      </c>
      <c r="K1242">
        <v>1174.2</v>
      </c>
      <c r="L1242">
        <v>2</v>
      </c>
      <c r="M1242">
        <v>4023.7</v>
      </c>
      <c r="N1242">
        <v>-2</v>
      </c>
      <c r="O1242">
        <v>-3186.07</v>
      </c>
      <c r="X1242">
        <v>1</v>
      </c>
      <c r="Y1242">
        <v>2011.83</v>
      </c>
      <c r="Z1242" s="3">
        <f t="shared" si="19"/>
        <v>1593.0350000000001</v>
      </c>
    </row>
    <row r="1243" spans="1:26" hidden="1">
      <c r="A1243" t="s">
        <v>707</v>
      </c>
      <c r="B1243" s="6">
        <v>44287</v>
      </c>
      <c r="C1243" s="6">
        <v>44651</v>
      </c>
      <c r="D1243">
        <v>20210401</v>
      </c>
      <c r="E1243">
        <v>20220331</v>
      </c>
      <c r="F1243" t="s">
        <v>7310</v>
      </c>
      <c r="G1243" t="s">
        <v>7311</v>
      </c>
      <c r="H1243" t="s">
        <v>590</v>
      </c>
      <c r="I1243" t="s">
        <v>1462</v>
      </c>
      <c r="J1243">
        <v>1</v>
      </c>
      <c r="K1243">
        <v>1823.88</v>
      </c>
      <c r="N1243">
        <v>-1</v>
      </c>
      <c r="O1243">
        <v>-1412.29</v>
      </c>
      <c r="Y1243">
        <v>411.59</v>
      </c>
      <c r="Z1243" s="3">
        <f t="shared" si="19"/>
        <v>1412.29</v>
      </c>
    </row>
    <row r="1244" spans="1:26" hidden="1">
      <c r="A1244" t="s">
        <v>707</v>
      </c>
      <c r="B1244" s="6">
        <v>44287</v>
      </c>
      <c r="C1244" s="6">
        <v>44651</v>
      </c>
      <c r="D1244">
        <v>20210401</v>
      </c>
      <c r="E1244">
        <v>20220331</v>
      </c>
      <c r="F1244" t="s">
        <v>5102</v>
      </c>
      <c r="G1244" t="s">
        <v>5103</v>
      </c>
      <c r="H1244" t="s">
        <v>590</v>
      </c>
      <c r="I1244" t="s">
        <v>1462</v>
      </c>
      <c r="J1244">
        <v>2</v>
      </c>
      <c r="K1244">
        <v>43224.87</v>
      </c>
      <c r="L1244">
        <v>3</v>
      </c>
      <c r="M1244">
        <v>67773.84</v>
      </c>
      <c r="N1244">
        <v>-2</v>
      </c>
      <c r="O1244">
        <v>-43224.86</v>
      </c>
      <c r="X1244">
        <v>3</v>
      </c>
      <c r="Y1244">
        <v>67773.850000000006</v>
      </c>
      <c r="Z1244" s="3">
        <f t="shared" si="19"/>
        <v>21612.43</v>
      </c>
    </row>
    <row r="1245" spans="1:26" hidden="1">
      <c r="A1245" t="s">
        <v>707</v>
      </c>
      <c r="B1245" s="6">
        <v>44287</v>
      </c>
      <c r="C1245" s="6">
        <v>44651</v>
      </c>
      <c r="D1245">
        <v>20210401</v>
      </c>
      <c r="E1245">
        <v>20220331</v>
      </c>
      <c r="F1245" t="s">
        <v>7312</v>
      </c>
      <c r="G1245" t="s">
        <v>7313</v>
      </c>
      <c r="H1245" t="s">
        <v>590</v>
      </c>
      <c r="I1245" t="s">
        <v>1462</v>
      </c>
      <c r="J1245">
        <v>7</v>
      </c>
      <c r="K1245">
        <v>6563.93</v>
      </c>
      <c r="X1245">
        <v>7</v>
      </c>
      <c r="Y1245">
        <v>6563.93</v>
      </c>
      <c r="Z1245" s="3">
        <f t="shared" si="19"/>
        <v>937.70428571428579</v>
      </c>
    </row>
    <row r="1246" spans="1:26" hidden="1">
      <c r="A1246" t="s">
        <v>707</v>
      </c>
      <c r="B1246" s="6">
        <v>44287</v>
      </c>
      <c r="C1246" s="6">
        <v>44651</v>
      </c>
      <c r="D1246">
        <v>20210401</v>
      </c>
      <c r="E1246">
        <v>20220331</v>
      </c>
      <c r="F1246" t="s">
        <v>7314</v>
      </c>
      <c r="G1246" t="s">
        <v>7315</v>
      </c>
      <c r="H1246" t="s">
        <v>590</v>
      </c>
      <c r="I1246" t="s">
        <v>1462</v>
      </c>
      <c r="J1246">
        <v>20</v>
      </c>
      <c r="K1246">
        <v>16266.77</v>
      </c>
      <c r="X1246">
        <v>20</v>
      </c>
      <c r="Y1246">
        <v>16266.77</v>
      </c>
      <c r="Z1246" s="3">
        <f t="shared" si="19"/>
        <v>813.33850000000007</v>
      </c>
    </row>
    <row r="1247" spans="1:26" hidden="1">
      <c r="A1247" t="s">
        <v>707</v>
      </c>
      <c r="B1247" s="6">
        <v>44287</v>
      </c>
      <c r="C1247" s="6">
        <v>44651</v>
      </c>
      <c r="D1247">
        <v>20210401</v>
      </c>
      <c r="E1247">
        <v>20220331</v>
      </c>
      <c r="F1247" t="s">
        <v>5108</v>
      </c>
      <c r="G1247" t="s">
        <v>5109</v>
      </c>
      <c r="H1247" t="s">
        <v>590</v>
      </c>
      <c r="I1247" t="s">
        <v>1462</v>
      </c>
      <c r="K1247">
        <v>0.01</v>
      </c>
      <c r="Y1247">
        <v>0.01</v>
      </c>
      <c r="Z1247" s="3" t="e">
        <f t="shared" si="19"/>
        <v>#DIV/0!</v>
      </c>
    </row>
    <row r="1248" spans="1:26" hidden="1">
      <c r="A1248" t="s">
        <v>707</v>
      </c>
      <c r="B1248" s="6">
        <v>44287</v>
      </c>
      <c r="C1248" s="6">
        <v>44651</v>
      </c>
      <c r="D1248">
        <v>20210401</v>
      </c>
      <c r="E1248">
        <v>20220331</v>
      </c>
      <c r="F1248" t="s">
        <v>7316</v>
      </c>
      <c r="G1248" t="s">
        <v>7317</v>
      </c>
      <c r="H1248" t="s">
        <v>590</v>
      </c>
      <c r="I1248" t="s">
        <v>1462</v>
      </c>
      <c r="J1248">
        <v>3</v>
      </c>
      <c r="K1248">
        <v>28287.06</v>
      </c>
      <c r="N1248">
        <v>-1</v>
      </c>
      <c r="O1248">
        <v>-9429.02</v>
      </c>
      <c r="X1248">
        <v>2</v>
      </c>
      <c r="Y1248">
        <v>18858.04</v>
      </c>
      <c r="Z1248" s="3">
        <f t="shared" si="19"/>
        <v>9429.02</v>
      </c>
    </row>
    <row r="1249" spans="1:26" hidden="1">
      <c r="A1249" t="s">
        <v>707</v>
      </c>
      <c r="B1249" s="6">
        <v>44287</v>
      </c>
      <c r="C1249" s="6">
        <v>44651</v>
      </c>
      <c r="D1249">
        <v>20210401</v>
      </c>
      <c r="E1249">
        <v>20220331</v>
      </c>
      <c r="F1249" t="s">
        <v>7318</v>
      </c>
      <c r="G1249" t="s">
        <v>7319</v>
      </c>
      <c r="H1249" t="s">
        <v>590</v>
      </c>
      <c r="I1249" t="s">
        <v>1462</v>
      </c>
      <c r="J1249">
        <v>4</v>
      </c>
      <c r="K1249">
        <v>34877.839999999997</v>
      </c>
      <c r="N1249">
        <v>-2</v>
      </c>
      <c r="O1249">
        <v>-17438.919999999998</v>
      </c>
      <c r="X1249">
        <v>2</v>
      </c>
      <c r="Y1249">
        <v>17438.919999999998</v>
      </c>
      <c r="Z1249" s="3">
        <f t="shared" si="19"/>
        <v>8719.4599999999991</v>
      </c>
    </row>
    <row r="1250" spans="1:26" hidden="1">
      <c r="A1250" t="s">
        <v>707</v>
      </c>
      <c r="B1250" s="6">
        <v>44287</v>
      </c>
      <c r="C1250" s="6">
        <v>44651</v>
      </c>
      <c r="D1250">
        <v>20210401</v>
      </c>
      <c r="E1250">
        <v>20220331</v>
      </c>
      <c r="F1250" t="s">
        <v>7320</v>
      </c>
      <c r="G1250" t="s">
        <v>7321</v>
      </c>
      <c r="H1250" t="s">
        <v>3319</v>
      </c>
      <c r="I1250" t="s">
        <v>1462</v>
      </c>
      <c r="L1250">
        <v>150</v>
      </c>
      <c r="M1250">
        <v>13563.21</v>
      </c>
      <c r="X1250">
        <v>150</v>
      </c>
      <c r="Y1250">
        <v>13563.21</v>
      </c>
      <c r="Z1250" s="3">
        <f t="shared" si="19"/>
        <v>90.421399999999991</v>
      </c>
    </row>
    <row r="1251" spans="1:26" hidden="1">
      <c r="A1251" t="s">
        <v>707</v>
      </c>
      <c r="B1251" s="6">
        <v>44287</v>
      </c>
      <c r="C1251" s="6">
        <v>44651</v>
      </c>
      <c r="D1251">
        <v>20210401</v>
      </c>
      <c r="E1251">
        <v>20220331</v>
      </c>
      <c r="F1251" t="s">
        <v>7322</v>
      </c>
      <c r="G1251" t="s">
        <v>7323</v>
      </c>
      <c r="H1251" t="s">
        <v>590</v>
      </c>
      <c r="I1251" t="s">
        <v>1462</v>
      </c>
      <c r="J1251">
        <v>9</v>
      </c>
      <c r="K1251">
        <v>4721.67</v>
      </c>
      <c r="N1251">
        <v>-2</v>
      </c>
      <c r="O1251">
        <v>-1049.25</v>
      </c>
      <c r="X1251">
        <v>7</v>
      </c>
      <c r="Y1251">
        <v>3672.42</v>
      </c>
      <c r="Z1251" s="3">
        <f t="shared" si="19"/>
        <v>524.625</v>
      </c>
    </row>
    <row r="1252" spans="1:26" hidden="1">
      <c r="A1252" t="s">
        <v>707</v>
      </c>
      <c r="B1252" s="6">
        <v>44287</v>
      </c>
      <c r="C1252" s="6">
        <v>44651</v>
      </c>
      <c r="D1252">
        <v>20210401</v>
      </c>
      <c r="E1252">
        <v>20220331</v>
      </c>
      <c r="F1252" t="s">
        <v>7324</v>
      </c>
      <c r="G1252" t="s">
        <v>7325</v>
      </c>
      <c r="H1252" t="s">
        <v>590</v>
      </c>
      <c r="I1252" t="s">
        <v>1462</v>
      </c>
      <c r="J1252">
        <v>2</v>
      </c>
      <c r="K1252">
        <v>2270.56</v>
      </c>
      <c r="X1252">
        <v>2</v>
      </c>
      <c r="Y1252">
        <v>2270.56</v>
      </c>
      <c r="Z1252" s="3">
        <f t="shared" si="19"/>
        <v>1135.28</v>
      </c>
    </row>
    <row r="1253" spans="1:26" hidden="1">
      <c r="A1253" t="s">
        <v>707</v>
      </c>
      <c r="B1253" s="6">
        <v>44287</v>
      </c>
      <c r="C1253" s="6">
        <v>44651</v>
      </c>
      <c r="D1253">
        <v>20210401</v>
      </c>
      <c r="E1253">
        <v>20220331</v>
      </c>
      <c r="F1253" t="s">
        <v>5134</v>
      </c>
      <c r="G1253" t="s">
        <v>5135</v>
      </c>
      <c r="H1253" t="s">
        <v>590</v>
      </c>
      <c r="I1253" t="s">
        <v>1462</v>
      </c>
      <c r="J1253">
        <v>14</v>
      </c>
      <c r="K1253">
        <v>80313.17</v>
      </c>
      <c r="X1253">
        <v>14</v>
      </c>
      <c r="Y1253">
        <v>80313.17</v>
      </c>
      <c r="Z1253" s="3">
        <f t="shared" si="19"/>
        <v>5736.6549999999997</v>
      </c>
    </row>
    <row r="1254" spans="1:26" hidden="1">
      <c r="A1254" t="s">
        <v>707</v>
      </c>
      <c r="B1254" s="6">
        <v>44287</v>
      </c>
      <c r="C1254" s="6">
        <v>44651</v>
      </c>
      <c r="D1254">
        <v>20210401</v>
      </c>
      <c r="E1254">
        <v>20220331</v>
      </c>
      <c r="F1254" t="s">
        <v>5138</v>
      </c>
      <c r="G1254" t="s">
        <v>5139</v>
      </c>
      <c r="H1254" t="s">
        <v>3319</v>
      </c>
      <c r="I1254" t="s">
        <v>1462</v>
      </c>
      <c r="K1254">
        <v>0.01</v>
      </c>
      <c r="Y1254">
        <v>0.01</v>
      </c>
      <c r="Z1254" s="3" t="e">
        <f t="shared" si="19"/>
        <v>#DIV/0!</v>
      </c>
    </row>
    <row r="1255" spans="1:26" hidden="1">
      <c r="A1255" t="s">
        <v>707</v>
      </c>
      <c r="B1255" s="6">
        <v>44287</v>
      </c>
      <c r="C1255" s="6">
        <v>44651</v>
      </c>
      <c r="D1255">
        <v>20210401</v>
      </c>
      <c r="E1255">
        <v>20220331</v>
      </c>
      <c r="F1255" t="s">
        <v>7326</v>
      </c>
      <c r="G1255" t="s">
        <v>7327</v>
      </c>
      <c r="H1255" t="s">
        <v>590</v>
      </c>
      <c r="I1255" t="s">
        <v>1462</v>
      </c>
      <c r="J1255">
        <v>46</v>
      </c>
      <c r="K1255">
        <v>194.94</v>
      </c>
      <c r="N1255">
        <v>-2</v>
      </c>
      <c r="O1255">
        <v>-8.48</v>
      </c>
      <c r="X1255">
        <v>44</v>
      </c>
      <c r="Y1255">
        <v>186.46</v>
      </c>
      <c r="Z1255" s="3">
        <f t="shared" si="19"/>
        <v>4.24</v>
      </c>
    </row>
    <row r="1256" spans="1:26" hidden="1">
      <c r="A1256" t="s">
        <v>707</v>
      </c>
      <c r="B1256" s="6">
        <v>44287</v>
      </c>
      <c r="C1256" s="6">
        <v>44651</v>
      </c>
      <c r="D1256">
        <v>20210401</v>
      </c>
      <c r="E1256">
        <v>20220331</v>
      </c>
      <c r="F1256" t="s">
        <v>7328</v>
      </c>
      <c r="G1256" t="s">
        <v>7329</v>
      </c>
      <c r="H1256" t="s">
        <v>590</v>
      </c>
      <c r="I1256" t="s">
        <v>1462</v>
      </c>
      <c r="L1256">
        <v>8</v>
      </c>
      <c r="M1256">
        <v>224</v>
      </c>
      <c r="N1256">
        <v>-8</v>
      </c>
      <c r="O1256">
        <v>-224</v>
      </c>
      <c r="Z1256" s="3">
        <f t="shared" si="19"/>
        <v>28</v>
      </c>
    </row>
    <row r="1257" spans="1:26" hidden="1">
      <c r="A1257" t="s">
        <v>707</v>
      </c>
      <c r="B1257" s="6">
        <v>44287</v>
      </c>
      <c r="C1257" s="6">
        <v>44651</v>
      </c>
      <c r="D1257">
        <v>20210401</v>
      </c>
      <c r="E1257">
        <v>20220331</v>
      </c>
      <c r="F1257" t="s">
        <v>7330</v>
      </c>
      <c r="G1257" t="s">
        <v>7331</v>
      </c>
      <c r="H1257" t="s">
        <v>590</v>
      </c>
      <c r="I1257" t="s">
        <v>1462</v>
      </c>
      <c r="L1257">
        <v>2</v>
      </c>
      <c r="M1257">
        <v>56</v>
      </c>
      <c r="N1257">
        <v>-2</v>
      </c>
      <c r="O1257">
        <v>-56</v>
      </c>
      <c r="Z1257" s="3">
        <f t="shared" si="19"/>
        <v>28</v>
      </c>
    </row>
    <row r="1258" spans="1:26" hidden="1">
      <c r="A1258" t="s">
        <v>707</v>
      </c>
      <c r="B1258" s="6">
        <v>44287</v>
      </c>
      <c r="C1258" s="6">
        <v>44651</v>
      </c>
      <c r="D1258">
        <v>20210401</v>
      </c>
      <c r="E1258">
        <v>20220331</v>
      </c>
      <c r="F1258" t="s">
        <v>7332</v>
      </c>
      <c r="G1258" t="s">
        <v>7333</v>
      </c>
      <c r="H1258" t="s">
        <v>590</v>
      </c>
      <c r="I1258" t="s">
        <v>1462</v>
      </c>
      <c r="L1258">
        <v>6</v>
      </c>
      <c r="M1258">
        <v>168</v>
      </c>
      <c r="N1258">
        <v>-1</v>
      </c>
      <c r="O1258">
        <v>-28</v>
      </c>
      <c r="X1258">
        <v>5</v>
      </c>
      <c r="Y1258">
        <v>140</v>
      </c>
      <c r="Z1258" s="3">
        <f t="shared" si="19"/>
        <v>28</v>
      </c>
    </row>
    <row r="1259" spans="1:26" hidden="1">
      <c r="A1259" t="s">
        <v>707</v>
      </c>
      <c r="B1259" s="6">
        <v>44287</v>
      </c>
      <c r="C1259" s="6">
        <v>44651</v>
      </c>
      <c r="D1259">
        <v>20210401</v>
      </c>
      <c r="E1259">
        <v>20220331</v>
      </c>
      <c r="F1259" t="s">
        <v>7334</v>
      </c>
      <c r="G1259" t="s">
        <v>7335</v>
      </c>
      <c r="H1259" t="s">
        <v>2073</v>
      </c>
      <c r="I1259" t="s">
        <v>1462</v>
      </c>
      <c r="L1259">
        <v>30.48</v>
      </c>
      <c r="M1259">
        <v>1075.03</v>
      </c>
      <c r="N1259">
        <v>-30.48</v>
      </c>
      <c r="O1259">
        <v>-1075.03</v>
      </c>
      <c r="Z1259" s="3">
        <f t="shared" si="19"/>
        <v>35.270013123359576</v>
      </c>
    </row>
    <row r="1260" spans="1:26" hidden="1">
      <c r="A1260" t="s">
        <v>707</v>
      </c>
      <c r="B1260" s="6">
        <v>44287</v>
      </c>
      <c r="C1260" s="6">
        <v>44651</v>
      </c>
      <c r="D1260">
        <v>20210401</v>
      </c>
      <c r="E1260">
        <v>20220331</v>
      </c>
      <c r="F1260" t="s">
        <v>5160</v>
      </c>
      <c r="G1260" t="s">
        <v>5161</v>
      </c>
      <c r="H1260" t="s">
        <v>590</v>
      </c>
      <c r="I1260" t="s">
        <v>1462</v>
      </c>
      <c r="L1260">
        <v>40</v>
      </c>
      <c r="M1260">
        <v>1360</v>
      </c>
      <c r="N1260">
        <v>-40</v>
      </c>
      <c r="O1260">
        <v>-1360</v>
      </c>
      <c r="Z1260" s="3">
        <f t="shared" si="19"/>
        <v>34</v>
      </c>
    </row>
    <row r="1261" spans="1:26" hidden="1">
      <c r="A1261" t="s">
        <v>707</v>
      </c>
      <c r="B1261" s="6">
        <v>44287</v>
      </c>
      <c r="C1261" s="6">
        <v>44651</v>
      </c>
      <c r="D1261">
        <v>20210401</v>
      </c>
      <c r="E1261">
        <v>20220331</v>
      </c>
      <c r="F1261" t="s">
        <v>5162</v>
      </c>
      <c r="G1261" t="s">
        <v>5163</v>
      </c>
      <c r="H1261" t="s">
        <v>590</v>
      </c>
      <c r="I1261" t="s">
        <v>805</v>
      </c>
      <c r="L1261">
        <v>4</v>
      </c>
      <c r="M1261">
        <v>280</v>
      </c>
      <c r="N1261">
        <v>-4</v>
      </c>
      <c r="O1261">
        <v>-280</v>
      </c>
      <c r="Z1261" s="3">
        <f t="shared" si="19"/>
        <v>70</v>
      </c>
    </row>
    <row r="1262" spans="1:26" hidden="1">
      <c r="A1262" t="s">
        <v>707</v>
      </c>
      <c r="B1262" s="6">
        <v>44287</v>
      </c>
      <c r="C1262" s="6">
        <v>44651</v>
      </c>
      <c r="D1262">
        <v>20210401</v>
      </c>
      <c r="E1262">
        <v>20220331</v>
      </c>
      <c r="F1262" t="s">
        <v>7336</v>
      </c>
      <c r="G1262" t="s">
        <v>7337</v>
      </c>
      <c r="H1262" t="s">
        <v>590</v>
      </c>
      <c r="I1262" t="s">
        <v>1462</v>
      </c>
      <c r="L1262">
        <v>1</v>
      </c>
      <c r="M1262">
        <v>250</v>
      </c>
      <c r="N1262">
        <v>-1</v>
      </c>
      <c r="O1262">
        <v>-250</v>
      </c>
      <c r="Z1262" s="3">
        <f t="shared" si="19"/>
        <v>250</v>
      </c>
    </row>
    <row r="1263" spans="1:26" hidden="1">
      <c r="A1263" t="s">
        <v>707</v>
      </c>
      <c r="B1263" s="6">
        <v>44287</v>
      </c>
      <c r="C1263" s="6">
        <v>44651</v>
      </c>
      <c r="D1263">
        <v>20210401</v>
      </c>
      <c r="E1263">
        <v>20220331</v>
      </c>
      <c r="F1263" t="s">
        <v>7338</v>
      </c>
      <c r="G1263" t="s">
        <v>7339</v>
      </c>
      <c r="I1263" t="s">
        <v>1462</v>
      </c>
      <c r="L1263">
        <v>1</v>
      </c>
      <c r="M1263">
        <v>120</v>
      </c>
      <c r="X1263">
        <v>1</v>
      </c>
      <c r="Y1263">
        <v>120</v>
      </c>
      <c r="Z1263" s="3">
        <f t="shared" si="19"/>
        <v>120</v>
      </c>
    </row>
    <row r="1264" spans="1:26" hidden="1">
      <c r="A1264" t="s">
        <v>707</v>
      </c>
      <c r="B1264" s="6">
        <v>44287</v>
      </c>
      <c r="C1264" s="6">
        <v>44651</v>
      </c>
      <c r="D1264">
        <v>20210401</v>
      </c>
      <c r="E1264">
        <v>20220331</v>
      </c>
      <c r="F1264" t="s">
        <v>7340</v>
      </c>
      <c r="G1264" t="s">
        <v>7341</v>
      </c>
      <c r="H1264" t="s">
        <v>590</v>
      </c>
      <c r="I1264" t="s">
        <v>1462</v>
      </c>
      <c r="L1264">
        <v>4</v>
      </c>
      <c r="M1264">
        <v>106</v>
      </c>
      <c r="N1264">
        <v>-4</v>
      </c>
      <c r="O1264">
        <v>-106</v>
      </c>
      <c r="Z1264" s="3">
        <f t="shared" si="19"/>
        <v>26.5</v>
      </c>
    </row>
    <row r="1265" spans="1:26" hidden="1">
      <c r="A1265" t="s">
        <v>707</v>
      </c>
      <c r="B1265" s="6">
        <v>44287</v>
      </c>
      <c r="C1265" s="6">
        <v>44651</v>
      </c>
      <c r="D1265">
        <v>20210401</v>
      </c>
      <c r="E1265">
        <v>20220331</v>
      </c>
      <c r="F1265" t="s">
        <v>7342</v>
      </c>
      <c r="G1265" t="s">
        <v>7343</v>
      </c>
      <c r="H1265" t="s">
        <v>590</v>
      </c>
      <c r="I1265" t="s">
        <v>1462</v>
      </c>
      <c r="L1265">
        <v>2</v>
      </c>
      <c r="M1265">
        <v>440</v>
      </c>
      <c r="N1265">
        <v>-2</v>
      </c>
      <c r="O1265">
        <v>-440</v>
      </c>
      <c r="Z1265" s="3">
        <f t="shared" si="19"/>
        <v>220</v>
      </c>
    </row>
    <row r="1266" spans="1:26" hidden="1">
      <c r="A1266" t="s">
        <v>707</v>
      </c>
      <c r="B1266" s="6">
        <v>44287</v>
      </c>
      <c r="C1266" s="6">
        <v>44651</v>
      </c>
      <c r="D1266">
        <v>20210401</v>
      </c>
      <c r="E1266">
        <v>20220331</v>
      </c>
      <c r="F1266" t="s">
        <v>7344</v>
      </c>
      <c r="G1266" t="s">
        <v>7345</v>
      </c>
      <c r="H1266" t="s">
        <v>590</v>
      </c>
      <c r="I1266" t="s">
        <v>1462</v>
      </c>
      <c r="L1266">
        <v>21</v>
      </c>
      <c r="M1266">
        <v>840</v>
      </c>
      <c r="N1266">
        <v>-8</v>
      </c>
      <c r="O1266">
        <v>-320</v>
      </c>
      <c r="X1266">
        <v>13</v>
      </c>
      <c r="Y1266">
        <v>520</v>
      </c>
      <c r="Z1266" s="3">
        <f t="shared" si="19"/>
        <v>40</v>
      </c>
    </row>
    <row r="1267" spans="1:26" hidden="1">
      <c r="A1267" t="s">
        <v>707</v>
      </c>
      <c r="B1267" s="6">
        <v>44287</v>
      </c>
      <c r="C1267" s="6">
        <v>44651</v>
      </c>
      <c r="D1267">
        <v>20210401</v>
      </c>
      <c r="E1267">
        <v>20220331</v>
      </c>
      <c r="F1267" t="s">
        <v>7346</v>
      </c>
      <c r="G1267" t="s">
        <v>7347</v>
      </c>
      <c r="H1267" t="s">
        <v>590</v>
      </c>
      <c r="I1267" t="s">
        <v>1462</v>
      </c>
      <c r="L1267">
        <v>1</v>
      </c>
      <c r="M1267">
        <v>167</v>
      </c>
      <c r="X1267">
        <v>1</v>
      </c>
      <c r="Y1267">
        <v>167</v>
      </c>
      <c r="Z1267" s="3">
        <f t="shared" si="19"/>
        <v>167</v>
      </c>
    </row>
    <row r="1268" spans="1:26" hidden="1">
      <c r="A1268" t="s">
        <v>707</v>
      </c>
      <c r="B1268" s="6">
        <v>44287</v>
      </c>
      <c r="C1268" s="6">
        <v>44651</v>
      </c>
      <c r="D1268">
        <v>20210401</v>
      </c>
      <c r="E1268">
        <v>20220331</v>
      </c>
      <c r="F1268" t="s">
        <v>7348</v>
      </c>
      <c r="G1268" t="s">
        <v>7349</v>
      </c>
      <c r="H1268" t="s">
        <v>590</v>
      </c>
      <c r="I1268" t="s">
        <v>1462</v>
      </c>
      <c r="L1268">
        <v>1</v>
      </c>
      <c r="M1268">
        <v>300</v>
      </c>
      <c r="N1268">
        <v>-1</v>
      </c>
      <c r="O1268">
        <v>-300</v>
      </c>
      <c r="Z1268" s="3">
        <f t="shared" si="19"/>
        <v>300</v>
      </c>
    </row>
    <row r="1269" spans="1:26" hidden="1">
      <c r="A1269" t="s">
        <v>707</v>
      </c>
      <c r="B1269" s="6">
        <v>44287</v>
      </c>
      <c r="C1269" s="6">
        <v>44651</v>
      </c>
      <c r="D1269">
        <v>20210401</v>
      </c>
      <c r="E1269">
        <v>20220331</v>
      </c>
      <c r="F1269" t="s">
        <v>5170</v>
      </c>
      <c r="G1269" t="s">
        <v>5171</v>
      </c>
      <c r="H1269" t="s">
        <v>590</v>
      </c>
      <c r="I1269" t="s">
        <v>1462</v>
      </c>
      <c r="L1269">
        <v>6</v>
      </c>
      <c r="M1269">
        <v>330</v>
      </c>
      <c r="N1269">
        <v>-6</v>
      </c>
      <c r="O1269">
        <v>-330</v>
      </c>
      <c r="Z1269" s="3">
        <f t="shared" si="19"/>
        <v>55</v>
      </c>
    </row>
    <row r="1270" spans="1:26" hidden="1">
      <c r="A1270" t="s">
        <v>707</v>
      </c>
      <c r="B1270" s="6">
        <v>44287</v>
      </c>
      <c r="C1270" s="6">
        <v>44651</v>
      </c>
      <c r="D1270">
        <v>20210401</v>
      </c>
      <c r="E1270">
        <v>20220331</v>
      </c>
      <c r="F1270" t="s">
        <v>5172</v>
      </c>
      <c r="G1270" t="s">
        <v>5173</v>
      </c>
      <c r="H1270" t="s">
        <v>3319</v>
      </c>
      <c r="I1270" t="s">
        <v>1462</v>
      </c>
      <c r="L1270">
        <v>40</v>
      </c>
      <c r="M1270">
        <v>2240</v>
      </c>
      <c r="N1270">
        <v>-40</v>
      </c>
      <c r="O1270">
        <v>-2240</v>
      </c>
      <c r="Z1270" s="3">
        <f t="shared" si="19"/>
        <v>56</v>
      </c>
    </row>
    <row r="1271" spans="1:26" hidden="1">
      <c r="A1271" t="s">
        <v>707</v>
      </c>
      <c r="B1271" s="6">
        <v>44287</v>
      </c>
      <c r="C1271" s="6">
        <v>44651</v>
      </c>
      <c r="D1271">
        <v>20210401</v>
      </c>
      <c r="E1271">
        <v>20220331</v>
      </c>
      <c r="F1271" t="s">
        <v>7350</v>
      </c>
      <c r="G1271" t="s">
        <v>7351</v>
      </c>
      <c r="H1271" t="s">
        <v>590</v>
      </c>
      <c r="I1271" t="s">
        <v>1462</v>
      </c>
      <c r="J1271">
        <v>1</v>
      </c>
      <c r="K1271">
        <v>29061.5</v>
      </c>
      <c r="N1271">
        <v>-1</v>
      </c>
      <c r="O1271">
        <v>-29061.5</v>
      </c>
      <c r="Z1271" s="3">
        <f t="shared" si="19"/>
        <v>29061.5</v>
      </c>
    </row>
    <row r="1272" spans="1:26" hidden="1">
      <c r="A1272" t="s">
        <v>707</v>
      </c>
      <c r="B1272" s="6">
        <v>44287</v>
      </c>
      <c r="C1272" s="6">
        <v>44651</v>
      </c>
      <c r="D1272">
        <v>20210401</v>
      </c>
      <c r="E1272">
        <v>20220331</v>
      </c>
      <c r="F1272" t="s">
        <v>7352</v>
      </c>
      <c r="G1272" t="s">
        <v>7353</v>
      </c>
      <c r="H1272" t="s">
        <v>2073</v>
      </c>
      <c r="I1272" t="s">
        <v>1462</v>
      </c>
      <c r="L1272">
        <v>25</v>
      </c>
      <c r="M1272">
        <v>1075</v>
      </c>
      <c r="N1272">
        <v>-25</v>
      </c>
      <c r="O1272">
        <v>-1075</v>
      </c>
      <c r="Z1272" s="3">
        <f t="shared" si="19"/>
        <v>43</v>
      </c>
    </row>
    <row r="1273" spans="1:26" hidden="1">
      <c r="A1273" t="s">
        <v>707</v>
      </c>
      <c r="B1273" s="6">
        <v>44287</v>
      </c>
      <c r="C1273" s="6">
        <v>44651</v>
      </c>
      <c r="D1273">
        <v>20210401</v>
      </c>
      <c r="E1273">
        <v>20220331</v>
      </c>
      <c r="F1273" t="s">
        <v>5204</v>
      </c>
      <c r="G1273" t="s">
        <v>5205</v>
      </c>
      <c r="H1273" t="s">
        <v>590</v>
      </c>
      <c r="I1273" t="s">
        <v>1462</v>
      </c>
      <c r="L1273">
        <v>1</v>
      </c>
      <c r="M1273">
        <v>400</v>
      </c>
      <c r="N1273">
        <v>-1</v>
      </c>
      <c r="O1273">
        <v>-400</v>
      </c>
      <c r="Z1273" s="3">
        <f t="shared" si="19"/>
        <v>400</v>
      </c>
    </row>
    <row r="1274" spans="1:26" hidden="1">
      <c r="A1274" t="s">
        <v>707</v>
      </c>
      <c r="B1274" s="6">
        <v>44287</v>
      </c>
      <c r="C1274" s="6">
        <v>44651</v>
      </c>
      <c r="D1274">
        <v>20210401</v>
      </c>
      <c r="E1274">
        <v>20220331</v>
      </c>
      <c r="F1274" t="s">
        <v>7354</v>
      </c>
      <c r="G1274" t="s">
        <v>7355</v>
      </c>
      <c r="H1274" t="s">
        <v>590</v>
      </c>
      <c r="I1274" t="s">
        <v>1462</v>
      </c>
      <c r="L1274">
        <v>2</v>
      </c>
      <c r="M1274">
        <v>2040</v>
      </c>
      <c r="X1274">
        <v>2</v>
      </c>
      <c r="Y1274">
        <v>2040</v>
      </c>
      <c r="Z1274" s="3">
        <f t="shared" si="19"/>
        <v>1020</v>
      </c>
    </row>
    <row r="1275" spans="1:26" hidden="1">
      <c r="A1275" t="s">
        <v>707</v>
      </c>
      <c r="B1275" s="6">
        <v>44287</v>
      </c>
      <c r="C1275" s="6">
        <v>44651</v>
      </c>
      <c r="D1275">
        <v>20210401</v>
      </c>
      <c r="E1275">
        <v>20220331</v>
      </c>
      <c r="F1275" t="s">
        <v>7356</v>
      </c>
      <c r="G1275" t="s">
        <v>7357</v>
      </c>
      <c r="H1275" t="s">
        <v>590</v>
      </c>
      <c r="I1275" t="s">
        <v>1462</v>
      </c>
      <c r="J1275">
        <v>38</v>
      </c>
      <c r="K1275">
        <v>10815.56</v>
      </c>
      <c r="X1275">
        <v>38</v>
      </c>
      <c r="Y1275">
        <v>10815.56</v>
      </c>
      <c r="Z1275" s="3">
        <f t="shared" si="19"/>
        <v>284.62</v>
      </c>
    </row>
    <row r="1276" spans="1:26" hidden="1">
      <c r="A1276" t="s">
        <v>707</v>
      </c>
      <c r="B1276" s="6">
        <v>44287</v>
      </c>
      <c r="C1276" s="6">
        <v>44651</v>
      </c>
      <c r="D1276">
        <v>20210401</v>
      </c>
      <c r="E1276">
        <v>20220331</v>
      </c>
      <c r="F1276" t="s">
        <v>7358</v>
      </c>
      <c r="G1276" t="s">
        <v>7359</v>
      </c>
      <c r="H1276" t="s">
        <v>590</v>
      </c>
      <c r="I1276" t="s">
        <v>1462</v>
      </c>
      <c r="J1276">
        <v>46</v>
      </c>
      <c r="K1276">
        <v>13092.52</v>
      </c>
      <c r="X1276">
        <v>46</v>
      </c>
      <c r="Y1276">
        <v>13092.52</v>
      </c>
      <c r="Z1276" s="3">
        <f t="shared" si="19"/>
        <v>284.62</v>
      </c>
    </row>
    <row r="1277" spans="1:26" hidden="1">
      <c r="A1277" t="s">
        <v>707</v>
      </c>
      <c r="B1277" s="6">
        <v>44287</v>
      </c>
      <c r="C1277" s="6">
        <v>44651</v>
      </c>
      <c r="D1277">
        <v>20210401</v>
      </c>
      <c r="E1277">
        <v>20220331</v>
      </c>
      <c r="F1277" t="s">
        <v>5218</v>
      </c>
      <c r="G1277" t="s">
        <v>5219</v>
      </c>
      <c r="H1277" t="s">
        <v>590</v>
      </c>
      <c r="I1277" t="s">
        <v>1462</v>
      </c>
      <c r="J1277">
        <v>15</v>
      </c>
      <c r="K1277">
        <v>1350.16</v>
      </c>
      <c r="N1277">
        <v>-9</v>
      </c>
      <c r="O1277">
        <v>-810.06</v>
      </c>
      <c r="X1277">
        <v>6</v>
      </c>
      <c r="Y1277">
        <v>540.1</v>
      </c>
      <c r="Z1277" s="3">
        <f t="shared" si="19"/>
        <v>90.006666666666661</v>
      </c>
    </row>
    <row r="1278" spans="1:26" hidden="1">
      <c r="A1278" t="s">
        <v>707</v>
      </c>
      <c r="B1278" s="6">
        <v>44287</v>
      </c>
      <c r="C1278" s="6">
        <v>44651</v>
      </c>
      <c r="D1278">
        <v>20210401</v>
      </c>
      <c r="E1278">
        <v>20220331</v>
      </c>
      <c r="F1278" t="s">
        <v>7360</v>
      </c>
      <c r="G1278" t="s">
        <v>7361</v>
      </c>
      <c r="H1278" t="s">
        <v>590</v>
      </c>
      <c r="I1278" t="s">
        <v>1462</v>
      </c>
      <c r="J1278">
        <v>2</v>
      </c>
      <c r="K1278">
        <v>4666</v>
      </c>
      <c r="N1278">
        <v>-2</v>
      </c>
      <c r="O1278">
        <v>-4666</v>
      </c>
      <c r="Z1278" s="3">
        <f t="shared" si="19"/>
        <v>2333</v>
      </c>
    </row>
    <row r="1279" spans="1:26" hidden="1">
      <c r="A1279" t="s">
        <v>707</v>
      </c>
      <c r="B1279" s="6">
        <v>44287</v>
      </c>
      <c r="C1279" s="6">
        <v>44651</v>
      </c>
      <c r="D1279">
        <v>20210401</v>
      </c>
      <c r="E1279">
        <v>20220331</v>
      </c>
      <c r="F1279" t="s">
        <v>7362</v>
      </c>
      <c r="G1279" t="s">
        <v>7363</v>
      </c>
      <c r="H1279" t="s">
        <v>590</v>
      </c>
      <c r="I1279" t="s">
        <v>1462</v>
      </c>
      <c r="J1279">
        <v>5</v>
      </c>
      <c r="K1279">
        <v>7087.12</v>
      </c>
      <c r="N1279">
        <v>-1</v>
      </c>
      <c r="O1279">
        <v>-1423.13</v>
      </c>
      <c r="X1279">
        <v>4</v>
      </c>
      <c r="Y1279">
        <v>5663.99</v>
      </c>
      <c r="Z1279" s="3">
        <f t="shared" si="19"/>
        <v>1423.13</v>
      </c>
    </row>
    <row r="1280" spans="1:26" hidden="1">
      <c r="A1280" t="s">
        <v>707</v>
      </c>
      <c r="B1280" s="6">
        <v>44287</v>
      </c>
      <c r="C1280" s="6">
        <v>44651</v>
      </c>
      <c r="D1280">
        <v>20210401</v>
      </c>
      <c r="E1280">
        <v>20220331</v>
      </c>
      <c r="F1280" t="s">
        <v>7364</v>
      </c>
      <c r="G1280" t="s">
        <v>7365</v>
      </c>
      <c r="H1280" t="s">
        <v>590</v>
      </c>
      <c r="I1280" t="s">
        <v>1462</v>
      </c>
      <c r="J1280">
        <v>1</v>
      </c>
      <c r="K1280">
        <v>53001.79</v>
      </c>
      <c r="L1280">
        <v>4</v>
      </c>
      <c r="M1280">
        <v>196070.49</v>
      </c>
      <c r="N1280">
        <v>-4</v>
      </c>
      <c r="O1280">
        <v>-191255.72</v>
      </c>
      <c r="X1280">
        <v>1</v>
      </c>
      <c r="Y1280">
        <v>57816.56</v>
      </c>
      <c r="Z1280" s="3">
        <f t="shared" si="19"/>
        <v>47813.93</v>
      </c>
    </row>
    <row r="1281" spans="1:26" hidden="1">
      <c r="A1281" t="s">
        <v>707</v>
      </c>
      <c r="B1281" s="6">
        <v>44287</v>
      </c>
      <c r="C1281" s="6">
        <v>44651</v>
      </c>
      <c r="D1281">
        <v>20210401</v>
      </c>
      <c r="E1281">
        <v>20220331</v>
      </c>
      <c r="F1281" t="s">
        <v>7366</v>
      </c>
      <c r="G1281" t="s">
        <v>7367</v>
      </c>
      <c r="H1281" t="s">
        <v>590</v>
      </c>
      <c r="I1281" t="s">
        <v>1462</v>
      </c>
      <c r="L1281">
        <v>24</v>
      </c>
      <c r="M1281">
        <v>11520</v>
      </c>
      <c r="N1281">
        <v>-5</v>
      </c>
      <c r="O1281">
        <v>-2266.73</v>
      </c>
      <c r="P1281">
        <v>6</v>
      </c>
      <c r="Q1281">
        <v>2080.38</v>
      </c>
      <c r="X1281">
        <v>25</v>
      </c>
      <c r="Y1281">
        <v>11333.65</v>
      </c>
      <c r="Z1281" s="3">
        <f t="shared" si="19"/>
        <v>-186.34999999999991</v>
      </c>
    </row>
    <row r="1282" spans="1:26" hidden="1">
      <c r="A1282" t="s">
        <v>707</v>
      </c>
      <c r="B1282" s="6">
        <v>44287</v>
      </c>
      <c r="C1282" s="6">
        <v>44651</v>
      </c>
      <c r="D1282">
        <v>20210401</v>
      </c>
      <c r="E1282">
        <v>20220331</v>
      </c>
      <c r="F1282" t="s">
        <v>7368</v>
      </c>
      <c r="G1282" t="s">
        <v>7369</v>
      </c>
      <c r="H1282" t="s">
        <v>590</v>
      </c>
      <c r="I1282" t="s">
        <v>805</v>
      </c>
      <c r="J1282">
        <v>10</v>
      </c>
      <c r="K1282">
        <v>5500</v>
      </c>
      <c r="X1282">
        <v>10</v>
      </c>
      <c r="Y1282">
        <v>5500</v>
      </c>
      <c r="Z1282" s="3">
        <f t="shared" si="19"/>
        <v>550</v>
      </c>
    </row>
    <row r="1283" spans="1:26" hidden="1">
      <c r="A1283" t="s">
        <v>707</v>
      </c>
      <c r="B1283" s="6">
        <v>44287</v>
      </c>
      <c r="C1283" s="6">
        <v>44651</v>
      </c>
      <c r="D1283">
        <v>20210401</v>
      </c>
      <c r="E1283">
        <v>20220331</v>
      </c>
      <c r="F1283" t="s">
        <v>7370</v>
      </c>
      <c r="G1283" t="s">
        <v>7371</v>
      </c>
      <c r="H1283" t="s">
        <v>590</v>
      </c>
      <c r="I1283" t="s">
        <v>1462</v>
      </c>
      <c r="J1283">
        <v>3</v>
      </c>
      <c r="K1283">
        <v>8733</v>
      </c>
      <c r="X1283">
        <v>3</v>
      </c>
      <c r="Y1283">
        <v>8733</v>
      </c>
      <c r="Z1283" s="3">
        <f t="shared" ref="Z1283:Z1346" si="20">IFERROR((O1283+Q1283)/(N1283+P1283),Y1283/X1283)</f>
        <v>2911</v>
      </c>
    </row>
    <row r="1284" spans="1:26" hidden="1">
      <c r="A1284" t="s">
        <v>707</v>
      </c>
      <c r="B1284" s="6">
        <v>44287</v>
      </c>
      <c r="C1284" s="6">
        <v>44651</v>
      </c>
      <c r="D1284">
        <v>20210401</v>
      </c>
      <c r="E1284">
        <v>20220331</v>
      </c>
      <c r="F1284" t="s">
        <v>7372</v>
      </c>
      <c r="G1284" t="s">
        <v>7373</v>
      </c>
      <c r="H1284" t="s">
        <v>590</v>
      </c>
      <c r="I1284" t="s">
        <v>1462</v>
      </c>
      <c r="J1284">
        <v>1</v>
      </c>
      <c r="K1284">
        <v>14220</v>
      </c>
      <c r="X1284">
        <v>1</v>
      </c>
      <c r="Y1284">
        <v>14220</v>
      </c>
      <c r="Z1284" s="3">
        <f t="shared" si="20"/>
        <v>14220</v>
      </c>
    </row>
    <row r="1285" spans="1:26" hidden="1">
      <c r="A1285" t="s">
        <v>707</v>
      </c>
      <c r="B1285" s="6">
        <v>44287</v>
      </c>
      <c r="C1285" s="6">
        <v>44651</v>
      </c>
      <c r="D1285">
        <v>20210401</v>
      </c>
      <c r="E1285">
        <v>20220331</v>
      </c>
      <c r="F1285" t="s">
        <v>5226</v>
      </c>
      <c r="G1285" t="s">
        <v>5227</v>
      </c>
      <c r="H1285" t="s">
        <v>590</v>
      </c>
      <c r="I1285" t="s">
        <v>1462</v>
      </c>
      <c r="J1285">
        <v>1</v>
      </c>
      <c r="K1285">
        <v>28113.75</v>
      </c>
      <c r="L1285">
        <v>1</v>
      </c>
      <c r="M1285">
        <v>46500</v>
      </c>
      <c r="N1285">
        <v>-1</v>
      </c>
      <c r="O1285">
        <v>-37306.879999999997</v>
      </c>
      <c r="X1285">
        <v>1</v>
      </c>
      <c r="Y1285">
        <v>37306.870000000003</v>
      </c>
      <c r="Z1285" s="3">
        <f t="shared" si="20"/>
        <v>37306.879999999997</v>
      </c>
    </row>
    <row r="1286" spans="1:26" hidden="1">
      <c r="A1286" t="s">
        <v>707</v>
      </c>
      <c r="B1286" s="6">
        <v>44287</v>
      </c>
      <c r="C1286" s="6">
        <v>44651</v>
      </c>
      <c r="D1286">
        <v>20210401</v>
      </c>
      <c r="E1286">
        <v>20220331</v>
      </c>
      <c r="F1286" t="s">
        <v>7374</v>
      </c>
      <c r="G1286" t="s">
        <v>7375</v>
      </c>
      <c r="H1286" t="s">
        <v>590</v>
      </c>
      <c r="I1286" t="s">
        <v>1462</v>
      </c>
      <c r="L1286">
        <v>1</v>
      </c>
      <c r="M1286">
        <v>42500</v>
      </c>
      <c r="N1286">
        <v>-1</v>
      </c>
      <c r="O1286">
        <v>-42500</v>
      </c>
      <c r="Z1286" s="3">
        <f t="shared" si="20"/>
        <v>42500</v>
      </c>
    </row>
    <row r="1287" spans="1:26" hidden="1">
      <c r="A1287" t="s">
        <v>707</v>
      </c>
      <c r="B1287" s="6">
        <v>44287</v>
      </c>
      <c r="C1287" s="6">
        <v>44651</v>
      </c>
      <c r="D1287">
        <v>20210401</v>
      </c>
      <c r="E1287">
        <v>20220331</v>
      </c>
      <c r="F1287" t="s">
        <v>7376</v>
      </c>
      <c r="G1287" t="s">
        <v>7377</v>
      </c>
      <c r="H1287" t="s">
        <v>590</v>
      </c>
      <c r="I1287" t="s">
        <v>1462</v>
      </c>
      <c r="J1287">
        <v>2</v>
      </c>
      <c r="K1287">
        <v>21000</v>
      </c>
      <c r="N1287">
        <v>-2</v>
      </c>
      <c r="O1287">
        <v>-21000</v>
      </c>
      <c r="Z1287" s="3">
        <f t="shared" si="20"/>
        <v>10500</v>
      </c>
    </row>
    <row r="1288" spans="1:26" hidden="1">
      <c r="A1288" t="s">
        <v>707</v>
      </c>
      <c r="B1288" s="6">
        <v>44287</v>
      </c>
      <c r="C1288" s="6">
        <v>44651</v>
      </c>
      <c r="D1288">
        <v>20210401</v>
      </c>
      <c r="E1288">
        <v>20220331</v>
      </c>
      <c r="F1288" t="s">
        <v>5257</v>
      </c>
      <c r="G1288" t="s">
        <v>5258</v>
      </c>
      <c r="H1288" t="s">
        <v>590</v>
      </c>
      <c r="I1288" t="s">
        <v>774</v>
      </c>
      <c r="L1288">
        <v>1</v>
      </c>
      <c r="M1288">
        <v>1</v>
      </c>
      <c r="N1288">
        <v>-1</v>
      </c>
      <c r="O1288">
        <v>-1</v>
      </c>
      <c r="P1288">
        <v>1</v>
      </c>
      <c r="Q1288">
        <v>1</v>
      </c>
      <c r="R1288">
        <v>-1</v>
      </c>
      <c r="S1288">
        <v>-1</v>
      </c>
      <c r="Z1288" s="3" t="e">
        <f t="shared" si="20"/>
        <v>#DIV/0!</v>
      </c>
    </row>
    <row r="1289" spans="1:26" hidden="1">
      <c r="A1289" t="s">
        <v>707</v>
      </c>
      <c r="B1289" s="6">
        <v>44287</v>
      </c>
      <c r="C1289" s="6">
        <v>44651</v>
      </c>
      <c r="D1289">
        <v>20210401</v>
      </c>
      <c r="E1289">
        <v>20220331</v>
      </c>
      <c r="F1289" t="s">
        <v>7378</v>
      </c>
      <c r="G1289" t="s">
        <v>7379</v>
      </c>
      <c r="H1289" t="s">
        <v>590</v>
      </c>
      <c r="I1289" t="s">
        <v>1462</v>
      </c>
      <c r="J1289">
        <v>1</v>
      </c>
      <c r="K1289">
        <v>4813.6499999999996</v>
      </c>
      <c r="N1289">
        <v>-1</v>
      </c>
      <c r="O1289">
        <v>-4813.6499999999996</v>
      </c>
      <c r="Z1289" s="3">
        <f t="shared" si="20"/>
        <v>4813.6499999999996</v>
      </c>
    </row>
    <row r="1290" spans="1:26" hidden="1">
      <c r="A1290" t="s">
        <v>707</v>
      </c>
      <c r="B1290" s="6">
        <v>44287</v>
      </c>
      <c r="C1290" s="6">
        <v>44651</v>
      </c>
      <c r="D1290">
        <v>20210401</v>
      </c>
      <c r="E1290">
        <v>20220331</v>
      </c>
      <c r="F1290" t="s">
        <v>5394</v>
      </c>
      <c r="G1290" t="s">
        <v>5395</v>
      </c>
      <c r="H1290" t="s">
        <v>590</v>
      </c>
      <c r="I1290" t="s">
        <v>805</v>
      </c>
      <c r="L1290">
        <v>3</v>
      </c>
      <c r="M1290">
        <v>435</v>
      </c>
      <c r="X1290">
        <v>3</v>
      </c>
      <c r="Y1290">
        <v>435</v>
      </c>
      <c r="Z1290" s="3">
        <f t="shared" si="20"/>
        <v>145</v>
      </c>
    </row>
    <row r="1291" spans="1:26" hidden="1">
      <c r="A1291" t="s">
        <v>707</v>
      </c>
      <c r="B1291" s="6">
        <v>44287</v>
      </c>
      <c r="C1291" s="6">
        <v>44651</v>
      </c>
      <c r="D1291">
        <v>20210401</v>
      </c>
      <c r="E1291">
        <v>20220331</v>
      </c>
      <c r="F1291" t="s">
        <v>7380</v>
      </c>
      <c r="G1291" t="s">
        <v>7381</v>
      </c>
      <c r="H1291" t="s">
        <v>590</v>
      </c>
      <c r="I1291" t="s">
        <v>805</v>
      </c>
      <c r="L1291">
        <v>4</v>
      </c>
      <c r="M1291">
        <v>108</v>
      </c>
      <c r="N1291">
        <v>-1</v>
      </c>
      <c r="O1291">
        <v>-27</v>
      </c>
      <c r="X1291">
        <v>3</v>
      </c>
      <c r="Y1291">
        <v>81</v>
      </c>
      <c r="Z1291" s="3">
        <f t="shared" si="20"/>
        <v>27</v>
      </c>
    </row>
    <row r="1292" spans="1:26" hidden="1">
      <c r="A1292" t="s">
        <v>707</v>
      </c>
      <c r="B1292" s="6">
        <v>44287</v>
      </c>
      <c r="C1292" s="6">
        <v>44651</v>
      </c>
      <c r="D1292">
        <v>20210401</v>
      </c>
      <c r="E1292">
        <v>20220331</v>
      </c>
      <c r="F1292" t="s">
        <v>5406</v>
      </c>
      <c r="G1292" t="s">
        <v>5407</v>
      </c>
      <c r="H1292" t="s">
        <v>590</v>
      </c>
      <c r="I1292" t="s">
        <v>805</v>
      </c>
      <c r="L1292">
        <v>4</v>
      </c>
      <c r="M1292">
        <v>100</v>
      </c>
      <c r="N1292">
        <v>-1</v>
      </c>
      <c r="O1292">
        <v>-25</v>
      </c>
      <c r="X1292">
        <v>3</v>
      </c>
      <c r="Y1292">
        <v>75</v>
      </c>
      <c r="Z1292" s="3">
        <f t="shared" si="20"/>
        <v>25</v>
      </c>
    </row>
    <row r="1293" spans="1:26" hidden="1">
      <c r="A1293" t="s">
        <v>707</v>
      </c>
      <c r="B1293" s="6">
        <v>44287</v>
      </c>
      <c r="C1293" s="6">
        <v>44651</v>
      </c>
      <c r="D1293">
        <v>20210401</v>
      </c>
      <c r="E1293">
        <v>20220331</v>
      </c>
      <c r="F1293" t="s">
        <v>7382</v>
      </c>
      <c r="G1293" t="s">
        <v>7383</v>
      </c>
      <c r="H1293" t="s">
        <v>590</v>
      </c>
      <c r="I1293" t="s">
        <v>805</v>
      </c>
      <c r="L1293">
        <v>3</v>
      </c>
      <c r="M1293">
        <v>240</v>
      </c>
      <c r="N1293">
        <v>-1</v>
      </c>
      <c r="O1293">
        <v>-80</v>
      </c>
      <c r="X1293">
        <v>2</v>
      </c>
      <c r="Y1293">
        <v>160</v>
      </c>
      <c r="Z1293" s="3">
        <f t="shared" si="20"/>
        <v>80</v>
      </c>
    </row>
    <row r="1294" spans="1:26" hidden="1">
      <c r="A1294" t="s">
        <v>707</v>
      </c>
      <c r="B1294" s="6">
        <v>44287</v>
      </c>
      <c r="C1294" s="6">
        <v>44651</v>
      </c>
      <c r="D1294">
        <v>20210401</v>
      </c>
      <c r="E1294">
        <v>20220331</v>
      </c>
      <c r="F1294" t="s">
        <v>5410</v>
      </c>
      <c r="G1294" t="s">
        <v>5411</v>
      </c>
      <c r="H1294" t="s">
        <v>590</v>
      </c>
      <c r="I1294" t="s">
        <v>805</v>
      </c>
      <c r="L1294">
        <v>4</v>
      </c>
      <c r="M1294">
        <v>236</v>
      </c>
      <c r="N1294">
        <v>-4</v>
      </c>
      <c r="O1294">
        <v>-236</v>
      </c>
      <c r="Z1294" s="3">
        <f t="shared" si="20"/>
        <v>59</v>
      </c>
    </row>
    <row r="1295" spans="1:26" hidden="1">
      <c r="A1295" t="s">
        <v>707</v>
      </c>
      <c r="B1295" s="6">
        <v>44287</v>
      </c>
      <c r="C1295" s="6">
        <v>44651</v>
      </c>
      <c r="D1295">
        <v>20210401</v>
      </c>
      <c r="E1295">
        <v>20220331</v>
      </c>
      <c r="F1295" t="s">
        <v>7384</v>
      </c>
      <c r="G1295" t="s">
        <v>7385</v>
      </c>
      <c r="H1295" t="s">
        <v>590</v>
      </c>
      <c r="I1295" t="s">
        <v>805</v>
      </c>
      <c r="J1295">
        <v>2</v>
      </c>
      <c r="K1295">
        <v>118</v>
      </c>
      <c r="N1295">
        <v>-2</v>
      </c>
      <c r="O1295">
        <v>-118</v>
      </c>
      <c r="Z1295" s="3">
        <f t="shared" si="20"/>
        <v>59</v>
      </c>
    </row>
    <row r="1296" spans="1:26" hidden="1">
      <c r="A1296" t="s">
        <v>707</v>
      </c>
      <c r="B1296" s="6">
        <v>44287</v>
      </c>
      <c r="C1296" s="6">
        <v>44651</v>
      </c>
      <c r="D1296">
        <v>20210401</v>
      </c>
      <c r="E1296">
        <v>20220331</v>
      </c>
      <c r="F1296" t="s">
        <v>7386</v>
      </c>
      <c r="G1296" t="s">
        <v>7387</v>
      </c>
      <c r="H1296" t="s">
        <v>590</v>
      </c>
      <c r="I1296" t="s">
        <v>805</v>
      </c>
      <c r="J1296">
        <v>2</v>
      </c>
      <c r="K1296">
        <v>84</v>
      </c>
      <c r="X1296">
        <v>2</v>
      </c>
      <c r="Y1296">
        <v>84</v>
      </c>
      <c r="Z1296" s="3">
        <f t="shared" si="20"/>
        <v>42</v>
      </c>
    </row>
    <row r="1297" spans="1:26" hidden="1">
      <c r="A1297" t="s">
        <v>707</v>
      </c>
      <c r="B1297" s="6">
        <v>44287</v>
      </c>
      <c r="C1297" s="6">
        <v>44651</v>
      </c>
      <c r="D1297">
        <v>20210401</v>
      </c>
      <c r="E1297">
        <v>20220331</v>
      </c>
      <c r="F1297" t="s">
        <v>7388</v>
      </c>
      <c r="G1297" t="s">
        <v>7389</v>
      </c>
      <c r="H1297" t="s">
        <v>590</v>
      </c>
      <c r="I1297" t="s">
        <v>805</v>
      </c>
      <c r="J1297">
        <v>3</v>
      </c>
      <c r="K1297">
        <v>147</v>
      </c>
      <c r="N1297">
        <v>-1</v>
      </c>
      <c r="O1297">
        <v>-49</v>
      </c>
      <c r="X1297">
        <v>2</v>
      </c>
      <c r="Y1297">
        <v>98</v>
      </c>
      <c r="Z1297" s="3">
        <f t="shared" si="20"/>
        <v>49</v>
      </c>
    </row>
    <row r="1298" spans="1:26" hidden="1">
      <c r="A1298" t="s">
        <v>707</v>
      </c>
      <c r="B1298" s="6">
        <v>44287</v>
      </c>
      <c r="C1298" s="6">
        <v>44651</v>
      </c>
      <c r="D1298">
        <v>20210401</v>
      </c>
      <c r="E1298">
        <v>20220331</v>
      </c>
      <c r="F1298" t="s">
        <v>7390</v>
      </c>
      <c r="G1298" t="s">
        <v>7391</v>
      </c>
      <c r="H1298" t="s">
        <v>590</v>
      </c>
      <c r="I1298" t="s">
        <v>805</v>
      </c>
      <c r="L1298">
        <v>4</v>
      </c>
      <c r="M1298">
        <v>228</v>
      </c>
      <c r="N1298">
        <v>-2</v>
      </c>
      <c r="O1298">
        <v>-114</v>
      </c>
      <c r="X1298">
        <v>2</v>
      </c>
      <c r="Y1298">
        <v>114</v>
      </c>
      <c r="Z1298" s="3">
        <f t="shared" si="20"/>
        <v>57</v>
      </c>
    </row>
    <row r="1299" spans="1:26" hidden="1">
      <c r="A1299" t="s">
        <v>707</v>
      </c>
      <c r="B1299" s="6">
        <v>44287</v>
      </c>
      <c r="C1299" s="6">
        <v>44651</v>
      </c>
      <c r="D1299">
        <v>20210401</v>
      </c>
      <c r="E1299">
        <v>20220331</v>
      </c>
      <c r="F1299" t="s">
        <v>7392</v>
      </c>
      <c r="G1299" t="s">
        <v>7393</v>
      </c>
      <c r="H1299" t="s">
        <v>590</v>
      </c>
      <c r="I1299" t="s">
        <v>805</v>
      </c>
      <c r="L1299">
        <v>3</v>
      </c>
      <c r="M1299">
        <v>324</v>
      </c>
      <c r="N1299">
        <v>-3</v>
      </c>
      <c r="O1299">
        <v>-324</v>
      </c>
      <c r="Z1299" s="3">
        <f t="shared" si="20"/>
        <v>108</v>
      </c>
    </row>
    <row r="1300" spans="1:26" hidden="1">
      <c r="A1300" t="s">
        <v>707</v>
      </c>
      <c r="B1300" s="6">
        <v>44287</v>
      </c>
      <c r="C1300" s="6">
        <v>44651</v>
      </c>
      <c r="D1300">
        <v>20210401</v>
      </c>
      <c r="E1300">
        <v>20220331</v>
      </c>
      <c r="F1300" t="s">
        <v>7394</v>
      </c>
      <c r="G1300" t="s">
        <v>7395</v>
      </c>
      <c r="H1300" t="s">
        <v>590</v>
      </c>
      <c r="I1300" t="s">
        <v>805</v>
      </c>
      <c r="L1300">
        <v>3</v>
      </c>
      <c r="M1300">
        <v>150</v>
      </c>
      <c r="N1300">
        <v>-2</v>
      </c>
      <c r="O1300">
        <v>-100</v>
      </c>
      <c r="X1300">
        <v>1</v>
      </c>
      <c r="Y1300">
        <v>50</v>
      </c>
      <c r="Z1300" s="3">
        <f t="shared" si="20"/>
        <v>50</v>
      </c>
    </row>
    <row r="1301" spans="1:26" hidden="1">
      <c r="A1301" t="s">
        <v>707</v>
      </c>
      <c r="B1301" s="6">
        <v>44287</v>
      </c>
      <c r="C1301" s="6">
        <v>44651</v>
      </c>
      <c r="D1301">
        <v>20210401</v>
      </c>
      <c r="E1301">
        <v>20220331</v>
      </c>
      <c r="F1301" t="s">
        <v>7396</v>
      </c>
      <c r="G1301" t="s">
        <v>7397</v>
      </c>
      <c r="H1301" t="s">
        <v>590</v>
      </c>
      <c r="I1301" t="s">
        <v>805</v>
      </c>
      <c r="L1301">
        <v>4</v>
      </c>
      <c r="M1301">
        <v>356</v>
      </c>
      <c r="N1301">
        <v>-2</v>
      </c>
      <c r="O1301">
        <v>-178</v>
      </c>
      <c r="X1301">
        <v>2</v>
      </c>
      <c r="Y1301">
        <v>178</v>
      </c>
      <c r="Z1301" s="3">
        <f t="shared" si="20"/>
        <v>89</v>
      </c>
    </row>
    <row r="1302" spans="1:26" hidden="1">
      <c r="A1302" t="s">
        <v>707</v>
      </c>
      <c r="B1302" s="6">
        <v>44287</v>
      </c>
      <c r="C1302" s="6">
        <v>44651</v>
      </c>
      <c r="D1302">
        <v>20210401</v>
      </c>
      <c r="E1302">
        <v>20220331</v>
      </c>
      <c r="F1302" t="s">
        <v>7398</v>
      </c>
      <c r="G1302" t="s">
        <v>7399</v>
      </c>
      <c r="H1302" t="s">
        <v>590</v>
      </c>
      <c r="I1302" t="s">
        <v>805</v>
      </c>
      <c r="L1302">
        <v>4</v>
      </c>
      <c r="M1302">
        <v>320</v>
      </c>
      <c r="X1302">
        <v>4</v>
      </c>
      <c r="Y1302">
        <v>320</v>
      </c>
      <c r="Z1302" s="3">
        <f t="shared" si="20"/>
        <v>80</v>
      </c>
    </row>
    <row r="1303" spans="1:26" hidden="1">
      <c r="A1303" t="s">
        <v>707</v>
      </c>
      <c r="B1303" s="6">
        <v>44287</v>
      </c>
      <c r="C1303" s="6">
        <v>44651</v>
      </c>
      <c r="D1303">
        <v>20210401</v>
      </c>
      <c r="E1303">
        <v>20220331</v>
      </c>
      <c r="F1303" t="s">
        <v>5424</v>
      </c>
      <c r="G1303" t="s">
        <v>5425</v>
      </c>
      <c r="H1303" t="s">
        <v>590</v>
      </c>
      <c r="I1303" t="s">
        <v>805</v>
      </c>
      <c r="J1303">
        <v>1</v>
      </c>
      <c r="K1303">
        <v>185</v>
      </c>
      <c r="X1303">
        <v>1</v>
      </c>
      <c r="Y1303">
        <v>185</v>
      </c>
      <c r="Z1303" s="3">
        <f t="shared" si="20"/>
        <v>185</v>
      </c>
    </row>
    <row r="1304" spans="1:26" hidden="1">
      <c r="A1304" t="s">
        <v>707</v>
      </c>
      <c r="B1304" s="6">
        <v>44287</v>
      </c>
      <c r="C1304" s="6">
        <v>44651</v>
      </c>
      <c r="D1304">
        <v>20210401</v>
      </c>
      <c r="E1304">
        <v>20220331</v>
      </c>
      <c r="F1304" t="s">
        <v>7400</v>
      </c>
      <c r="G1304" t="s">
        <v>7401</v>
      </c>
      <c r="H1304" t="s">
        <v>590</v>
      </c>
      <c r="I1304" t="s">
        <v>1462</v>
      </c>
      <c r="L1304">
        <v>1</v>
      </c>
      <c r="M1304">
        <v>1200</v>
      </c>
      <c r="N1304">
        <v>-1</v>
      </c>
      <c r="O1304">
        <v>-1200</v>
      </c>
      <c r="Z1304" s="3">
        <f t="shared" si="20"/>
        <v>1200</v>
      </c>
    </row>
    <row r="1305" spans="1:26" hidden="1">
      <c r="A1305" t="s">
        <v>707</v>
      </c>
      <c r="B1305" s="6">
        <v>44287</v>
      </c>
      <c r="C1305" s="6">
        <v>44651</v>
      </c>
      <c r="D1305">
        <v>20210401</v>
      </c>
      <c r="E1305">
        <v>20220331</v>
      </c>
      <c r="F1305" t="s">
        <v>5468</v>
      </c>
      <c r="G1305" t="s">
        <v>5469</v>
      </c>
      <c r="H1305" t="s">
        <v>1973</v>
      </c>
      <c r="I1305" t="s">
        <v>774</v>
      </c>
      <c r="L1305">
        <v>2</v>
      </c>
      <c r="M1305">
        <v>1310</v>
      </c>
      <c r="N1305">
        <v>-1</v>
      </c>
      <c r="O1305">
        <v>-655</v>
      </c>
      <c r="X1305">
        <v>1</v>
      </c>
      <c r="Y1305">
        <v>655</v>
      </c>
      <c r="Z1305" s="3">
        <f t="shared" si="20"/>
        <v>655</v>
      </c>
    </row>
    <row r="1306" spans="1:26" hidden="1">
      <c r="A1306" t="s">
        <v>707</v>
      </c>
      <c r="B1306" s="6">
        <v>44287</v>
      </c>
      <c r="C1306" s="6">
        <v>44651</v>
      </c>
      <c r="D1306">
        <v>20210401</v>
      </c>
      <c r="E1306">
        <v>20220331</v>
      </c>
      <c r="F1306" t="s">
        <v>5472</v>
      </c>
      <c r="G1306" t="s">
        <v>5473</v>
      </c>
      <c r="H1306" t="s">
        <v>1973</v>
      </c>
      <c r="I1306" t="s">
        <v>805</v>
      </c>
      <c r="L1306">
        <v>2</v>
      </c>
      <c r="M1306">
        <v>3850</v>
      </c>
      <c r="N1306">
        <v>-1</v>
      </c>
      <c r="O1306">
        <v>-1925</v>
      </c>
      <c r="X1306">
        <v>1</v>
      </c>
      <c r="Y1306">
        <v>1925</v>
      </c>
      <c r="Z1306" s="3">
        <f t="shared" si="20"/>
        <v>1925</v>
      </c>
    </row>
    <row r="1307" spans="1:26" hidden="1">
      <c r="A1307" t="s">
        <v>707</v>
      </c>
      <c r="B1307" s="6">
        <v>44287</v>
      </c>
      <c r="C1307" s="6">
        <v>44651</v>
      </c>
      <c r="D1307">
        <v>20210401</v>
      </c>
      <c r="E1307">
        <v>20220331</v>
      </c>
      <c r="F1307" t="s">
        <v>7402</v>
      </c>
      <c r="G1307" t="s">
        <v>7403</v>
      </c>
      <c r="H1307" t="s">
        <v>590</v>
      </c>
      <c r="I1307" t="s">
        <v>805</v>
      </c>
      <c r="L1307">
        <v>2</v>
      </c>
      <c r="M1307">
        <v>2178</v>
      </c>
      <c r="N1307">
        <v>-2</v>
      </c>
      <c r="O1307">
        <v>-2178</v>
      </c>
      <c r="Z1307" s="3">
        <f t="shared" si="20"/>
        <v>1089</v>
      </c>
    </row>
    <row r="1308" spans="1:26" hidden="1">
      <c r="A1308" t="s">
        <v>707</v>
      </c>
      <c r="B1308" s="6">
        <v>44287</v>
      </c>
      <c r="C1308" s="6">
        <v>44651</v>
      </c>
      <c r="D1308">
        <v>20210401</v>
      </c>
      <c r="E1308">
        <v>20220331</v>
      </c>
      <c r="F1308" t="s">
        <v>5487</v>
      </c>
      <c r="G1308" t="s">
        <v>5488</v>
      </c>
      <c r="H1308" t="s">
        <v>590</v>
      </c>
      <c r="I1308" t="s">
        <v>805</v>
      </c>
      <c r="L1308">
        <v>1</v>
      </c>
      <c r="M1308">
        <v>2151.64</v>
      </c>
      <c r="N1308">
        <v>-1</v>
      </c>
      <c r="O1308">
        <v>-2151.64</v>
      </c>
      <c r="Z1308" s="3">
        <f t="shared" si="20"/>
        <v>2151.64</v>
      </c>
    </row>
    <row r="1309" spans="1:26" hidden="1">
      <c r="A1309" t="s">
        <v>707</v>
      </c>
      <c r="B1309" s="6">
        <v>44287</v>
      </c>
      <c r="C1309" s="6">
        <v>44651</v>
      </c>
      <c r="D1309">
        <v>20210401</v>
      </c>
      <c r="E1309">
        <v>20220331</v>
      </c>
      <c r="F1309" t="s">
        <v>7404</v>
      </c>
      <c r="G1309" t="s">
        <v>7405</v>
      </c>
      <c r="H1309" t="s">
        <v>590</v>
      </c>
      <c r="I1309" t="s">
        <v>805</v>
      </c>
      <c r="L1309">
        <v>2</v>
      </c>
      <c r="M1309">
        <v>820</v>
      </c>
      <c r="N1309">
        <v>-2</v>
      </c>
      <c r="O1309">
        <v>-820</v>
      </c>
      <c r="Z1309" s="3">
        <f t="shared" si="20"/>
        <v>410</v>
      </c>
    </row>
    <row r="1310" spans="1:26" hidden="1">
      <c r="A1310" t="s">
        <v>707</v>
      </c>
      <c r="B1310" s="6">
        <v>44287</v>
      </c>
      <c r="C1310" s="6">
        <v>44651</v>
      </c>
      <c r="D1310">
        <v>20210401</v>
      </c>
      <c r="E1310">
        <v>20220331</v>
      </c>
      <c r="F1310" t="s">
        <v>5531</v>
      </c>
      <c r="G1310" t="s">
        <v>5532</v>
      </c>
      <c r="H1310" t="s">
        <v>590</v>
      </c>
      <c r="I1310" t="s">
        <v>805</v>
      </c>
      <c r="J1310">
        <v>5</v>
      </c>
      <c r="K1310">
        <v>306.67</v>
      </c>
      <c r="X1310">
        <v>5</v>
      </c>
      <c r="Y1310">
        <v>306.67</v>
      </c>
      <c r="Z1310" s="3">
        <f t="shared" si="20"/>
        <v>61.334000000000003</v>
      </c>
    </row>
    <row r="1311" spans="1:26" hidden="1">
      <c r="A1311" t="s">
        <v>707</v>
      </c>
      <c r="B1311" s="6">
        <v>44287</v>
      </c>
      <c r="C1311" s="6">
        <v>44651</v>
      </c>
      <c r="D1311">
        <v>20210401</v>
      </c>
      <c r="E1311">
        <v>20220331</v>
      </c>
      <c r="F1311" t="s">
        <v>7406</v>
      </c>
      <c r="G1311" t="s">
        <v>7407</v>
      </c>
      <c r="H1311" t="s">
        <v>590</v>
      </c>
      <c r="I1311" t="s">
        <v>805</v>
      </c>
      <c r="J1311">
        <v>2</v>
      </c>
      <c r="X1311">
        <v>2</v>
      </c>
      <c r="Z1311" s="3">
        <f t="shared" si="20"/>
        <v>0</v>
      </c>
    </row>
    <row r="1312" spans="1:26" hidden="1">
      <c r="A1312" t="s">
        <v>707</v>
      </c>
      <c r="B1312" s="6">
        <v>44287</v>
      </c>
      <c r="C1312" s="6">
        <v>44651</v>
      </c>
      <c r="D1312">
        <v>20210401</v>
      </c>
      <c r="E1312">
        <v>20220331</v>
      </c>
      <c r="F1312" t="s">
        <v>7408</v>
      </c>
      <c r="G1312" t="s">
        <v>7409</v>
      </c>
      <c r="H1312" t="s">
        <v>590</v>
      </c>
      <c r="I1312" t="s">
        <v>805</v>
      </c>
      <c r="L1312">
        <v>5</v>
      </c>
      <c r="M1312">
        <v>1450</v>
      </c>
      <c r="N1312">
        <v>-5</v>
      </c>
      <c r="O1312">
        <v>-1450</v>
      </c>
      <c r="Z1312" s="3">
        <f t="shared" si="20"/>
        <v>290</v>
      </c>
    </row>
    <row r="1313" spans="1:26" hidden="1">
      <c r="A1313" t="s">
        <v>707</v>
      </c>
      <c r="B1313" s="6">
        <v>44287</v>
      </c>
      <c r="C1313" s="6">
        <v>44651</v>
      </c>
      <c r="D1313">
        <v>20210401</v>
      </c>
      <c r="E1313">
        <v>20220331</v>
      </c>
      <c r="F1313" t="s">
        <v>7410</v>
      </c>
      <c r="G1313" t="s">
        <v>7411</v>
      </c>
      <c r="H1313" t="s">
        <v>590</v>
      </c>
      <c r="I1313" t="s">
        <v>805</v>
      </c>
      <c r="J1313">
        <v>5</v>
      </c>
      <c r="K1313">
        <v>335</v>
      </c>
      <c r="N1313">
        <v>-1</v>
      </c>
      <c r="O1313">
        <v>-67</v>
      </c>
      <c r="X1313">
        <v>4</v>
      </c>
      <c r="Y1313">
        <v>268</v>
      </c>
      <c r="Z1313" s="3">
        <f t="shared" si="20"/>
        <v>67</v>
      </c>
    </row>
    <row r="1314" spans="1:26" hidden="1">
      <c r="A1314" t="s">
        <v>707</v>
      </c>
      <c r="B1314" s="6">
        <v>44287</v>
      </c>
      <c r="C1314" s="6">
        <v>44651</v>
      </c>
      <c r="D1314">
        <v>20210401</v>
      </c>
      <c r="E1314">
        <v>20220331</v>
      </c>
      <c r="F1314" t="s">
        <v>7412</v>
      </c>
      <c r="G1314" t="s">
        <v>7413</v>
      </c>
      <c r="H1314" t="s">
        <v>590</v>
      </c>
      <c r="I1314" t="s">
        <v>805</v>
      </c>
      <c r="J1314">
        <v>5</v>
      </c>
      <c r="K1314">
        <v>540</v>
      </c>
      <c r="X1314">
        <v>5</v>
      </c>
      <c r="Y1314">
        <v>540</v>
      </c>
      <c r="Z1314" s="3">
        <f t="shared" si="20"/>
        <v>108</v>
      </c>
    </row>
    <row r="1315" spans="1:26" hidden="1">
      <c r="A1315" t="s">
        <v>707</v>
      </c>
      <c r="B1315" s="6">
        <v>44287</v>
      </c>
      <c r="C1315" s="6">
        <v>44651</v>
      </c>
      <c r="D1315">
        <v>20210401</v>
      </c>
      <c r="E1315">
        <v>20220331</v>
      </c>
      <c r="F1315" t="s">
        <v>7414</v>
      </c>
      <c r="G1315" t="s">
        <v>7415</v>
      </c>
      <c r="H1315" t="s">
        <v>590</v>
      </c>
      <c r="I1315" t="s">
        <v>805</v>
      </c>
      <c r="J1315">
        <v>5</v>
      </c>
      <c r="K1315">
        <v>705</v>
      </c>
      <c r="X1315">
        <v>5</v>
      </c>
      <c r="Y1315">
        <v>705</v>
      </c>
      <c r="Z1315" s="3">
        <f t="shared" si="20"/>
        <v>141</v>
      </c>
    </row>
    <row r="1316" spans="1:26" hidden="1">
      <c r="A1316" t="s">
        <v>707</v>
      </c>
      <c r="B1316" s="6">
        <v>44287</v>
      </c>
      <c r="C1316" s="6">
        <v>44651</v>
      </c>
      <c r="D1316">
        <v>20210401</v>
      </c>
      <c r="E1316">
        <v>20220331</v>
      </c>
      <c r="F1316" t="s">
        <v>7416</v>
      </c>
      <c r="G1316" t="s">
        <v>7417</v>
      </c>
      <c r="H1316" t="s">
        <v>590</v>
      </c>
      <c r="I1316" t="s">
        <v>805</v>
      </c>
      <c r="J1316">
        <v>5</v>
      </c>
      <c r="K1316">
        <v>305</v>
      </c>
      <c r="N1316">
        <v>-1</v>
      </c>
      <c r="O1316">
        <v>-61</v>
      </c>
      <c r="X1316">
        <v>4</v>
      </c>
      <c r="Y1316">
        <v>244</v>
      </c>
      <c r="Z1316" s="3">
        <f t="shared" si="20"/>
        <v>61</v>
      </c>
    </row>
    <row r="1317" spans="1:26" hidden="1">
      <c r="A1317" t="s">
        <v>707</v>
      </c>
      <c r="B1317" s="6">
        <v>44287</v>
      </c>
      <c r="C1317" s="6">
        <v>44651</v>
      </c>
      <c r="D1317">
        <v>20210401</v>
      </c>
      <c r="E1317">
        <v>20220331</v>
      </c>
      <c r="F1317" t="s">
        <v>5533</v>
      </c>
      <c r="G1317" t="s">
        <v>5534</v>
      </c>
      <c r="H1317" t="s">
        <v>590</v>
      </c>
      <c r="I1317" t="s">
        <v>805</v>
      </c>
      <c r="J1317">
        <v>18</v>
      </c>
      <c r="K1317">
        <v>1620</v>
      </c>
      <c r="R1317">
        <v>-1</v>
      </c>
      <c r="S1317">
        <v>-90</v>
      </c>
      <c r="X1317">
        <v>17</v>
      </c>
      <c r="Y1317">
        <v>1530</v>
      </c>
      <c r="Z1317" s="3">
        <f t="shared" si="20"/>
        <v>90</v>
      </c>
    </row>
    <row r="1318" spans="1:26" hidden="1">
      <c r="A1318" t="s">
        <v>707</v>
      </c>
      <c r="B1318" s="6">
        <v>44287</v>
      </c>
      <c r="C1318" s="6">
        <v>44651</v>
      </c>
      <c r="D1318">
        <v>20210401</v>
      </c>
      <c r="E1318">
        <v>20220331</v>
      </c>
      <c r="F1318" t="s">
        <v>7418</v>
      </c>
      <c r="G1318" t="s">
        <v>7419</v>
      </c>
      <c r="H1318" t="s">
        <v>590</v>
      </c>
      <c r="I1318" t="s">
        <v>805</v>
      </c>
      <c r="J1318">
        <v>5</v>
      </c>
      <c r="K1318">
        <v>641.66999999999996</v>
      </c>
      <c r="X1318">
        <v>5</v>
      </c>
      <c r="Y1318">
        <v>641.66999999999996</v>
      </c>
      <c r="Z1318" s="3">
        <f t="shared" si="20"/>
        <v>128.334</v>
      </c>
    </row>
    <row r="1319" spans="1:26" hidden="1">
      <c r="A1319" t="s">
        <v>707</v>
      </c>
      <c r="B1319" s="6">
        <v>44287</v>
      </c>
      <c r="C1319" s="6">
        <v>44651</v>
      </c>
      <c r="D1319">
        <v>20210401</v>
      </c>
      <c r="E1319">
        <v>20220331</v>
      </c>
      <c r="F1319" t="s">
        <v>5539</v>
      </c>
      <c r="G1319" t="s">
        <v>5540</v>
      </c>
      <c r="H1319" t="s">
        <v>590</v>
      </c>
      <c r="I1319" t="s">
        <v>805</v>
      </c>
      <c r="J1319">
        <v>5</v>
      </c>
      <c r="K1319">
        <v>52.42</v>
      </c>
      <c r="X1319">
        <v>5</v>
      </c>
      <c r="Y1319">
        <v>52.42</v>
      </c>
      <c r="Z1319" s="3">
        <f t="shared" si="20"/>
        <v>10.484</v>
      </c>
    </row>
    <row r="1320" spans="1:26" hidden="1">
      <c r="A1320" t="s">
        <v>707</v>
      </c>
      <c r="B1320" s="6">
        <v>44287</v>
      </c>
      <c r="C1320" s="6">
        <v>44651</v>
      </c>
      <c r="D1320">
        <v>20210401</v>
      </c>
      <c r="E1320">
        <v>20220331</v>
      </c>
      <c r="F1320" t="s">
        <v>7420</v>
      </c>
      <c r="G1320" t="s">
        <v>7421</v>
      </c>
      <c r="H1320" t="s">
        <v>590</v>
      </c>
      <c r="I1320" t="s">
        <v>805</v>
      </c>
      <c r="J1320">
        <v>5</v>
      </c>
      <c r="K1320">
        <v>105</v>
      </c>
      <c r="N1320">
        <v>-1</v>
      </c>
      <c r="O1320">
        <v>-21</v>
      </c>
      <c r="P1320">
        <v>5</v>
      </c>
      <c r="Q1320">
        <v>105</v>
      </c>
      <c r="R1320">
        <v>-5</v>
      </c>
      <c r="S1320">
        <v>-105</v>
      </c>
      <c r="X1320">
        <v>4</v>
      </c>
      <c r="Y1320">
        <v>84</v>
      </c>
      <c r="Z1320" s="3">
        <f t="shared" si="20"/>
        <v>21</v>
      </c>
    </row>
    <row r="1321" spans="1:26" hidden="1">
      <c r="A1321" t="s">
        <v>707</v>
      </c>
      <c r="B1321" s="6">
        <v>44287</v>
      </c>
      <c r="C1321" s="6">
        <v>44651</v>
      </c>
      <c r="D1321">
        <v>20210401</v>
      </c>
      <c r="E1321">
        <v>20220331</v>
      </c>
      <c r="F1321" t="s">
        <v>7422</v>
      </c>
      <c r="G1321" t="s">
        <v>7423</v>
      </c>
      <c r="H1321" t="s">
        <v>590</v>
      </c>
      <c r="I1321" t="s">
        <v>875</v>
      </c>
      <c r="J1321">
        <v>5</v>
      </c>
      <c r="K1321">
        <v>70</v>
      </c>
      <c r="X1321">
        <v>5</v>
      </c>
      <c r="Y1321">
        <v>70</v>
      </c>
      <c r="Z1321" s="3">
        <f t="shared" si="20"/>
        <v>14</v>
      </c>
    </row>
    <row r="1322" spans="1:26" hidden="1">
      <c r="A1322" t="s">
        <v>707</v>
      </c>
      <c r="B1322" s="6">
        <v>44287</v>
      </c>
      <c r="C1322" s="6">
        <v>44651</v>
      </c>
      <c r="D1322">
        <v>20210401</v>
      </c>
      <c r="E1322">
        <v>20220331</v>
      </c>
      <c r="F1322" t="s">
        <v>7424</v>
      </c>
      <c r="G1322" t="s">
        <v>7425</v>
      </c>
      <c r="H1322" t="s">
        <v>590</v>
      </c>
      <c r="I1322" t="s">
        <v>805</v>
      </c>
      <c r="J1322">
        <v>5</v>
      </c>
      <c r="K1322">
        <v>1150.03</v>
      </c>
      <c r="X1322">
        <v>5</v>
      </c>
      <c r="Y1322">
        <v>1150.03</v>
      </c>
      <c r="Z1322" s="3">
        <f t="shared" si="20"/>
        <v>230.006</v>
      </c>
    </row>
    <row r="1323" spans="1:26" hidden="1">
      <c r="A1323" t="s">
        <v>707</v>
      </c>
      <c r="B1323" s="6">
        <v>44287</v>
      </c>
      <c r="C1323" s="6">
        <v>44651</v>
      </c>
      <c r="D1323">
        <v>20210401</v>
      </c>
      <c r="E1323">
        <v>20220331</v>
      </c>
      <c r="F1323" t="s">
        <v>7426</v>
      </c>
      <c r="G1323" t="s">
        <v>7427</v>
      </c>
      <c r="H1323" t="s">
        <v>590</v>
      </c>
      <c r="I1323" t="s">
        <v>805</v>
      </c>
      <c r="J1323">
        <v>5</v>
      </c>
      <c r="K1323">
        <v>51.25</v>
      </c>
      <c r="X1323">
        <v>5</v>
      </c>
      <c r="Y1323">
        <v>51.25</v>
      </c>
      <c r="Z1323" s="3">
        <f t="shared" si="20"/>
        <v>10.25</v>
      </c>
    </row>
    <row r="1324" spans="1:26" hidden="1">
      <c r="A1324" t="s">
        <v>707</v>
      </c>
      <c r="B1324" s="6">
        <v>44287</v>
      </c>
      <c r="C1324" s="6">
        <v>44651</v>
      </c>
      <c r="D1324">
        <v>20210401</v>
      </c>
      <c r="E1324">
        <v>20220331</v>
      </c>
      <c r="F1324" t="s">
        <v>7428</v>
      </c>
      <c r="G1324" t="s">
        <v>7429</v>
      </c>
      <c r="H1324" t="s">
        <v>590</v>
      </c>
      <c r="I1324" t="s">
        <v>805</v>
      </c>
      <c r="J1324">
        <v>17</v>
      </c>
      <c r="R1324">
        <v>-12</v>
      </c>
      <c r="X1324">
        <v>5</v>
      </c>
      <c r="Z1324" s="3">
        <f t="shared" si="20"/>
        <v>0</v>
      </c>
    </row>
    <row r="1325" spans="1:26" hidden="1">
      <c r="A1325" t="s">
        <v>707</v>
      </c>
      <c r="B1325" s="6">
        <v>44287</v>
      </c>
      <c r="C1325" s="6">
        <v>44651</v>
      </c>
      <c r="D1325">
        <v>20210401</v>
      </c>
      <c r="E1325">
        <v>20220331</v>
      </c>
      <c r="F1325" t="s">
        <v>7430</v>
      </c>
      <c r="G1325" t="s">
        <v>7431</v>
      </c>
      <c r="H1325" t="s">
        <v>590</v>
      </c>
      <c r="I1325" t="s">
        <v>805</v>
      </c>
      <c r="L1325">
        <v>5</v>
      </c>
      <c r="M1325">
        <v>715</v>
      </c>
      <c r="N1325">
        <v>-5</v>
      </c>
      <c r="O1325">
        <v>-715</v>
      </c>
      <c r="Z1325" s="3">
        <f t="shared" si="20"/>
        <v>143</v>
      </c>
    </row>
    <row r="1326" spans="1:26" hidden="1">
      <c r="A1326" t="s">
        <v>707</v>
      </c>
      <c r="B1326" s="6">
        <v>44287</v>
      </c>
      <c r="C1326" s="6">
        <v>44651</v>
      </c>
      <c r="D1326">
        <v>20210401</v>
      </c>
      <c r="E1326">
        <v>20220331</v>
      </c>
      <c r="F1326" t="s">
        <v>7432</v>
      </c>
      <c r="G1326" t="s">
        <v>7433</v>
      </c>
      <c r="H1326" t="s">
        <v>590</v>
      </c>
      <c r="I1326" t="s">
        <v>1462</v>
      </c>
      <c r="J1326">
        <v>5</v>
      </c>
      <c r="K1326">
        <v>560</v>
      </c>
      <c r="X1326">
        <v>5</v>
      </c>
      <c r="Y1326">
        <v>560</v>
      </c>
      <c r="Z1326" s="3">
        <f t="shared" si="20"/>
        <v>112</v>
      </c>
    </row>
    <row r="1327" spans="1:26" hidden="1">
      <c r="A1327" t="s">
        <v>707</v>
      </c>
      <c r="B1327" s="6">
        <v>44287</v>
      </c>
      <c r="C1327" s="6">
        <v>44651</v>
      </c>
      <c r="D1327">
        <v>20210401</v>
      </c>
      <c r="E1327">
        <v>20220331</v>
      </c>
      <c r="F1327" t="s">
        <v>7434</v>
      </c>
      <c r="G1327" t="s">
        <v>7435</v>
      </c>
      <c r="H1327" t="s">
        <v>590</v>
      </c>
      <c r="I1327" t="s">
        <v>805</v>
      </c>
      <c r="J1327">
        <v>5</v>
      </c>
      <c r="K1327">
        <v>182.5</v>
      </c>
      <c r="N1327">
        <v>-1</v>
      </c>
      <c r="O1327">
        <v>-36.5</v>
      </c>
      <c r="X1327">
        <v>4</v>
      </c>
      <c r="Y1327">
        <v>146</v>
      </c>
      <c r="Z1327" s="3">
        <f t="shared" si="20"/>
        <v>36.5</v>
      </c>
    </row>
    <row r="1328" spans="1:26" hidden="1">
      <c r="A1328" t="s">
        <v>707</v>
      </c>
      <c r="B1328" s="6">
        <v>44287</v>
      </c>
      <c r="C1328" s="6">
        <v>44651</v>
      </c>
      <c r="D1328">
        <v>20210401</v>
      </c>
      <c r="E1328">
        <v>20220331</v>
      </c>
      <c r="F1328" t="s">
        <v>5560</v>
      </c>
      <c r="G1328" t="s">
        <v>5561</v>
      </c>
      <c r="H1328" t="s">
        <v>590</v>
      </c>
      <c r="I1328" t="s">
        <v>805</v>
      </c>
      <c r="P1328">
        <v>1</v>
      </c>
      <c r="Q1328">
        <v>115</v>
      </c>
      <c r="R1328">
        <v>-1</v>
      </c>
      <c r="S1328">
        <v>-115</v>
      </c>
      <c r="Z1328" s="3">
        <f t="shared" si="20"/>
        <v>115</v>
      </c>
    </row>
    <row r="1329" spans="1:26" hidden="1">
      <c r="A1329" t="s">
        <v>707</v>
      </c>
      <c r="B1329" s="6">
        <v>44287</v>
      </c>
      <c r="C1329" s="6">
        <v>44651</v>
      </c>
      <c r="D1329">
        <v>20210401</v>
      </c>
      <c r="E1329">
        <v>20220331</v>
      </c>
      <c r="F1329" t="s">
        <v>7436</v>
      </c>
      <c r="G1329" t="s">
        <v>7437</v>
      </c>
      <c r="H1329" t="s">
        <v>590</v>
      </c>
      <c r="I1329" t="s">
        <v>805</v>
      </c>
      <c r="J1329">
        <v>5</v>
      </c>
      <c r="K1329">
        <v>775</v>
      </c>
      <c r="X1329">
        <v>5</v>
      </c>
      <c r="Y1329">
        <v>775</v>
      </c>
      <c r="Z1329" s="3">
        <f t="shared" si="20"/>
        <v>155</v>
      </c>
    </row>
    <row r="1330" spans="1:26" hidden="1">
      <c r="A1330" t="s">
        <v>707</v>
      </c>
      <c r="B1330" s="6">
        <v>44287</v>
      </c>
      <c r="C1330" s="6">
        <v>44651</v>
      </c>
      <c r="D1330">
        <v>20210401</v>
      </c>
      <c r="E1330">
        <v>20220331</v>
      </c>
      <c r="F1330" t="s">
        <v>7438</v>
      </c>
      <c r="G1330" t="s">
        <v>7439</v>
      </c>
      <c r="H1330" t="s">
        <v>590</v>
      </c>
      <c r="I1330" t="s">
        <v>805</v>
      </c>
      <c r="P1330">
        <v>2</v>
      </c>
      <c r="Q1330">
        <v>326</v>
      </c>
      <c r="R1330">
        <v>-2</v>
      </c>
      <c r="S1330">
        <v>-326</v>
      </c>
      <c r="Z1330" s="3">
        <f t="shared" si="20"/>
        <v>163</v>
      </c>
    </row>
    <row r="1331" spans="1:26" hidden="1">
      <c r="A1331" t="s">
        <v>707</v>
      </c>
      <c r="B1331" s="6">
        <v>44287</v>
      </c>
      <c r="C1331" s="6">
        <v>44651</v>
      </c>
      <c r="D1331">
        <v>20210401</v>
      </c>
      <c r="E1331">
        <v>20220331</v>
      </c>
      <c r="F1331" t="s">
        <v>7440</v>
      </c>
      <c r="G1331" t="s">
        <v>7441</v>
      </c>
      <c r="H1331" t="s">
        <v>590</v>
      </c>
      <c r="I1331" t="s">
        <v>805</v>
      </c>
      <c r="J1331">
        <v>5</v>
      </c>
      <c r="K1331">
        <v>182.5</v>
      </c>
      <c r="X1331">
        <v>5</v>
      </c>
      <c r="Y1331">
        <v>182.5</v>
      </c>
      <c r="Z1331" s="3">
        <f t="shared" si="20"/>
        <v>36.5</v>
      </c>
    </row>
    <row r="1332" spans="1:26" hidden="1">
      <c r="A1332" t="s">
        <v>707</v>
      </c>
      <c r="B1332" s="6">
        <v>44287</v>
      </c>
      <c r="C1332" s="6">
        <v>44651</v>
      </c>
      <c r="D1332">
        <v>20210401</v>
      </c>
      <c r="E1332">
        <v>20220331</v>
      </c>
      <c r="F1332" t="s">
        <v>5570</v>
      </c>
      <c r="G1332" t="s">
        <v>5571</v>
      </c>
      <c r="H1332" t="s">
        <v>590</v>
      </c>
      <c r="I1332" t="s">
        <v>1462</v>
      </c>
      <c r="L1332">
        <v>1</v>
      </c>
      <c r="M1332">
        <v>8000</v>
      </c>
      <c r="N1332">
        <v>-1</v>
      </c>
      <c r="O1332">
        <v>-8000</v>
      </c>
      <c r="Z1332" s="3">
        <f t="shared" si="20"/>
        <v>8000</v>
      </c>
    </row>
    <row r="1333" spans="1:26" hidden="1">
      <c r="A1333" t="s">
        <v>707</v>
      </c>
      <c r="B1333" s="6">
        <v>44287</v>
      </c>
      <c r="C1333" s="6">
        <v>44651</v>
      </c>
      <c r="D1333">
        <v>20210401</v>
      </c>
      <c r="E1333">
        <v>20220331</v>
      </c>
      <c r="F1333" t="s">
        <v>7442</v>
      </c>
      <c r="G1333" t="s">
        <v>7443</v>
      </c>
      <c r="H1333" t="s">
        <v>590</v>
      </c>
      <c r="I1333" t="s">
        <v>805</v>
      </c>
      <c r="J1333">
        <v>5</v>
      </c>
      <c r="K1333">
        <v>1025</v>
      </c>
      <c r="X1333">
        <v>5</v>
      </c>
      <c r="Y1333">
        <v>1025</v>
      </c>
      <c r="Z1333" s="3">
        <f t="shared" si="20"/>
        <v>205</v>
      </c>
    </row>
    <row r="1334" spans="1:26" hidden="1">
      <c r="A1334" t="s">
        <v>707</v>
      </c>
      <c r="B1334" s="6">
        <v>44287</v>
      </c>
      <c r="C1334" s="6">
        <v>44651</v>
      </c>
      <c r="D1334">
        <v>20210401</v>
      </c>
      <c r="E1334">
        <v>20220331</v>
      </c>
      <c r="F1334" t="s">
        <v>7444</v>
      </c>
      <c r="G1334" t="s">
        <v>7445</v>
      </c>
      <c r="H1334" t="s">
        <v>590</v>
      </c>
      <c r="I1334" t="s">
        <v>805</v>
      </c>
      <c r="J1334">
        <v>20</v>
      </c>
      <c r="K1334">
        <v>680</v>
      </c>
      <c r="N1334">
        <v>-1</v>
      </c>
      <c r="O1334">
        <v>-34</v>
      </c>
      <c r="P1334">
        <v>1</v>
      </c>
      <c r="Q1334">
        <v>34</v>
      </c>
      <c r="R1334">
        <v>-1</v>
      </c>
      <c r="S1334">
        <v>-34</v>
      </c>
      <c r="X1334">
        <v>19</v>
      </c>
      <c r="Y1334">
        <v>646</v>
      </c>
      <c r="Z1334" s="3">
        <f t="shared" si="20"/>
        <v>34</v>
      </c>
    </row>
    <row r="1335" spans="1:26" hidden="1">
      <c r="A1335" t="s">
        <v>707</v>
      </c>
      <c r="B1335" s="6">
        <v>44287</v>
      </c>
      <c r="C1335" s="6">
        <v>44651</v>
      </c>
      <c r="D1335">
        <v>20210401</v>
      </c>
      <c r="E1335">
        <v>20220331</v>
      </c>
      <c r="F1335" t="s">
        <v>7446</v>
      </c>
      <c r="G1335" t="s">
        <v>7447</v>
      </c>
      <c r="H1335" t="s">
        <v>1973</v>
      </c>
      <c r="I1335" t="s">
        <v>805</v>
      </c>
      <c r="J1335">
        <v>1</v>
      </c>
      <c r="K1335">
        <v>675</v>
      </c>
      <c r="X1335">
        <v>1</v>
      </c>
      <c r="Y1335">
        <v>675</v>
      </c>
      <c r="Z1335" s="3">
        <f t="shared" si="20"/>
        <v>675</v>
      </c>
    </row>
    <row r="1336" spans="1:26" hidden="1">
      <c r="A1336" t="s">
        <v>707</v>
      </c>
      <c r="B1336" s="6">
        <v>44287</v>
      </c>
      <c r="C1336" s="6">
        <v>44651</v>
      </c>
      <c r="D1336">
        <v>20210401</v>
      </c>
      <c r="E1336">
        <v>20220331</v>
      </c>
      <c r="F1336" t="s">
        <v>7448</v>
      </c>
      <c r="G1336" t="s">
        <v>7449</v>
      </c>
      <c r="H1336" t="s">
        <v>590</v>
      </c>
      <c r="I1336" t="s">
        <v>805</v>
      </c>
      <c r="J1336">
        <v>1</v>
      </c>
      <c r="K1336">
        <v>775</v>
      </c>
      <c r="X1336">
        <v>1</v>
      </c>
      <c r="Y1336">
        <v>775</v>
      </c>
      <c r="Z1336" s="3">
        <f t="shared" si="20"/>
        <v>775</v>
      </c>
    </row>
    <row r="1337" spans="1:26" hidden="1">
      <c r="A1337" t="s">
        <v>707</v>
      </c>
      <c r="B1337" s="6">
        <v>44287</v>
      </c>
      <c r="C1337" s="6">
        <v>44651</v>
      </c>
      <c r="D1337">
        <v>20210401</v>
      </c>
      <c r="E1337">
        <v>20220331</v>
      </c>
      <c r="F1337" t="s">
        <v>7450</v>
      </c>
      <c r="G1337" t="s">
        <v>7451</v>
      </c>
      <c r="H1337" t="s">
        <v>590</v>
      </c>
      <c r="I1337" t="s">
        <v>805</v>
      </c>
      <c r="J1337">
        <v>6</v>
      </c>
      <c r="K1337">
        <v>5479.98</v>
      </c>
      <c r="X1337">
        <v>6</v>
      </c>
      <c r="Y1337">
        <v>5479.98</v>
      </c>
      <c r="Z1337" s="3">
        <f t="shared" si="20"/>
        <v>913.32999999999993</v>
      </c>
    </row>
    <row r="1338" spans="1:26" hidden="1">
      <c r="A1338" t="s">
        <v>707</v>
      </c>
      <c r="B1338" s="6">
        <v>44287</v>
      </c>
      <c r="C1338" s="6">
        <v>44651</v>
      </c>
      <c r="D1338">
        <v>20210401</v>
      </c>
      <c r="E1338">
        <v>20220331</v>
      </c>
      <c r="F1338" t="s">
        <v>7452</v>
      </c>
      <c r="G1338" t="s">
        <v>7453</v>
      </c>
      <c r="H1338" t="s">
        <v>590</v>
      </c>
      <c r="I1338" t="s">
        <v>805</v>
      </c>
      <c r="J1338">
        <v>3</v>
      </c>
      <c r="X1338">
        <v>3</v>
      </c>
      <c r="Z1338" s="3">
        <f t="shared" si="20"/>
        <v>0</v>
      </c>
    </row>
    <row r="1339" spans="1:26" hidden="1">
      <c r="A1339" t="s">
        <v>707</v>
      </c>
      <c r="B1339" s="6">
        <v>44287</v>
      </c>
      <c r="C1339" s="6">
        <v>44651</v>
      </c>
      <c r="D1339">
        <v>20210401</v>
      </c>
      <c r="E1339">
        <v>20220331</v>
      </c>
      <c r="F1339" t="s">
        <v>7454</v>
      </c>
      <c r="G1339" t="s">
        <v>7455</v>
      </c>
      <c r="H1339" t="s">
        <v>590</v>
      </c>
      <c r="I1339" t="s">
        <v>805</v>
      </c>
      <c r="J1339">
        <v>9</v>
      </c>
      <c r="K1339">
        <v>5786.46</v>
      </c>
      <c r="X1339">
        <v>9</v>
      </c>
      <c r="Y1339">
        <v>5786.46</v>
      </c>
      <c r="Z1339" s="3">
        <f t="shared" si="20"/>
        <v>642.94000000000005</v>
      </c>
    </row>
    <row r="1340" spans="1:26" hidden="1">
      <c r="A1340" t="s">
        <v>707</v>
      </c>
      <c r="B1340" s="6">
        <v>44287</v>
      </c>
      <c r="C1340" s="6">
        <v>44651</v>
      </c>
      <c r="D1340">
        <v>20210401</v>
      </c>
      <c r="E1340">
        <v>20220331</v>
      </c>
      <c r="F1340" t="s">
        <v>7456</v>
      </c>
      <c r="G1340" t="s">
        <v>7457</v>
      </c>
      <c r="H1340" t="s">
        <v>590</v>
      </c>
      <c r="I1340" t="s">
        <v>805</v>
      </c>
      <c r="J1340">
        <v>1</v>
      </c>
      <c r="K1340">
        <v>600</v>
      </c>
      <c r="X1340">
        <v>1</v>
      </c>
      <c r="Y1340">
        <v>600</v>
      </c>
      <c r="Z1340" s="3">
        <f t="shared" si="20"/>
        <v>600</v>
      </c>
    </row>
    <row r="1341" spans="1:26" hidden="1">
      <c r="A1341" t="s">
        <v>707</v>
      </c>
      <c r="B1341" s="6">
        <v>44287</v>
      </c>
      <c r="C1341" s="6">
        <v>44651</v>
      </c>
      <c r="D1341">
        <v>20210401</v>
      </c>
      <c r="E1341">
        <v>20220331</v>
      </c>
      <c r="F1341" t="s">
        <v>7458</v>
      </c>
      <c r="G1341" t="s">
        <v>7459</v>
      </c>
      <c r="H1341" t="s">
        <v>590</v>
      </c>
      <c r="I1341" t="s">
        <v>805</v>
      </c>
      <c r="J1341">
        <v>24</v>
      </c>
      <c r="K1341">
        <v>14129.39</v>
      </c>
      <c r="N1341">
        <v>-1</v>
      </c>
      <c r="O1341">
        <v>-588.72</v>
      </c>
      <c r="R1341">
        <v>-3</v>
      </c>
      <c r="S1341">
        <v>-1766.17</v>
      </c>
      <c r="X1341">
        <v>20</v>
      </c>
      <c r="Y1341">
        <v>11774.5</v>
      </c>
      <c r="Z1341" s="3">
        <f t="shared" si="20"/>
        <v>588.72</v>
      </c>
    </row>
    <row r="1342" spans="1:26" hidden="1">
      <c r="A1342" t="s">
        <v>707</v>
      </c>
      <c r="B1342" s="6">
        <v>44287</v>
      </c>
      <c r="C1342" s="6">
        <v>44651</v>
      </c>
      <c r="D1342">
        <v>20210401</v>
      </c>
      <c r="E1342">
        <v>20220331</v>
      </c>
      <c r="F1342" t="s">
        <v>7460</v>
      </c>
      <c r="G1342" t="s">
        <v>7461</v>
      </c>
      <c r="H1342" t="s">
        <v>590</v>
      </c>
      <c r="I1342" t="s">
        <v>805</v>
      </c>
      <c r="J1342">
        <v>4</v>
      </c>
      <c r="K1342">
        <v>2520</v>
      </c>
      <c r="X1342">
        <v>4</v>
      </c>
      <c r="Y1342">
        <v>2520</v>
      </c>
      <c r="Z1342" s="3">
        <f t="shared" si="20"/>
        <v>630</v>
      </c>
    </row>
    <row r="1343" spans="1:26" hidden="1">
      <c r="A1343" t="s">
        <v>707</v>
      </c>
      <c r="B1343" s="6">
        <v>44287</v>
      </c>
      <c r="C1343" s="6">
        <v>44651</v>
      </c>
      <c r="D1343">
        <v>20210401</v>
      </c>
      <c r="E1343">
        <v>20220331</v>
      </c>
      <c r="F1343" t="s">
        <v>7462</v>
      </c>
      <c r="G1343" t="s">
        <v>7463</v>
      </c>
      <c r="H1343" t="s">
        <v>590</v>
      </c>
      <c r="I1343" t="s">
        <v>805</v>
      </c>
      <c r="J1343">
        <v>35</v>
      </c>
      <c r="K1343">
        <v>14238</v>
      </c>
      <c r="X1343">
        <v>35</v>
      </c>
      <c r="Y1343">
        <v>14238</v>
      </c>
      <c r="Z1343" s="3">
        <f t="shared" si="20"/>
        <v>406.8</v>
      </c>
    </row>
    <row r="1344" spans="1:26" hidden="1">
      <c r="A1344" t="s">
        <v>707</v>
      </c>
      <c r="B1344" s="6">
        <v>44287</v>
      </c>
      <c r="C1344" s="6">
        <v>44651</v>
      </c>
      <c r="D1344">
        <v>20210401</v>
      </c>
      <c r="E1344">
        <v>20220331</v>
      </c>
      <c r="F1344" t="s">
        <v>5622</v>
      </c>
      <c r="G1344" t="s">
        <v>5623</v>
      </c>
      <c r="H1344" t="s">
        <v>590</v>
      </c>
      <c r="I1344" t="s">
        <v>805</v>
      </c>
      <c r="J1344">
        <v>12</v>
      </c>
      <c r="K1344">
        <v>585.95000000000005</v>
      </c>
      <c r="L1344">
        <v>160</v>
      </c>
      <c r="M1344">
        <v>6640</v>
      </c>
      <c r="N1344">
        <v>-80</v>
      </c>
      <c r="O1344">
        <v>-3344.44</v>
      </c>
      <c r="X1344">
        <v>92</v>
      </c>
      <c r="Y1344">
        <v>3881.51</v>
      </c>
      <c r="Z1344" s="3">
        <f t="shared" si="20"/>
        <v>41.805500000000002</v>
      </c>
    </row>
    <row r="1345" spans="1:26" hidden="1">
      <c r="A1345" t="s">
        <v>707</v>
      </c>
      <c r="B1345" s="6">
        <v>44287</v>
      </c>
      <c r="C1345" s="6">
        <v>44651</v>
      </c>
      <c r="D1345">
        <v>20210401</v>
      </c>
      <c r="E1345">
        <v>20220331</v>
      </c>
      <c r="F1345" t="s">
        <v>7464</v>
      </c>
      <c r="G1345" t="s">
        <v>7465</v>
      </c>
      <c r="H1345" t="s">
        <v>590</v>
      </c>
      <c r="I1345" t="s">
        <v>805</v>
      </c>
      <c r="J1345">
        <v>1</v>
      </c>
      <c r="L1345">
        <v>10</v>
      </c>
      <c r="M1345">
        <v>5200</v>
      </c>
      <c r="N1345">
        <v>-11</v>
      </c>
      <c r="O1345">
        <v>-5694.01</v>
      </c>
      <c r="Y1345">
        <v>-494.01</v>
      </c>
      <c r="Z1345" s="3">
        <f t="shared" si="20"/>
        <v>517.63727272727272</v>
      </c>
    </row>
    <row r="1346" spans="1:26" hidden="1">
      <c r="A1346" t="s">
        <v>707</v>
      </c>
      <c r="B1346" s="6">
        <v>44287</v>
      </c>
      <c r="C1346" s="6">
        <v>44651</v>
      </c>
      <c r="D1346">
        <v>20210401</v>
      </c>
      <c r="E1346">
        <v>20220331</v>
      </c>
      <c r="F1346" t="s">
        <v>7466</v>
      </c>
      <c r="G1346" t="s">
        <v>7467</v>
      </c>
      <c r="H1346" t="s">
        <v>590</v>
      </c>
      <c r="I1346" t="s">
        <v>805</v>
      </c>
      <c r="L1346">
        <v>1</v>
      </c>
      <c r="M1346">
        <v>130</v>
      </c>
      <c r="X1346">
        <v>1</v>
      </c>
      <c r="Y1346">
        <v>130</v>
      </c>
      <c r="Z1346" s="3">
        <f t="shared" si="20"/>
        <v>130</v>
      </c>
    </row>
    <row r="1347" spans="1:26" hidden="1">
      <c r="A1347" t="s">
        <v>707</v>
      </c>
      <c r="B1347" s="6">
        <v>44287</v>
      </c>
      <c r="C1347" s="6">
        <v>44651</v>
      </c>
      <c r="D1347">
        <v>20210401</v>
      </c>
      <c r="E1347">
        <v>20220331</v>
      </c>
      <c r="F1347" t="s">
        <v>7468</v>
      </c>
      <c r="G1347" t="s">
        <v>7469</v>
      </c>
      <c r="H1347" t="s">
        <v>590</v>
      </c>
      <c r="I1347" t="s">
        <v>805</v>
      </c>
      <c r="L1347">
        <v>1</v>
      </c>
      <c r="M1347">
        <v>207</v>
      </c>
      <c r="X1347">
        <v>1</v>
      </c>
      <c r="Y1347">
        <v>207</v>
      </c>
      <c r="Z1347" s="3">
        <f t="shared" ref="Z1347:Z1410" si="21">IFERROR((O1347+Q1347)/(N1347+P1347),Y1347/X1347)</f>
        <v>207</v>
      </c>
    </row>
    <row r="1348" spans="1:26" hidden="1">
      <c r="A1348" t="s">
        <v>707</v>
      </c>
      <c r="B1348" s="6">
        <v>44287</v>
      </c>
      <c r="C1348" s="6">
        <v>44651</v>
      </c>
      <c r="D1348">
        <v>20210401</v>
      </c>
      <c r="E1348">
        <v>20220331</v>
      </c>
      <c r="F1348" t="s">
        <v>7470</v>
      </c>
      <c r="G1348" t="s">
        <v>7471</v>
      </c>
      <c r="H1348" t="s">
        <v>590</v>
      </c>
      <c r="I1348" t="s">
        <v>805</v>
      </c>
      <c r="L1348">
        <v>1</v>
      </c>
      <c r="M1348">
        <v>211</v>
      </c>
      <c r="X1348">
        <v>1</v>
      </c>
      <c r="Y1348">
        <v>211</v>
      </c>
      <c r="Z1348" s="3">
        <f t="shared" si="21"/>
        <v>211</v>
      </c>
    </row>
    <row r="1349" spans="1:26" hidden="1">
      <c r="A1349" t="s">
        <v>707</v>
      </c>
      <c r="B1349" s="6">
        <v>44287</v>
      </c>
      <c r="C1349" s="6">
        <v>44651</v>
      </c>
      <c r="D1349">
        <v>20210401</v>
      </c>
      <c r="E1349">
        <v>20220331</v>
      </c>
      <c r="F1349" t="s">
        <v>5641</v>
      </c>
      <c r="G1349" t="s">
        <v>5642</v>
      </c>
      <c r="H1349" t="s">
        <v>590</v>
      </c>
      <c r="I1349" t="s">
        <v>805</v>
      </c>
      <c r="L1349">
        <v>2</v>
      </c>
      <c r="M1349">
        <v>2750</v>
      </c>
      <c r="N1349">
        <v>-2</v>
      </c>
      <c r="O1349">
        <v>-2750</v>
      </c>
      <c r="Z1349" s="3">
        <f t="shared" si="21"/>
        <v>1375</v>
      </c>
    </row>
    <row r="1350" spans="1:26" hidden="1">
      <c r="A1350" t="s">
        <v>707</v>
      </c>
      <c r="B1350" s="6">
        <v>44287</v>
      </c>
      <c r="C1350" s="6">
        <v>44651</v>
      </c>
      <c r="D1350">
        <v>20210401</v>
      </c>
      <c r="E1350">
        <v>20220331</v>
      </c>
      <c r="F1350" t="s">
        <v>5647</v>
      </c>
      <c r="G1350" t="s">
        <v>5648</v>
      </c>
      <c r="H1350" t="s">
        <v>590</v>
      </c>
      <c r="I1350" t="s">
        <v>805</v>
      </c>
      <c r="L1350">
        <v>3</v>
      </c>
      <c r="M1350">
        <v>2606</v>
      </c>
      <c r="N1350">
        <v>-2</v>
      </c>
      <c r="O1350">
        <v>-1406</v>
      </c>
      <c r="X1350">
        <v>1</v>
      </c>
      <c r="Y1350">
        <v>1200</v>
      </c>
      <c r="Z1350" s="3">
        <f t="shared" si="21"/>
        <v>703</v>
      </c>
    </row>
    <row r="1351" spans="1:26" hidden="1">
      <c r="A1351" t="s">
        <v>707</v>
      </c>
      <c r="B1351" s="6">
        <v>44287</v>
      </c>
      <c r="C1351" s="6">
        <v>44651</v>
      </c>
      <c r="D1351">
        <v>20210401</v>
      </c>
      <c r="E1351">
        <v>20220331</v>
      </c>
      <c r="F1351" t="s">
        <v>5651</v>
      </c>
      <c r="G1351" t="s">
        <v>5652</v>
      </c>
      <c r="H1351" t="s">
        <v>590</v>
      </c>
      <c r="I1351" t="s">
        <v>774</v>
      </c>
      <c r="L1351">
        <v>1</v>
      </c>
      <c r="M1351">
        <v>1</v>
      </c>
      <c r="N1351">
        <v>-1</v>
      </c>
      <c r="O1351">
        <v>-1</v>
      </c>
      <c r="Z1351" s="3">
        <f t="shared" si="21"/>
        <v>1</v>
      </c>
    </row>
    <row r="1352" spans="1:26" hidden="1">
      <c r="A1352" t="s">
        <v>707</v>
      </c>
      <c r="B1352" s="6">
        <v>44287</v>
      </c>
      <c r="C1352" s="6">
        <v>44651</v>
      </c>
      <c r="D1352">
        <v>20210401</v>
      </c>
      <c r="E1352">
        <v>20220331</v>
      </c>
      <c r="F1352" t="s">
        <v>5653</v>
      </c>
      <c r="G1352" t="s">
        <v>5654</v>
      </c>
      <c r="H1352" t="s">
        <v>590</v>
      </c>
      <c r="I1352" t="s">
        <v>774</v>
      </c>
      <c r="L1352">
        <v>1</v>
      </c>
      <c r="M1352">
        <v>1</v>
      </c>
      <c r="N1352">
        <v>-1</v>
      </c>
      <c r="O1352">
        <v>-1</v>
      </c>
      <c r="Z1352" s="3">
        <f t="shared" si="21"/>
        <v>1</v>
      </c>
    </row>
    <row r="1353" spans="1:26" hidden="1">
      <c r="A1353" t="s">
        <v>707</v>
      </c>
      <c r="B1353" s="6">
        <v>44287</v>
      </c>
      <c r="C1353" s="6">
        <v>44651</v>
      </c>
      <c r="D1353">
        <v>20210401</v>
      </c>
      <c r="E1353">
        <v>20220331</v>
      </c>
      <c r="F1353" t="s">
        <v>5655</v>
      </c>
      <c r="G1353" t="s">
        <v>5656</v>
      </c>
      <c r="H1353" t="s">
        <v>590</v>
      </c>
      <c r="I1353" t="s">
        <v>774</v>
      </c>
      <c r="J1353">
        <v>6</v>
      </c>
      <c r="K1353">
        <v>13294.68</v>
      </c>
      <c r="L1353">
        <v>42</v>
      </c>
      <c r="M1353">
        <v>88975.3</v>
      </c>
      <c r="N1353">
        <v>-47</v>
      </c>
      <c r="O1353">
        <v>-99977.5</v>
      </c>
      <c r="X1353">
        <v>1</v>
      </c>
      <c r="Y1353">
        <v>2292.48</v>
      </c>
      <c r="Z1353" s="3">
        <f t="shared" si="21"/>
        <v>2127.1808510638298</v>
      </c>
    </row>
    <row r="1354" spans="1:26" hidden="1">
      <c r="A1354" t="s">
        <v>707</v>
      </c>
      <c r="B1354" s="6">
        <v>44287</v>
      </c>
      <c r="C1354" s="6">
        <v>44651</v>
      </c>
      <c r="D1354">
        <v>20210401</v>
      </c>
      <c r="E1354">
        <v>20220331</v>
      </c>
      <c r="F1354" t="s">
        <v>5657</v>
      </c>
      <c r="G1354" t="s">
        <v>5658</v>
      </c>
      <c r="H1354" t="s">
        <v>590</v>
      </c>
      <c r="I1354" t="s">
        <v>774</v>
      </c>
      <c r="L1354">
        <v>8</v>
      </c>
      <c r="M1354">
        <v>77000</v>
      </c>
      <c r="N1354">
        <v>-8</v>
      </c>
      <c r="O1354">
        <v>-77000</v>
      </c>
      <c r="Z1354" s="3">
        <f t="shared" si="21"/>
        <v>9625</v>
      </c>
    </row>
    <row r="1355" spans="1:26" hidden="1">
      <c r="A1355" t="s">
        <v>707</v>
      </c>
      <c r="B1355" s="6">
        <v>44287</v>
      </c>
      <c r="C1355" s="6">
        <v>44651</v>
      </c>
      <c r="D1355">
        <v>20210401</v>
      </c>
      <c r="E1355">
        <v>20220331</v>
      </c>
      <c r="F1355" t="s">
        <v>5667</v>
      </c>
      <c r="G1355" t="s">
        <v>5668</v>
      </c>
      <c r="H1355" t="s">
        <v>1973</v>
      </c>
      <c r="I1355" t="s">
        <v>774</v>
      </c>
      <c r="L1355">
        <v>1</v>
      </c>
      <c r="M1355">
        <v>27000</v>
      </c>
      <c r="N1355">
        <v>-1</v>
      </c>
      <c r="O1355">
        <v>-27000</v>
      </c>
      <c r="Z1355" s="3">
        <f t="shared" si="21"/>
        <v>27000</v>
      </c>
    </row>
    <row r="1356" spans="1:26" hidden="1">
      <c r="A1356" t="s">
        <v>707</v>
      </c>
      <c r="B1356" s="6">
        <v>44287</v>
      </c>
      <c r="C1356" s="6">
        <v>44651</v>
      </c>
      <c r="D1356">
        <v>20210401</v>
      </c>
      <c r="E1356">
        <v>20220331</v>
      </c>
      <c r="F1356" t="s">
        <v>5693</v>
      </c>
      <c r="G1356" t="s">
        <v>5694</v>
      </c>
      <c r="H1356" t="s">
        <v>590</v>
      </c>
      <c r="I1356" t="s">
        <v>774</v>
      </c>
      <c r="L1356">
        <v>1</v>
      </c>
      <c r="M1356">
        <v>8050</v>
      </c>
      <c r="N1356">
        <v>-1</v>
      </c>
      <c r="O1356">
        <v>-8050</v>
      </c>
      <c r="Z1356" s="3">
        <f t="shared" si="21"/>
        <v>8050</v>
      </c>
    </row>
    <row r="1357" spans="1:26" hidden="1">
      <c r="A1357" t="s">
        <v>707</v>
      </c>
      <c r="B1357" s="6">
        <v>44287</v>
      </c>
      <c r="C1357" s="6">
        <v>44651</v>
      </c>
      <c r="D1357">
        <v>20210401</v>
      </c>
      <c r="E1357">
        <v>20220331</v>
      </c>
      <c r="F1357" t="s">
        <v>7472</v>
      </c>
      <c r="G1357" t="s">
        <v>7473</v>
      </c>
      <c r="H1357" t="s">
        <v>590</v>
      </c>
      <c r="I1357" t="s">
        <v>774</v>
      </c>
      <c r="N1357">
        <v>-1</v>
      </c>
      <c r="O1357">
        <v>-400</v>
      </c>
      <c r="X1357">
        <v>-1</v>
      </c>
      <c r="Y1357">
        <v>-400</v>
      </c>
      <c r="Z1357" s="3">
        <f t="shared" si="21"/>
        <v>400</v>
      </c>
    </row>
    <row r="1358" spans="1:26" hidden="1">
      <c r="A1358" t="s">
        <v>707</v>
      </c>
      <c r="B1358" s="6">
        <v>44287</v>
      </c>
      <c r="C1358" s="6">
        <v>44651</v>
      </c>
      <c r="D1358">
        <v>20210401</v>
      </c>
      <c r="E1358">
        <v>20220331</v>
      </c>
      <c r="F1358" t="s">
        <v>5709</v>
      </c>
      <c r="G1358" t="s">
        <v>5710</v>
      </c>
      <c r="H1358" t="s">
        <v>590</v>
      </c>
      <c r="I1358" t="s">
        <v>774</v>
      </c>
      <c r="L1358">
        <v>1</v>
      </c>
      <c r="M1358">
        <v>1</v>
      </c>
      <c r="N1358">
        <v>-1</v>
      </c>
      <c r="O1358">
        <v>-1</v>
      </c>
      <c r="Z1358" s="3">
        <f t="shared" si="21"/>
        <v>1</v>
      </c>
    </row>
    <row r="1359" spans="1:26" hidden="1">
      <c r="A1359" t="s">
        <v>707</v>
      </c>
      <c r="B1359" s="6">
        <v>44287</v>
      </c>
      <c r="C1359" s="6">
        <v>44651</v>
      </c>
      <c r="D1359">
        <v>20210401</v>
      </c>
      <c r="E1359">
        <v>20220331</v>
      </c>
      <c r="F1359" t="s">
        <v>5711</v>
      </c>
      <c r="G1359" t="s">
        <v>5712</v>
      </c>
      <c r="H1359" t="s">
        <v>590</v>
      </c>
      <c r="I1359" t="s">
        <v>774</v>
      </c>
      <c r="L1359">
        <v>1</v>
      </c>
      <c r="M1359">
        <v>1</v>
      </c>
      <c r="N1359">
        <v>-1</v>
      </c>
      <c r="O1359">
        <v>-1</v>
      </c>
      <c r="Z1359" s="3">
        <f t="shared" si="21"/>
        <v>1</v>
      </c>
    </row>
    <row r="1360" spans="1:26" hidden="1">
      <c r="A1360" t="s">
        <v>707</v>
      </c>
      <c r="B1360" s="6">
        <v>44287</v>
      </c>
      <c r="C1360" s="6">
        <v>44651</v>
      </c>
      <c r="D1360">
        <v>20210401</v>
      </c>
      <c r="E1360">
        <v>20220331</v>
      </c>
      <c r="F1360" t="s">
        <v>5713</v>
      </c>
      <c r="G1360" t="s">
        <v>5714</v>
      </c>
      <c r="H1360" t="s">
        <v>590</v>
      </c>
      <c r="I1360" t="s">
        <v>774</v>
      </c>
      <c r="L1360">
        <v>1</v>
      </c>
      <c r="M1360">
        <v>1</v>
      </c>
      <c r="N1360">
        <v>-1</v>
      </c>
      <c r="O1360">
        <v>-1</v>
      </c>
      <c r="Z1360" s="3">
        <f t="shared" si="21"/>
        <v>1</v>
      </c>
    </row>
    <row r="1361" spans="1:26" hidden="1">
      <c r="A1361" t="s">
        <v>707</v>
      </c>
      <c r="B1361" s="6">
        <v>44287</v>
      </c>
      <c r="C1361" s="6">
        <v>44651</v>
      </c>
      <c r="D1361">
        <v>20210401</v>
      </c>
      <c r="E1361">
        <v>20220331</v>
      </c>
      <c r="F1361" t="s">
        <v>5715</v>
      </c>
      <c r="G1361" t="s">
        <v>5716</v>
      </c>
      <c r="H1361" t="s">
        <v>590</v>
      </c>
      <c r="I1361" t="s">
        <v>774</v>
      </c>
      <c r="L1361">
        <v>1</v>
      </c>
      <c r="M1361">
        <v>1</v>
      </c>
      <c r="N1361">
        <v>-1</v>
      </c>
      <c r="O1361">
        <v>-1</v>
      </c>
      <c r="Z1361" s="3">
        <f t="shared" si="21"/>
        <v>1</v>
      </c>
    </row>
    <row r="1362" spans="1:26" hidden="1">
      <c r="A1362" t="s">
        <v>707</v>
      </c>
      <c r="B1362" s="6">
        <v>44287</v>
      </c>
      <c r="C1362" s="6">
        <v>44651</v>
      </c>
      <c r="D1362">
        <v>20210401</v>
      </c>
      <c r="E1362">
        <v>20220331</v>
      </c>
      <c r="F1362" t="s">
        <v>5718</v>
      </c>
      <c r="G1362" t="s">
        <v>5719</v>
      </c>
      <c r="H1362" t="s">
        <v>590</v>
      </c>
      <c r="I1362" t="s">
        <v>774</v>
      </c>
      <c r="L1362">
        <v>1</v>
      </c>
      <c r="M1362">
        <v>1</v>
      </c>
      <c r="N1362">
        <v>-1</v>
      </c>
      <c r="O1362">
        <v>-1</v>
      </c>
      <c r="Z1362" s="3">
        <f t="shared" si="21"/>
        <v>1</v>
      </c>
    </row>
    <row r="1363" spans="1:26" hidden="1">
      <c r="A1363" t="s">
        <v>707</v>
      </c>
      <c r="B1363" s="6">
        <v>44287</v>
      </c>
      <c r="C1363" s="6">
        <v>44651</v>
      </c>
      <c r="D1363">
        <v>20210401</v>
      </c>
      <c r="E1363">
        <v>20220331</v>
      </c>
      <c r="F1363" t="s">
        <v>5720</v>
      </c>
      <c r="G1363" t="s">
        <v>5721</v>
      </c>
      <c r="H1363" t="s">
        <v>590</v>
      </c>
      <c r="I1363" t="s">
        <v>774</v>
      </c>
      <c r="L1363">
        <v>1</v>
      </c>
      <c r="M1363">
        <v>1</v>
      </c>
      <c r="N1363">
        <v>-1</v>
      </c>
      <c r="O1363">
        <v>-1</v>
      </c>
      <c r="Z1363" s="3">
        <f t="shared" si="21"/>
        <v>1</v>
      </c>
    </row>
    <row r="1364" spans="1:26" hidden="1">
      <c r="A1364" t="s">
        <v>707</v>
      </c>
      <c r="B1364" s="6">
        <v>44287</v>
      </c>
      <c r="C1364" s="6">
        <v>44651</v>
      </c>
      <c r="D1364">
        <v>20210401</v>
      </c>
      <c r="E1364">
        <v>20220331</v>
      </c>
      <c r="F1364" t="s">
        <v>5722</v>
      </c>
      <c r="G1364" t="s">
        <v>5723</v>
      </c>
      <c r="H1364" t="s">
        <v>590</v>
      </c>
      <c r="I1364" t="s">
        <v>774</v>
      </c>
      <c r="L1364">
        <v>1</v>
      </c>
      <c r="M1364">
        <v>1</v>
      </c>
      <c r="N1364">
        <v>-1</v>
      </c>
      <c r="O1364">
        <v>-1</v>
      </c>
      <c r="Z1364" s="3">
        <f t="shared" si="21"/>
        <v>1</v>
      </c>
    </row>
    <row r="1365" spans="1:26" hidden="1">
      <c r="A1365" t="s">
        <v>707</v>
      </c>
      <c r="B1365" s="6">
        <v>44287</v>
      </c>
      <c r="C1365" s="6">
        <v>44651</v>
      </c>
      <c r="D1365">
        <v>20210401</v>
      </c>
      <c r="E1365">
        <v>20220331</v>
      </c>
      <c r="F1365" t="s">
        <v>5724</v>
      </c>
      <c r="G1365" t="s">
        <v>5725</v>
      </c>
      <c r="H1365" t="s">
        <v>590</v>
      </c>
      <c r="I1365" t="s">
        <v>774</v>
      </c>
      <c r="L1365">
        <v>1</v>
      </c>
      <c r="M1365">
        <v>1</v>
      </c>
      <c r="N1365">
        <v>-1</v>
      </c>
      <c r="O1365">
        <v>-1</v>
      </c>
      <c r="Z1365" s="3">
        <f t="shared" si="21"/>
        <v>1</v>
      </c>
    </row>
  </sheetData>
  <autoFilter ref="A1:Z1365" xr:uid="{00000000-0009-0000-0000-00000B000000}">
    <filterColumn colId="8">
      <filters>
        <filter val="RMFR"/>
        <filter val="RMFU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VINODT</dc:creator>
  <cp:keywords/>
  <dc:description/>
  <cp:lastModifiedBy/>
  <cp:revision/>
  <dcterms:created xsi:type="dcterms:W3CDTF">2022-10-04T08:55:19Z</dcterms:created>
  <dcterms:modified xsi:type="dcterms:W3CDTF">2026-05-07T16:32:20Z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0x0101007579CF8107AB3549B8AEA8C410A35953</vt:lpwstr>
  </property>
</Properties>
</file>